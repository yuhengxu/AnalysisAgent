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2026年6月" sheetId="1" r:id="rId1"/>
    <sheet name="2026年5月" sheetId="2" r:id="rId2"/>
    <sheet name="2026年4月" sheetId="3" r:id="rId3"/>
    <sheet name="2026年3月" sheetId="4" r:id="rId4"/>
    <sheet name="2026年2月" sheetId="5" r:id="rId5"/>
    <sheet name="2026年1月" sheetId="6" r:id="rId6"/>
    <sheet name="2025年12月" sheetId="7" r:id="rId7"/>
    <sheet name="2025年11月" sheetId="8" r:id="rId8"/>
    <sheet name="2025年10月" sheetId="9" r:id="rId9"/>
    <sheet name="2025年9月" sheetId="10" r:id="rId10"/>
    <sheet name="2025年8月" sheetId="11" r:id="rId11"/>
    <sheet name="2025年7月" sheetId="12" r:id="rId12"/>
    <sheet name="2025年6月" sheetId="13" r:id="rId13"/>
    <sheet name="2025年5月" sheetId="14" r:id="rId14"/>
    <sheet name="2025年4月" sheetId="15" r:id="rId15"/>
    <sheet name="2025年3月" sheetId="16" r:id="rId16"/>
    <sheet name="2025年2月" sheetId="17" r:id="rId17"/>
    <sheet name="2025年1月" sheetId="18" r:id="rId18"/>
    <sheet name="2024年12月" sheetId="19" r:id="rId19"/>
    <sheet name="2024年11月" sheetId="20" r:id="rId20"/>
    <sheet name="2024年10月" sheetId="21" r:id="rId21"/>
    <sheet name="2024年9月" sheetId="22" r:id="rId22"/>
    <sheet name="2024年8月" sheetId="23" r:id="rId23"/>
    <sheet name="2024年7月" sheetId="24" r:id="rId24"/>
    <sheet name="2024年6月" sheetId="25" r:id="rId25"/>
    <sheet name="2024年5月" sheetId="26" r:id="rId26"/>
    <sheet name="2024年4月" sheetId="27" r:id="rId27"/>
    <sheet name="2024年3月" sheetId="28" r:id="rId28"/>
    <sheet name="2024年2月" sheetId="29" r:id="rId29"/>
    <sheet name="2024年1月" sheetId="30" r:id="rId30"/>
    <sheet name="2023年12月" sheetId="31" r:id="rId31"/>
    <sheet name="2023年11月" sheetId="32" r:id="rId32"/>
    <sheet name="2023年10月" sheetId="33" r:id="rId33"/>
    <sheet name="2023年9月" sheetId="34" r:id="rId34"/>
    <sheet name="2023年8月" sheetId="35" r:id="rId35"/>
    <sheet name="2023年7月" sheetId="36" r:id="rId36"/>
    <sheet name="2023年6月" sheetId="37" r:id="rId37"/>
    <sheet name="2023年5月" sheetId="38" r:id="rId38"/>
    <sheet name="2023年4月" sheetId="39" r:id="rId39"/>
    <sheet name="2023年3月" sheetId="40" r:id="rId40"/>
    <sheet name="2023年2月" sheetId="41" r:id="rId41"/>
    <sheet name="2023年1月" sheetId="42" r:id="rId42"/>
    <sheet name="2022年12月" sheetId="43" r:id="rId43"/>
    <sheet name="2022年11月" sheetId="44" r:id="rId44"/>
    <sheet name="2022年10月" sheetId="45" r:id="rId45"/>
    <sheet name="2022年9月" sheetId="46" r:id="rId46"/>
    <sheet name="2022年8月" sheetId="47" r:id="rId47"/>
    <sheet name="2022年7月" sheetId="48" r:id="rId48"/>
    <sheet name="2022年6月" sheetId="49" r:id="rId49"/>
    <sheet name="2022年5月" sheetId="50" r:id="rId50"/>
    <sheet name="2022年4月" sheetId="51" r:id="rId51"/>
    <sheet name="2022年3月" sheetId="52" r:id="rId52"/>
    <sheet name="2022年2月" sheetId="53" r:id="rId53"/>
    <sheet name="2022年1月" sheetId="54" r:id="rId54"/>
    <sheet name="2021年12月" sheetId="55" r:id="rId55"/>
    <sheet name="2021年11月" sheetId="56" r:id="rId56"/>
    <sheet name="2021年10月" sheetId="57" r:id="rId57"/>
    <sheet name="2021年9月" sheetId="58" r:id="rId58"/>
    <sheet name="2021年8月" sheetId="59" r:id="rId59"/>
    <sheet name="2021年7月" sheetId="60" r:id="rId60"/>
    <sheet name="2021年6月" sheetId="61" r:id="rId61"/>
    <sheet name="2021年5月" sheetId="62" r:id="rId62"/>
    <sheet name="2021年4月" sheetId="63" r:id="rId63"/>
    <sheet name="2021年3月" sheetId="64" r:id="rId64"/>
    <sheet name="2021年2月" sheetId="65" r:id="rId65"/>
    <sheet name="2021年1月" sheetId="66" r:id="rId66"/>
  </sheets>
  <calcPr calcId="144525"/>
</workbook>
</file>

<file path=xl/comments1.xml><?xml version="1.0" encoding="utf-8"?>
<comments xmlns="http://schemas.openxmlformats.org/spreadsheetml/2006/main">
  <authors>
    <author>86189</author>
  </authors>
  <commentList>
    <comment ref="F3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卫塞节假期休市</t>
        </r>
      </text>
    </comment>
    <comment ref="G3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卫塞节假期休市</t>
        </r>
      </text>
    </comment>
    <comment ref="I3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卫塞节假期休市</t>
        </r>
      </text>
    </comment>
    <comment ref="J3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卫塞节假期休市</t>
        </r>
      </text>
    </comment>
    <comment ref="K3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卫塞节假期休市</t>
        </r>
      </text>
    </comment>
    <comment ref="L3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卫塞节假期休市</t>
        </r>
      </text>
    </comment>
    <comment ref="M3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卫塞节假期休市</t>
        </r>
      </text>
    </comment>
    <comment ref="N3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卫塞节假期休市</t>
        </r>
      </text>
    </comment>
    <comment ref="O3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卫塞节假期休市</t>
        </r>
      </text>
    </comment>
    <comment ref="P3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卫塞节假期休市</t>
        </r>
      </text>
    </comment>
    <comment ref="Q3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卫塞节假期休市</t>
        </r>
      </text>
    </comment>
  </commentList>
</comments>
</file>

<file path=xl/comments2.xml><?xml version="1.0" encoding="utf-8"?>
<comments xmlns="http://schemas.openxmlformats.org/spreadsheetml/2006/main">
  <authors>
    <author>Administrator</author>
    <author>Han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J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K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L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M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N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O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P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Q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H4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五月银行假日休市</t>
        </r>
      </text>
    </comment>
    <comment ref="M4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五月银行假日休市</t>
        </r>
      </text>
    </comment>
    <comment ref="N4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五月银行假日休市</t>
        </r>
      </text>
    </comment>
    <comment ref="O4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五月银行假日休市</t>
        </r>
      </text>
    </comment>
    <comment ref="P4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五月银行假日休市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B19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阵亡将士纪念日休市</t>
        </r>
      </text>
    </comment>
    <comment ref="H19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春季银行假日休市</t>
        </r>
      </text>
    </comment>
    <comment ref="M19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春季银行假日休市</t>
        </r>
      </text>
    </comment>
    <comment ref="N19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春季银行假日休市</t>
        </r>
      </text>
    </comment>
    <comment ref="O19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春季银行假日休市</t>
        </r>
      </text>
    </comment>
    <comment ref="P19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春季银行假日休市</t>
        </r>
      </text>
    </comment>
    <comment ref="F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G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I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J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K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L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M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N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O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P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Q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H24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春季银行假日休市</t>
        </r>
      </text>
    </comment>
  </commentList>
</comments>
</file>

<file path=xl/comments3.xml><?xml version="1.0" encoding="utf-8"?>
<comments xmlns="http://schemas.openxmlformats.org/spreadsheetml/2006/main">
  <authors>
    <author>Administrator</author>
    <author>Han</author>
  </authors>
  <commentList>
    <comment ref="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C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G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J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L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N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P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E6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清明节休市</t>
        </r>
      </text>
    </comment>
    <comment ref="H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M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N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O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P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B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总统日假期休市</t>
        </r>
      </text>
    </comment>
    <comment ref="E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E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F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G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I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J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K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L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M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N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O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P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Q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E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F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G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I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J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K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L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M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N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O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P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Q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E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E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E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</commentList>
</comments>
</file>

<file path=xl/comments5.xml><?xml version="1.0" encoding="utf-8"?>
<comments xmlns="http://schemas.openxmlformats.org/spreadsheetml/2006/main">
  <authors>
    <author>Administrator</author>
    <author>Han</author>
  </authors>
  <commentLis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新年休市</t>
        </r>
      </text>
    </comment>
    <comment ref="C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新年休市</t>
        </r>
      </text>
    </comment>
    <comment ref="D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新年休市</t>
        </r>
      </text>
    </commen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新年休市</t>
        </r>
      </text>
    </commen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新年休市</t>
        </r>
      </text>
    </comment>
    <comment ref="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新年休市</t>
        </r>
      </text>
    </commen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新年休市</t>
        </r>
      </text>
    </commen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新年休市</t>
        </r>
      </text>
    </comment>
    <comment ref="J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新年休市</t>
        </r>
      </text>
    </comment>
    <comment ref="K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新年休市</t>
        </r>
      </text>
    </comment>
    <comment ref="L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新年休市</t>
        </r>
      </text>
    </comment>
    <comment ref="M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新年休市</t>
        </r>
      </text>
    </comment>
    <comment ref="N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新年休市</t>
        </r>
      </text>
    </comment>
    <comment ref="O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新年休市</t>
        </r>
      </text>
    </comment>
    <comment ref="P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新年休市</t>
        </r>
      </text>
    </comment>
    <comment ref="Q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新年休市</t>
        </r>
      </text>
    </commen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新年休市</t>
        </r>
      </text>
    </comment>
    <comment ref="B15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马丁路德金纪念日休市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B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C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D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F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G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H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I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J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K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L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M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N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O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P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Q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H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节礼日休市</t>
        </r>
      </text>
    </comment>
    <comment ref="M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节礼日休市</t>
        </r>
      </text>
    </comment>
  </commentList>
</comments>
</file>

<file path=xl/comments7.xml><?xml version="1.0" encoding="utf-8"?>
<comments xmlns="http://schemas.openxmlformats.org/spreadsheetml/2006/main">
  <authors>
    <author>Han</author>
  </authors>
  <commentList>
    <comment ref="B21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感恩节休市</t>
        </r>
      </text>
    </comment>
  </commentList>
</comments>
</file>

<file path=xl/comments8.xml><?xml version="1.0" encoding="utf-8"?>
<comments xmlns="http://schemas.openxmlformats.org/spreadsheetml/2006/main">
  <authors>
    <author>Administrator</author>
    <author>Han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国庆节假期休市</t>
        </r>
      </text>
    </commen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国庆节假期休市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国庆节假期休市</t>
        </r>
      </text>
    </comment>
    <comment ref="E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国庆节假期休市</t>
        </r>
      </text>
    </comment>
    <comment ref="E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国庆节假期休市</t>
        </r>
      </text>
    </comment>
    <comment ref="E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国庆节假期休市</t>
        </r>
      </text>
    </comment>
    <comment ref="F16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  <comment ref="G16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  <comment ref="I16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  <comment ref="J16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  <comment ref="K16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  <comment ref="L16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  <comment ref="M16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  <comment ref="N16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  <comment ref="O16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  <comment ref="P16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  <comment ref="Q16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</commentList>
</comments>
</file>

<file path=xl/comments9.xml><?xml version="1.0" encoding="utf-8"?>
<comments xmlns="http://schemas.openxmlformats.org/spreadsheetml/2006/main">
  <authors>
    <author>Administrator</author>
  </authors>
  <commentLis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</commentList>
</comments>
</file>

<file path=xl/comments10.xml><?xml version="1.0" encoding="utf-8"?>
<comments xmlns="http://schemas.openxmlformats.org/spreadsheetml/2006/main">
  <authors>
    <author>Han</author>
  </authors>
  <commentList>
    <comment ref="H19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夏季银行假日休市</t>
        </r>
      </text>
    </comment>
    <comment ref="M19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夏季银行假日休市</t>
        </r>
      </text>
    </comment>
    <comment ref="N19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夏季银行假日休市</t>
        </r>
      </text>
    </comment>
    <comment ref="O19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夏季银行假日休市</t>
        </r>
      </text>
    </comment>
    <comment ref="P19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夏季银行假日休市</t>
        </r>
      </text>
    </comment>
  </commentList>
</comments>
</file>

<file path=xl/comments11.xml><?xml version="1.0" encoding="utf-8"?>
<comments xmlns="http://schemas.openxmlformats.org/spreadsheetml/2006/main">
  <authors>
    <author>Administrator</author>
  </authors>
  <commentList>
    <comment ref="B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独立日假期休市</t>
        </r>
      </text>
    </comment>
  </commentList>
</comments>
</file>

<file path=xl/comments12.xml><?xml version="1.0" encoding="utf-8"?>
<comments xmlns="http://schemas.openxmlformats.org/spreadsheetml/2006/main">
  <authors>
    <author>Administrator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端午节假期休市</t>
        </r>
      </text>
    </comment>
    <comment ref="B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六月节假期休市</t>
        </r>
      </text>
    </comment>
  </commentList>
</comments>
</file>

<file path=xl/comments13.xml><?xml version="1.0" encoding="utf-8"?>
<comments xmlns="http://schemas.openxmlformats.org/spreadsheetml/2006/main">
  <authors>
    <author>Administrator</author>
    <author>Han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J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L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M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N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O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P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Q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H5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五月银行假日休市</t>
        </r>
      </text>
    </comment>
    <comment ref="M5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五月银行假日休市</t>
        </r>
      </text>
    </comment>
    <comment ref="N5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五月银行假日休市</t>
        </r>
      </text>
    </comment>
    <comment ref="O5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五月银行假日休市</t>
        </r>
      </text>
    </comment>
    <comment ref="P5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五月银行假日休市</t>
        </r>
      </text>
    </comment>
    <comment ref="F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G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I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J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K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L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M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N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O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P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Q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B2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阵亡将士纪念日休市</t>
        </r>
      </text>
    </comment>
    <comment ref="H2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春季银行假日休市</t>
        </r>
      </text>
    </comment>
    <comment ref="M2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春季银行假日休市</t>
        </r>
      </text>
    </comment>
    <comment ref="N2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春季银行假日休市</t>
        </r>
      </text>
    </comment>
    <comment ref="O2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春季银行假日休市</t>
        </r>
      </text>
    </comment>
    <comment ref="P2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春季银行假日休市</t>
        </r>
      </text>
    </comment>
    <comment ref="H25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春季银行假日休市</t>
        </r>
      </text>
    </comment>
  </commentList>
</comments>
</file>

<file path=xl/comments14.xml><?xml version="1.0" encoding="utf-8"?>
<comments xmlns="http://schemas.openxmlformats.org/spreadsheetml/2006/main">
  <authors>
    <author>Administrator</author>
  </authors>
  <commentList>
    <comment ref="E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清明节假期休市</t>
        </r>
      </text>
    </comment>
    <comment ref="B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C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D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F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G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H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I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J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K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L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M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N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O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P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Q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H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M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N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O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P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</commentList>
</comments>
</file>

<file path=xl/comments15.xml><?xml version="1.0" encoding="utf-8"?>
<comments xmlns="http://schemas.openxmlformats.org/spreadsheetml/2006/main">
  <authors>
    <author>Han</author>
  </authors>
  <commentList>
    <comment ref="F23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G23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I23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J23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K23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L23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M23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N23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O23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P23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Q23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F24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G24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I24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J24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K24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L24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M24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N24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O24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P24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Q24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</commentList>
</comments>
</file>

<file path=xl/comments16.xml><?xml version="1.0" encoding="utf-8"?>
<comments xmlns="http://schemas.openxmlformats.org/spreadsheetml/2006/main">
  <authors>
    <author>Administrator</author>
    <author>Han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B13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总统日休市</t>
        </r>
      </text>
    </comment>
  </commentList>
</comments>
</file>

<file path=xl/comments17.xml><?xml version="1.0" encoding="utf-8"?>
<comments xmlns="http://schemas.openxmlformats.org/spreadsheetml/2006/main">
  <authors>
    <author>Han</author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休市</t>
        </r>
      </text>
    </comment>
    <comment ref="C5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休市</t>
        </r>
      </text>
    </comment>
    <comment ref="D5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休市</t>
        </r>
      </text>
    </comment>
    <comment ref="E5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休市</t>
        </r>
      </text>
    </comment>
    <comment ref="F5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休市</t>
        </r>
      </text>
    </comment>
    <comment ref="G5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休市</t>
        </r>
      </text>
    </comment>
    <comment ref="H5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休市</t>
        </r>
      </text>
    </comment>
    <comment ref="I5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休市</t>
        </r>
      </text>
    </comment>
    <comment ref="J5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休市</t>
        </r>
      </text>
    </comment>
    <comment ref="K5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休市</t>
        </r>
      </text>
    </comment>
    <comment ref="L5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休市</t>
        </r>
      </text>
    </comment>
    <comment ref="M5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休市</t>
        </r>
      </text>
    </comment>
    <comment ref="N5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休市</t>
        </r>
      </text>
    </comment>
    <comment ref="O5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休市</t>
        </r>
      </text>
    </comment>
    <comment ref="P5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休市</t>
        </r>
      </text>
    </comment>
    <comment ref="Q5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休市</t>
        </r>
      </text>
    </comment>
    <comment ref="B18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马丁路德金纪念日休市</t>
        </r>
      </text>
    </comment>
    <comment ref="E2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E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F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G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I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J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K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L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M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N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O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P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Q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E2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F2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G2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I2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J2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K2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L2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M2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N2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O2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P2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Q2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  <comment ref="E2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春节休市</t>
        </r>
      </text>
    </comment>
  </commentList>
</comments>
</file>

<file path=xl/comments18.xml><?xml version="1.0" encoding="utf-8"?>
<comments xmlns="http://schemas.openxmlformats.org/spreadsheetml/2006/main">
  <authors>
    <author>Administrator</author>
  </authors>
  <commentList>
    <comment ref="B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C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D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F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G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H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I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J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K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L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M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N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O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P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Q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H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节礼日休市</t>
        </r>
      </text>
    </comment>
    <comment ref="M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节礼日休市</t>
        </r>
      </text>
    </comment>
    <comment ref="N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节礼日休市</t>
        </r>
      </text>
    </comment>
    <comment ref="O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节礼日休市</t>
        </r>
      </text>
    </comment>
    <comment ref="P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节礼日休市</t>
        </r>
      </text>
    </comment>
  </commentList>
</comments>
</file>

<file path=xl/comments19.xml><?xml version="1.0" encoding="utf-8"?>
<comments xmlns="http://schemas.openxmlformats.org/spreadsheetml/2006/main">
  <authors>
    <author>Han</author>
  </authors>
  <commentList>
    <comment ref="B22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感恩节假期休市</t>
        </r>
      </text>
    </comment>
  </commentList>
</comments>
</file>

<file path=xl/comments20.xml><?xml version="1.0" encoding="utf-8"?>
<comments xmlns="http://schemas.openxmlformats.org/spreadsheetml/2006/main">
  <authors>
    <author>Administrator</author>
    <author>Han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国庆节休市</t>
        </r>
      </text>
    </commen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国庆节休市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国庆节休市</t>
        </r>
      </text>
    </comment>
    <comment ref="E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国庆节休市</t>
        </r>
      </text>
    </comment>
    <comment ref="E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国庆节休市</t>
        </r>
      </text>
    </comment>
    <comment ref="F25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  <comment ref="G25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  <comment ref="I25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  <comment ref="J25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  <comment ref="K25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  <comment ref="L25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  <comment ref="M25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  <comment ref="N25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  <comment ref="O25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  <comment ref="P25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  <comment ref="Q25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屠妖节假期休市</t>
        </r>
      </text>
    </comment>
    <comment ref="E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国庆节休市</t>
        </r>
      </text>
    </comment>
    <comment ref="E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国庆节休市</t>
        </r>
      </text>
    </comment>
    <comment ref="E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国庆节休市</t>
        </r>
      </text>
    </comment>
  </commentList>
</comments>
</file>

<file path=xl/comments21.xml><?xml version="1.0" encoding="utf-8"?>
<comments xmlns="http://schemas.openxmlformats.org/spreadsheetml/2006/main">
  <authors>
    <author>Administrator</author>
  </authors>
  <commentLis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E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中秋节假期休市</t>
        </r>
      </text>
    </comment>
    <comment ref="E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中秋节假期休市</t>
        </r>
      </text>
    </comment>
  </commentList>
</comments>
</file>

<file path=xl/comments22.xml><?xml version="1.0" encoding="utf-8"?>
<comments xmlns="http://schemas.openxmlformats.org/spreadsheetml/2006/main">
  <authors>
    <author>Administrator</author>
    <author>Han</author>
  </authors>
  <commentList>
    <comment ref="F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G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I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J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K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L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M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N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O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P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Q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H2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夏季银行假日休市</t>
        </r>
      </text>
    </comment>
    <comment ref="M2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夏季银行假日休市</t>
        </r>
      </text>
    </comment>
    <comment ref="N2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夏季银行假日休市</t>
        </r>
      </text>
    </comment>
    <comment ref="O2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夏季银行假日休市</t>
        </r>
      </text>
    </comment>
    <comment ref="P2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夏季银行假日休市</t>
        </r>
      </text>
    </comment>
  </commentList>
</comments>
</file>

<file path=xl/comments23.xml><?xml version="1.0" encoding="utf-8"?>
<comments xmlns="http://schemas.openxmlformats.org/spreadsheetml/2006/main">
  <authors>
    <author>Han</author>
  </authors>
  <commentList>
    <comment ref="B6" authorId="0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独立日休市</t>
        </r>
      </text>
    </comment>
  </commentList>
</comments>
</file>

<file path=xl/comments24.xml><?xml version="1.0" encoding="utf-8"?>
<comments xmlns="http://schemas.openxmlformats.org/spreadsheetml/2006/main">
  <authors>
    <author>Administrator</author>
  </authors>
  <commentList>
    <comment ref="E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端午节假期休市</t>
        </r>
      </text>
    </comment>
    <comment ref="F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G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I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J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K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L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M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N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O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P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Q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哈芝节假期休市</t>
        </r>
      </text>
    </comment>
    <comment ref="B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六月节假期休市</t>
        </r>
      </text>
    </comment>
  </commentList>
</comments>
</file>

<file path=xl/comments25.xml><?xml version="1.0" encoding="utf-8"?>
<comments xmlns="http://schemas.openxmlformats.org/spreadsheetml/2006/main">
  <authors>
    <author>Administrator</author>
    <author>Han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J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K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L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M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N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O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P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Q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  <comment ref="H6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五月银行假日休市</t>
        </r>
      </text>
    </comment>
    <comment ref="M6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五月银行假日休市</t>
        </r>
      </text>
    </comment>
    <comment ref="N6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五月银行假日休市</t>
        </r>
      </text>
    </comment>
    <comment ref="O6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五月银行假日休市</t>
        </r>
      </text>
    </comment>
    <comment ref="P6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五月银行假日休市</t>
        </r>
      </text>
    </comment>
    <comment ref="F18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G18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I18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J18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K18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L18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M18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N18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O18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P18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Q18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卫塞节休市</t>
        </r>
      </text>
    </comment>
    <comment ref="B21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阵亡将士纪念日休市</t>
        </r>
      </text>
    </comment>
    <comment ref="H21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春季银行假日休市</t>
        </r>
      </text>
    </comment>
    <comment ref="M21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春季银行假日休市</t>
        </r>
      </text>
    </comment>
    <comment ref="N21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春季银行假日休市</t>
        </r>
      </text>
    </comment>
    <comment ref="O21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春季银行假日休市</t>
        </r>
      </text>
    </comment>
    <comment ref="P21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春季银行假日休市</t>
        </r>
      </text>
    </comment>
    <comment ref="H26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春季银行假日休市</t>
        </r>
      </text>
    </comment>
    <comment ref="E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劳动节假期休市</t>
        </r>
      </text>
    </comment>
  </commentList>
</comments>
</file>

<file path=xl/comments26.xml><?xml version="1.0" encoding="utf-8"?>
<comments xmlns="http://schemas.openxmlformats.org/spreadsheetml/2006/main">
  <authors>
    <author>Administrator</author>
    <author>Han</author>
  </authors>
  <commentLis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M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N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O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P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E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清明节假期休市</t>
        </r>
      </text>
    </comment>
    <comment ref="E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清明节假期休市</t>
        </r>
      </text>
    </comment>
    <comment ref="F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G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I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J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K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L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M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N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O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P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Q10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开斋节休市</t>
        </r>
      </text>
    </comment>
    <comment ref="E15" authorId="1">
      <text>
        <r>
          <rPr>
            <b/>
            <sz val="9"/>
            <rFont val="宋体"/>
            <charset val="134"/>
          </rPr>
          <t>Han:</t>
        </r>
        <r>
          <rPr>
            <sz val="9"/>
            <rFont val="宋体"/>
            <charset val="134"/>
          </rPr>
          <t xml:space="preserve">
新换SC2406
</t>
        </r>
      </text>
    </comment>
  </commentList>
</comments>
</file>

<file path=xl/comments27.xml><?xml version="1.0" encoding="utf-8"?>
<comments xmlns="http://schemas.openxmlformats.org/spreadsheetml/2006/main">
  <authors>
    <author>Administrator</author>
  </authors>
  <commentList>
    <comment ref="B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C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D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F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G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H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I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J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K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L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M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N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O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P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  <comment ref="Q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耶稣受难日假期休市</t>
        </r>
      </text>
    </comment>
  </commentList>
</comments>
</file>

<file path=xl/comments28.xml><?xml version="1.0" encoding="utf-8"?>
<comments xmlns="http://schemas.openxmlformats.org/spreadsheetml/2006/main">
  <authors>
    <author>86189</author>
    <author>Administrator</author>
  </authors>
  <commentList>
    <comment ref="E9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春节假期休市</t>
        </r>
      </text>
    </comment>
    <comment ref="E10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春节假期休市</t>
        </r>
      </text>
    </comment>
    <comment ref="F10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春节假期休市</t>
        </r>
      </text>
    </comment>
    <comment ref="G10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春节假期休市</t>
        </r>
      </text>
    </comment>
    <comment ref="I10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春节假期休市</t>
        </r>
      </text>
    </comment>
    <comment ref="J10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春节假期休市</t>
        </r>
      </text>
    </comment>
    <comment ref="K10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春节假期休市</t>
        </r>
      </text>
    </comment>
    <comment ref="L10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春节假期休市</t>
        </r>
      </text>
    </comment>
    <comment ref="M10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春节假期休市</t>
        </r>
      </text>
    </comment>
    <comment ref="N10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春节假期休市</t>
        </r>
      </text>
    </comment>
    <comment ref="O10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春节假期休市</t>
        </r>
      </text>
    </comment>
    <comment ref="P10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春节假期休市</t>
        </r>
      </text>
    </comment>
    <comment ref="Q10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春节假期休市</t>
        </r>
      </text>
    </comment>
    <comment ref="E11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春节假期休市</t>
        </r>
      </text>
    </comment>
    <comment ref="E12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春节假期休市</t>
        </r>
      </text>
    </comment>
    <comment ref="E13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春节假期休市</t>
        </r>
      </text>
    </comment>
    <comment ref="E14" authorId="0">
      <text>
        <r>
          <rPr>
            <b/>
            <sz val="9"/>
            <rFont val="宋体"/>
            <charset val="134"/>
          </rPr>
          <t>86189:</t>
        </r>
        <r>
          <rPr>
            <sz val="9"/>
            <rFont val="宋体"/>
            <charset val="134"/>
          </rPr>
          <t xml:space="preserve">
春节假期休市</t>
        </r>
      </text>
    </comment>
    <comment ref="B1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总统日休市</t>
        </r>
      </text>
    </comment>
    <comment ref="E15" authorId="1">
      <text>
        <r>
          <rPr>
            <b/>
            <sz val="9"/>
            <rFont val="宋体"/>
            <charset val="134"/>
          </rPr>
          <t>Administrator:新换SC2404合约</t>
        </r>
      </text>
    </comment>
  </commentList>
</comments>
</file>

<file path=xl/comments29.xml><?xml version="1.0" encoding="utf-8"?>
<comments xmlns="http://schemas.openxmlformats.org/spreadsheetml/2006/main">
  <authors>
    <author>Administrator</author>
  </authors>
  <commentLis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新年假期休市</t>
        </r>
      </text>
    </comment>
    <comment ref="C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新年假期休市</t>
        </r>
      </text>
    </comment>
    <comment ref="D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新年假期休市</t>
        </r>
      </text>
    </commen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元旦假期休市</t>
        </r>
      </text>
    </commen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新年假期休市</t>
        </r>
      </text>
    </comment>
    <comment ref="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新年假期休市</t>
        </r>
      </text>
    </commen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新年假期休市</t>
        </r>
      </text>
    </commen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新年假期休市</t>
        </r>
      </text>
    </comment>
    <comment ref="J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新年假期休市</t>
        </r>
      </text>
    </comment>
    <comment ref="K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新年假期休市</t>
        </r>
      </text>
    </comment>
    <comment ref="L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新年假期休市</t>
        </r>
      </text>
    </comment>
    <comment ref="M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新年假期休市</t>
        </r>
      </text>
    </comment>
    <comment ref="N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新年假期休市</t>
        </r>
      </text>
    </comment>
    <comment ref="O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新年假期休市</t>
        </r>
      </text>
    </comment>
    <comment ref="P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新年假期休市</t>
        </r>
      </text>
    </comment>
    <comment ref="Q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新年假期休市</t>
        </r>
      </text>
    </comment>
    <comment ref="B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马丁路德金纪念日</t>
        </r>
      </text>
    </comment>
  </commentList>
</comments>
</file>

<file path=xl/comments30.xml><?xml version="1.0" encoding="utf-8"?>
<comments xmlns="http://schemas.openxmlformats.org/spreadsheetml/2006/main">
  <authors>
    <author>Administrator</author>
  </authors>
  <commentList>
    <comment ref="B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C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D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F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G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H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I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J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K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L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M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N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O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P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Q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圣诞节假期休市</t>
        </r>
      </text>
    </comment>
    <comment ref="H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节礼日休市</t>
        </r>
      </text>
    </comment>
    <comment ref="M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节礼日休市</t>
        </r>
      </text>
    </comment>
    <comment ref="N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节礼日休市</t>
        </r>
      </text>
    </comment>
    <comment ref="O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节礼日休市</t>
        </r>
      </text>
    </comment>
    <comment ref="P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节礼日休市</t>
        </r>
      </text>
    </comment>
  </commentList>
</comments>
</file>

<file path=xl/comments31.xml><?xml version="1.0" encoding="utf-8"?>
<comments xmlns="http://schemas.openxmlformats.org/spreadsheetml/2006/main">
  <authors>
    <author>Administrator</author>
  </authors>
  <commentList>
    <comment ref="F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屠妖节假期休市</t>
        </r>
      </text>
    </comment>
    <comment ref="G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屠妖节假期休市</t>
        </r>
      </text>
    </comment>
    <comment ref="I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屠妖节假期休市</t>
        </r>
      </text>
    </comment>
    <comment ref="J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屠妖节假期休市</t>
        </r>
      </text>
    </comment>
    <comment ref="K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屠妖节假期休市</t>
        </r>
      </text>
    </comment>
    <comment ref="L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屠妖节假期休市</t>
        </r>
      </text>
    </comment>
    <comment ref="M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屠妖节假期休市</t>
        </r>
      </text>
    </comment>
    <comment ref="N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屠妖节假期休市</t>
        </r>
      </text>
    </comment>
    <comment ref="O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屠妖节假期休市</t>
        </r>
      </text>
    </comment>
    <comment ref="P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屠妖节假期休市</t>
        </r>
      </text>
    </comment>
    <comment ref="Q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屠妖节假期休市</t>
        </r>
      </text>
    </comment>
    <comment ref="B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感恩节假期休市</t>
        </r>
      </text>
    </comment>
  </commentList>
</comments>
</file>

<file path=xl/comments32.xml><?xml version="1.0" encoding="utf-8"?>
<comments xmlns="http://schemas.openxmlformats.org/spreadsheetml/2006/main">
  <authors>
    <author>Administrator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国庆节休市
</t>
        </r>
      </text>
    </commen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国庆节休市
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国庆节休市
</t>
        </r>
      </text>
    </comment>
    <comment ref="E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国庆节休市
</t>
        </r>
      </text>
    </comment>
    <comment ref="E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国庆节休市
</t>
        </r>
      </text>
    </comment>
  </commentList>
</comments>
</file>

<file path=xl/comments33.xml><?xml version="1.0" encoding="utf-8"?>
<comments xmlns="http://schemas.openxmlformats.org/spreadsheetml/2006/main">
  <authors>
    <author>Administrator</author>
  </authors>
  <commentLis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新加坡总统选举日</t>
        </r>
      </text>
    </comment>
    <comment ref="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新加坡总统选举日</t>
        </r>
      </text>
    </commen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新加坡总统选举日</t>
        </r>
      </text>
    </comment>
    <comment ref="J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新加坡总统选举日</t>
        </r>
      </text>
    </comment>
    <comment ref="K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新加坡总统选举日</t>
        </r>
      </text>
    </comment>
    <comment ref="L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新加坡总统选举日</t>
        </r>
      </text>
    </comment>
    <comment ref="M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新加坡总统选举日</t>
        </r>
      </text>
    </comment>
    <comment ref="N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新加坡总统选举日</t>
        </r>
      </text>
    </comment>
    <comment ref="O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新加坡总统选举日</t>
        </r>
      </text>
    </comment>
    <comment ref="P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新加坡总统选举日</t>
        </r>
      </text>
    </comment>
    <comment ref="Q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新加坡总统选举日</t>
        </r>
      </text>
    </comment>
    <comment ref="B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美国劳动节休市
</t>
        </r>
      </text>
    </comment>
  </commentList>
</comments>
</file>

<file path=xl/comments34.xml><?xml version="1.0" encoding="utf-8"?>
<comments xmlns="http://schemas.openxmlformats.org/spreadsheetml/2006/main">
  <authors>
    <author>Administrator</author>
  </authors>
  <commentList>
    <comment ref="M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休市</t>
        </r>
      </text>
    </comment>
    <comment ref="F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G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I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J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K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L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M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N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O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P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Q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H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英国银行假日休市</t>
        </r>
      </text>
    </comment>
    <comment ref="M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英国银行假日休市</t>
        </r>
      </text>
    </comment>
    <comment ref="N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英国银行假日休市</t>
        </r>
      </text>
    </comment>
    <comment ref="O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英国银行假日休市</t>
        </r>
      </text>
    </comment>
    <comment ref="P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英国银行假日休市</t>
        </r>
      </text>
    </comment>
  </commentList>
</comments>
</file>

<file path=xl/comments35.xml><?xml version="1.0" encoding="utf-8"?>
<comments xmlns="http://schemas.openxmlformats.org/spreadsheetml/2006/main">
  <authors>
    <author>Administrator</author>
  </authors>
  <commentLis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阵亡将士纪念日假期</t>
        </r>
      </text>
    </comment>
    <comment ref="D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阵亡将士纪念日假期</t>
        </r>
      </text>
    </commen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春季银行假日休市</t>
        </r>
      </text>
    </comment>
    <comment ref="M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阵亡将士纪念日假期</t>
        </r>
      </text>
    </comment>
    <comment ref="N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阵亡将士纪念日假期</t>
        </r>
      </text>
    </comment>
    <comment ref="O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阵亡将士纪念日假期</t>
        </r>
      </text>
    </comment>
    <comment ref="P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阵亡将士纪念日假期</t>
        </r>
      </text>
    </comment>
    <comment ref="F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G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I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J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K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L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M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N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O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P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Q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B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六月节假期</t>
        </r>
      </text>
    </comment>
    <comment ref="E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端午节休市</t>
        </r>
      </text>
    </comment>
    <comment ref="E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端午节休市</t>
        </r>
      </text>
    </comment>
    <comment ref="F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哈芝节休市</t>
        </r>
      </text>
    </comment>
    <comment ref="G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哈芝节休市</t>
        </r>
      </text>
    </comment>
    <comment ref="I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哈芝节休市</t>
        </r>
      </text>
    </comment>
    <comment ref="J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哈芝节休市</t>
        </r>
      </text>
    </comment>
    <comment ref="K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哈芝节休市</t>
        </r>
      </text>
    </comment>
    <comment ref="L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哈芝节休市</t>
        </r>
      </text>
    </comment>
    <comment ref="M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哈芝节休市</t>
        </r>
      </text>
    </comment>
    <comment ref="N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哈芝节休市</t>
        </r>
      </text>
    </comment>
    <comment ref="O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哈芝节休市</t>
        </r>
      </text>
    </comment>
    <comment ref="P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哈芝节休市</t>
        </r>
      </text>
    </comment>
    <comment ref="Q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哈芝节休市</t>
        </r>
      </text>
    </comment>
  </commentList>
</comments>
</file>

<file path=xl/comments36.xml><?xml version="1.0" encoding="utf-8"?>
<comments xmlns="http://schemas.openxmlformats.org/spreadsheetml/2006/main">
  <authors>
    <author>Administrator</author>
  </authors>
  <commentList>
    <comment ref="L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M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N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O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P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Q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H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查理三世加冕礼休市</t>
        </r>
      </text>
    </comment>
    <comment ref="M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查理三世加冕礼休市</t>
        </r>
      </text>
    </comment>
    <comment ref="N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查理三世加冕礼休市</t>
        </r>
      </text>
    </comment>
    <comment ref="O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查理三世加冕礼休市</t>
        </r>
      </text>
    </comment>
    <comment ref="P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查理三世加冕礼休市</t>
        </r>
      </text>
    </comment>
    <comment ref="B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阵亡将士纪念日假期</t>
        </r>
      </text>
    </comment>
    <comment ref="D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阵亡将士纪念日假期</t>
        </r>
      </text>
    </comment>
    <comment ref="H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春季银行假日休市</t>
        </r>
      </text>
    </comment>
    <comment ref="M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阵亡将士纪念日假期</t>
        </r>
      </text>
    </comment>
    <comment ref="N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阵亡将士纪念日假期</t>
        </r>
      </text>
    </comment>
    <comment ref="O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阵亡将士纪念日假期</t>
        </r>
      </text>
    </comment>
    <comment ref="P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阵亡将士纪念日假期</t>
        </r>
      </text>
    </comment>
  </commentList>
</comments>
</file>

<file path=xl/comments37.xml><?xml version="1.0" encoding="utf-8"?>
<comments xmlns="http://schemas.openxmlformats.org/spreadsheetml/2006/main">
  <authors>
    <author>Administrator</author>
  </authors>
  <commentLis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清明节假期休市
</t>
        </r>
      </text>
    </comment>
    <comment ref="B7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耶稣受难日假期</t>
        </r>
      </text>
    </comment>
    <comment ref="C7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耶稣受难日假期</t>
        </r>
      </text>
    </comment>
    <comment ref="D7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耶稣受难日假期</t>
        </r>
      </text>
    </comment>
    <comment ref="F7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耶稣受难日假期</t>
        </r>
      </text>
    </comment>
    <comment ref="G7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耶稣受难日假期</t>
        </r>
      </text>
    </comment>
    <comment ref="H7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耶稣受难日假期</t>
        </r>
      </text>
    </comment>
    <comment ref="I7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耶稣受难日假期</t>
        </r>
      </text>
    </comment>
    <comment ref="J7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耶稣受难日假期</t>
        </r>
      </text>
    </comment>
    <comment ref="K7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耶稣受难日假期</t>
        </r>
      </text>
    </comment>
    <comment ref="L7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耶稣受难日假期</t>
        </r>
      </text>
    </comment>
    <comment ref="M7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耶稣受难日假期</t>
        </r>
      </text>
    </comment>
    <comment ref="N7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耶稣受难日假期</t>
        </r>
      </text>
    </comment>
    <comment ref="O7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耶稣受难日假期</t>
        </r>
      </text>
    </comment>
    <comment ref="P7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耶稣受难日假期</t>
        </r>
      </text>
    </comment>
    <comment ref="Q7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耶稣受难日假期</t>
        </r>
      </text>
    </comment>
    <comment ref="H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M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P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B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换6月
</t>
        </r>
      </text>
    </comment>
  </commentList>
</comments>
</file>

<file path=xl/comments38.xml><?xml version="1.0" encoding="utf-8"?>
<comments xmlns="http://schemas.openxmlformats.org/spreadsheetml/2006/main">
  <authors>
    <author>Administrator</author>
  </authors>
  <commentList>
    <comment ref="E18" authorId="0">
      <text>
        <r>
          <rPr>
            <b/>
            <sz val="9"/>
            <rFont val="宋体"/>
            <charset val="134"/>
          </rPr>
          <t xml:space="preserve">Administrator:
换5月合约
</t>
        </r>
      </text>
    </comment>
  </commentList>
</comments>
</file>

<file path=xl/comments39.xml><?xml version="1.0" encoding="utf-8"?>
<comments xmlns="http://schemas.openxmlformats.org/spreadsheetml/2006/main">
  <authors>
    <author>Administrator</author>
  </authors>
  <commentList>
    <comment ref="B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总统日休市</t>
        </r>
      </text>
    </comment>
  </commentList>
</comments>
</file>

<file path=xl/comments40.xml><?xml version="1.0" encoding="utf-8"?>
<comments xmlns="http://schemas.openxmlformats.org/spreadsheetml/2006/main">
  <authors>
    <author>Administrator</author>
  </authors>
  <commentList>
    <comment ref="B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马丁路德金纪念日</t>
        </r>
      </text>
    </comment>
    <comment ref="E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F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G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I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J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K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L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M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N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O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P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Q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E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F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G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I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J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K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L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M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N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O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P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Q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E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E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E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</commentList>
</comments>
</file>

<file path=xl/comments41.xml><?xml version="1.0" encoding="utf-8"?>
<comments xmlns="http://schemas.openxmlformats.org/spreadsheetml/2006/main">
  <authors>
    <author>Administrator</author>
  </authors>
  <commentList>
    <comment ref="B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C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D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F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G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H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I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J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K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L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M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N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O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P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Q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H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节礼日休市</t>
        </r>
      </text>
    </comment>
    <comment ref="M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节礼日休市</t>
        </r>
      </text>
    </comment>
    <comment ref="N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节礼日休市</t>
        </r>
      </text>
    </comment>
    <comment ref="O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节礼日休市</t>
        </r>
      </text>
    </comment>
    <comment ref="P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节礼日休市</t>
        </r>
      </text>
    </comment>
  </commentList>
</comments>
</file>

<file path=xl/comments42.xml><?xml version="1.0" encoding="utf-8"?>
<comments xmlns="http://schemas.openxmlformats.org/spreadsheetml/2006/main">
  <authors>
    <author>Administrator</author>
  </authors>
  <commentList>
    <comment ref="E15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新换2301</t>
        </r>
      </text>
    </comment>
    <comment ref="B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感恩节休市</t>
        </r>
      </text>
    </comment>
  </commentList>
</comments>
</file>

<file path=xl/comments43.xml><?xml version="1.0" encoding="utf-8"?>
<comments xmlns="http://schemas.openxmlformats.org/spreadsheetml/2006/main">
  <authors>
    <author>freeuser</author>
  </authors>
  <commentList>
    <comment ref="E3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国庆节假期休市</t>
        </r>
      </text>
    </comment>
    <comment ref="E4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国庆节假期休市</t>
        </r>
      </text>
    </comment>
    <comment ref="E5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国庆节假期休市</t>
        </r>
      </text>
    </comment>
    <comment ref="E6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国庆节假期休市</t>
        </r>
      </text>
    </comment>
    <comment ref="E7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国庆节假期休市</t>
        </r>
      </text>
    </comment>
    <comment ref="E13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新换2212</t>
        </r>
      </text>
    </comment>
    <comment ref="F18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屠妖节休市</t>
        </r>
      </text>
    </comment>
    <comment ref="G18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屠妖节休市</t>
        </r>
      </text>
    </comment>
    <comment ref="I18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屠妖节休市</t>
        </r>
      </text>
    </comment>
    <comment ref="J18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屠妖节休市</t>
        </r>
      </text>
    </comment>
    <comment ref="K18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屠妖节休市</t>
        </r>
      </text>
    </comment>
    <comment ref="L18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屠妖节休市</t>
        </r>
      </text>
    </comment>
    <comment ref="M18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屠妖节休市</t>
        </r>
      </text>
    </comment>
    <comment ref="N18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屠妖节休市</t>
        </r>
      </text>
    </comment>
    <comment ref="O18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屠妖节休市</t>
        </r>
      </text>
    </comment>
    <comment ref="P18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屠妖节休市</t>
        </r>
      </text>
    </comment>
    <comment ref="Q18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屠妖节休市</t>
        </r>
      </text>
    </comment>
  </commentList>
</comments>
</file>

<file path=xl/comments44.xml><?xml version="1.0" encoding="utf-8"?>
<comments xmlns="http://schemas.openxmlformats.org/spreadsheetml/2006/main">
  <authors>
    <author>freeuser</author>
    <author>Administrator</author>
  </authors>
  <commentList>
    <comment ref="H3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夏季银行假日休市</t>
        </r>
      </text>
    </comment>
    <comment ref="M3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夏季银行假日休市</t>
        </r>
      </text>
    </comment>
    <comment ref="N3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夏季银行假日休市</t>
        </r>
      </text>
    </comment>
    <comment ref="O3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夏季银行假日休市</t>
        </r>
      </text>
    </comment>
    <comment ref="P3" authorId="0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夏季银行假日休市</t>
        </r>
      </text>
    </comment>
    <comment ref="B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美国劳动节假期休市</t>
        </r>
      </text>
    </comment>
    <comment ref="E1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中秋节假期</t>
        </r>
      </text>
    </comment>
    <comment ref="H1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英国女王葬礼假日</t>
        </r>
      </text>
    </comment>
    <comment ref="M1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英国女王葬礼假日</t>
        </r>
      </text>
    </comment>
    <comment ref="N1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英国女王葬礼假日</t>
        </r>
      </text>
    </comment>
    <comment ref="O1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英国女王葬礼假日</t>
        </r>
      </text>
    </comment>
    <comment ref="P1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英国女王葬礼假日</t>
        </r>
      </text>
    </comment>
  </commentList>
</comments>
</file>

<file path=xl/comments45.xml><?xml version="1.0" encoding="utf-8"?>
<comments xmlns="http://schemas.openxmlformats.org/spreadsheetml/2006/main">
  <authors>
    <author>Administrator</author>
    <author>freeuser</author>
  </authors>
  <commentList>
    <comment ref="A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价格来源于普氏报告
暂定</t>
        </r>
      </text>
    </comment>
    <comment ref="F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2210Oct
</t>
        </r>
      </text>
    </comment>
    <comment ref="G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2210Oct
</t>
        </r>
      </text>
    </comment>
    <comment ref="H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1212
</t>
        </r>
      </text>
    </commen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2280</t>
        </r>
      </text>
    </comment>
    <comment ref="L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2280</t>
        </r>
      </text>
    </comment>
    <comment ref="F9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国庆日休市</t>
        </r>
      </text>
    </comment>
    <comment ref="G9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国庆日休市</t>
        </r>
      </text>
    </comment>
    <comment ref="I9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国庆日休市</t>
        </r>
      </text>
    </comment>
    <comment ref="J9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国庆日休市</t>
        </r>
      </text>
    </comment>
    <comment ref="K9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国庆日休市</t>
        </r>
      </text>
    </comment>
    <comment ref="L9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国庆日休市</t>
        </r>
      </text>
    </comment>
    <comment ref="M9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国庆日休市</t>
        </r>
      </text>
    </comment>
    <comment ref="N9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国庆日休市</t>
        </r>
      </text>
    </comment>
    <comment ref="O9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国庆日休市</t>
        </r>
      </text>
    </comment>
    <comment ref="P9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国庆日休市</t>
        </r>
      </text>
    </comment>
    <comment ref="Q9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国庆日休市</t>
        </r>
      </text>
    </comment>
    <comment ref="H23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夏季银行假日休市</t>
        </r>
      </text>
    </comment>
    <comment ref="M23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夏季银行假日休市</t>
        </r>
      </text>
    </comment>
    <comment ref="N23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夏季银行假日休市</t>
        </r>
      </text>
    </comment>
    <comment ref="O23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夏季银行假日休市</t>
        </r>
      </text>
    </comment>
    <comment ref="P23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夏季银行假日休市</t>
        </r>
      </text>
    </comment>
    <comment ref="H26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夏季银行假日休市</t>
        </r>
      </text>
    </comment>
    <comment ref="M26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夏季银行假日休市</t>
        </r>
      </text>
    </comment>
    <comment ref="N26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夏季银行假日休市</t>
        </r>
      </text>
    </comment>
    <comment ref="O26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夏季银行假日休市</t>
        </r>
      </text>
    </comment>
    <comment ref="P26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夏季银行假日休市</t>
        </r>
      </text>
    </comment>
  </commentList>
</comments>
</file>

<file path=xl/comments46.xml><?xml version="1.0" encoding="utf-8"?>
<comments xmlns="http://schemas.openxmlformats.org/spreadsheetml/2006/main">
  <authors>
    <author>Administrator</author>
  </authors>
  <commentList>
    <comment ref="B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独立纪念日休市</t>
        </r>
      </text>
    </comment>
    <comment ref="F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开斋节休市</t>
        </r>
      </text>
    </comment>
    <comment ref="G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开斋节休市</t>
        </r>
      </text>
    </comment>
    <comment ref="I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开斋节休市</t>
        </r>
      </text>
    </comment>
    <comment ref="J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开斋节休市</t>
        </r>
      </text>
    </comment>
    <comment ref="K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开斋节休市</t>
        </r>
      </text>
    </comment>
    <comment ref="L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开斋节休市</t>
        </r>
      </text>
    </comment>
    <comment ref="M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开斋节休市</t>
        </r>
      </text>
    </comment>
    <comment ref="N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开斋节休市</t>
        </r>
      </text>
    </comment>
    <comment ref="O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开斋节休市</t>
        </r>
      </text>
    </comment>
    <comment ref="P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开斋节休市</t>
        </r>
      </text>
    </comment>
    <comment ref="Q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开斋节休市</t>
        </r>
      </text>
    </comment>
  </commentList>
</comments>
</file>

<file path=xl/comments47.xml><?xml version="1.0" encoding="utf-8"?>
<comments xmlns="http://schemas.openxmlformats.org/spreadsheetml/2006/main">
  <authors>
    <author>Administrator</author>
    <author>freeuser</author>
  </authors>
  <commentLis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阵亡将士纪念日休市</t>
        </r>
      </text>
    </comment>
    <comment ref="H6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春季银行假日休市</t>
        </r>
      </text>
    </comment>
    <comment ref="M6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春季银行假日休市</t>
        </r>
      </text>
    </comment>
    <comment ref="P6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春季银行假日休市</t>
        </r>
      </text>
    </comment>
    <comment ref="E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端午节假期休市</t>
        </r>
      </text>
    </comment>
    <comment ref="H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白金银禧银行假期</t>
        </r>
      </text>
    </comment>
    <comment ref="M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白金银禧银行假期</t>
        </r>
      </text>
    </comment>
    <comment ref="P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白金银禧银行假期</t>
        </r>
      </text>
    </comment>
    <comment ref="B18" authorId="1">
      <text>
        <r>
          <rPr>
            <b/>
            <sz val="9"/>
            <rFont val="Tahoma"/>
            <charset val="134"/>
          </rPr>
          <t>freeuser:</t>
        </r>
        <r>
          <rPr>
            <sz val="9"/>
            <rFont val="Tahoma"/>
            <charset val="134"/>
          </rPr>
          <t xml:space="preserve">
六月节假期休市</t>
        </r>
      </text>
    </comment>
  </commentList>
</comments>
</file>

<file path=xl/comments48.xml><?xml version="1.0" encoding="utf-8"?>
<comments xmlns="http://schemas.openxmlformats.org/spreadsheetml/2006/main">
  <authors>
    <author>Administrator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J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K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L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M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N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O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P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Q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F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G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J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K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L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N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O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P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劳动节休市</t>
        </r>
      </text>
    </comment>
    <comment ref="F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G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I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J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K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L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M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N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O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P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Q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卫塞节休市</t>
        </r>
      </text>
    </comment>
    <comment ref="E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换月
</t>
        </r>
      </text>
    </comment>
    <comment ref="B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阵亡将士纪念日休市</t>
        </r>
      </text>
    </comment>
  </commentList>
</comments>
</file>

<file path=xl/comments49.xml><?xml version="1.0" encoding="utf-8"?>
<comments xmlns="http://schemas.openxmlformats.org/spreadsheetml/2006/main">
  <authors>
    <author>Administrator</author>
  </authors>
  <commentList>
    <comment ref="E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清明节休市</t>
        </r>
      </text>
    </comment>
    <comment ref="E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清明节休市</t>
        </r>
      </text>
    </comment>
    <comment ref="B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C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D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F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G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H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I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J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K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L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M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N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O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P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Q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H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M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P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H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M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P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</commentList>
</comments>
</file>

<file path=xl/comments50.xml><?xml version="1.0" encoding="utf-8"?>
<comments xmlns="http://schemas.openxmlformats.org/spreadsheetml/2006/main">
  <authors>
    <author>Administrator</author>
  </authors>
  <commentList>
    <comment ref="E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</commentList>
</comments>
</file>

<file path=xl/comments51.xml><?xml version="1.0" encoding="utf-8"?>
<comments xmlns="http://schemas.openxmlformats.org/spreadsheetml/2006/main">
  <authors>
    <author>Administrator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F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G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J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K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L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N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O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P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G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J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L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N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P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E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E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E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换月2204
</t>
        </r>
      </text>
    </comment>
    <comment ref="B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总统日休市</t>
        </r>
      </text>
    </comment>
    <comment ref="B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总统日休市</t>
        </r>
      </text>
    </comment>
    <comment ref="E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E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  <comment ref="E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春节假期休市</t>
        </r>
      </text>
    </comment>
  </commentList>
</comments>
</file>

<file path=xl/comments52.xml><?xml version="1.0" encoding="utf-8"?>
<comments xmlns="http://schemas.openxmlformats.org/spreadsheetml/2006/main">
  <authors>
    <author>Administrator</author>
  </authors>
  <commentList>
    <comment ref="P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元旦假期休市</t>
        </r>
      </text>
    </comment>
    <comment ref="E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换2203
</t>
        </r>
      </text>
    </comment>
    <comment ref="B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马丁路德金纪念日休市</t>
        </r>
      </text>
    </comment>
  </commentList>
</comments>
</file>

<file path=xl/comments53.xml><?xml version="1.0" encoding="utf-8"?>
<comments xmlns="http://schemas.openxmlformats.org/spreadsheetml/2006/main">
  <authors>
    <author>Administrator</author>
  </authors>
  <commentList>
    <comment ref="B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D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F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G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H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I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J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K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L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M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N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O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P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Q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圣诞节休市</t>
        </r>
      </text>
    </comment>
    <comment ref="H22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银行假日休市</t>
        </r>
      </text>
    </comment>
    <comment ref="M22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银行假日休市</t>
        </r>
      </text>
    </comment>
    <comment ref="P22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银行假日休市</t>
        </r>
      </text>
    </comment>
    <comment ref="C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换月2203</t>
        </r>
      </text>
    </comment>
  </commentList>
</comments>
</file>

<file path=xl/comments54.xml><?xml version="1.0" encoding="utf-8"?>
<comments xmlns="http://schemas.openxmlformats.org/spreadsheetml/2006/main">
  <authors>
    <author>Administrator</author>
  </authors>
  <commentList>
    <comment ref="F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新加坡屠妖节休市</t>
        </r>
      </text>
    </comment>
    <comment ref="G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新加坡屠妖节休市</t>
        </r>
      </text>
    </comment>
    <comment ref="I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新加坡屠妖节休市</t>
        </r>
      </text>
    </comment>
    <comment ref="J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新加坡屠妖节休市</t>
        </r>
      </text>
    </comment>
    <comment ref="K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新加坡屠妖节休市</t>
        </r>
      </text>
    </comment>
    <comment ref="L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新加坡屠妖节休市</t>
        </r>
      </text>
    </comment>
    <comment ref="N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新加坡屠妖节休市</t>
        </r>
      </text>
    </comment>
    <comment ref="B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感恩节休市</t>
        </r>
      </text>
    </comment>
  </commentList>
</comments>
</file>

<file path=xl/comments55.xml><?xml version="1.0" encoding="utf-8"?>
<comments xmlns="http://schemas.openxmlformats.org/spreadsheetml/2006/main">
  <authors>
    <author>Administrator</author>
  </authors>
  <commentList>
    <comment ref="E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国庆节假期休市</t>
        </r>
      </text>
    </comment>
    <comment ref="E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国庆节假期休市</t>
        </r>
      </text>
    </comment>
    <comment ref="E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国庆节假期休市</t>
        </r>
      </text>
    </comment>
    <comment ref="E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国庆节假期休市</t>
        </r>
      </text>
    </comment>
    <comment ref="E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国庆节假期休市</t>
        </r>
      </text>
    </comment>
    <comment ref="E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新换主力SC2112</t>
        </r>
      </text>
    </comment>
  </commentList>
</comments>
</file>

<file path=xl/comments56.xml><?xml version="1.0" encoding="utf-8"?>
<comments xmlns="http://schemas.openxmlformats.org/spreadsheetml/2006/main">
  <authors>
    <author>Administrator</author>
  </authors>
  <commentList>
    <comment ref="H3" authorId="0">
      <text>
        <r>
          <rPr>
            <sz val="9"/>
            <rFont val="宋体"/>
            <charset val="134"/>
          </rPr>
          <t>银行假日休市</t>
        </r>
      </text>
    </comment>
    <comment ref="B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美国劳工节休市</t>
        </r>
      </text>
    </comment>
    <comment ref="E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中秋节假期休市</t>
        </r>
      </text>
    </comment>
    <comment ref="E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中秋节假期休市</t>
        </r>
      </text>
    </comment>
    <comment ref="E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中秋节假期休市</t>
        </r>
      </text>
    </comment>
  </commentList>
</comments>
</file>

<file path=xl/comments57.xml><?xml version="1.0" encoding="utf-8"?>
<comments xmlns="http://schemas.openxmlformats.org/spreadsheetml/2006/main">
  <authors>
    <author>Administrator</author>
  </authors>
  <commentList>
    <comment ref="F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G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I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J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K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L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M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新加坡国庆节休市</t>
        </r>
      </text>
    </comment>
    <comment ref="E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换2110</t>
        </r>
      </text>
    </comment>
    <comment ref="B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新换10月主力</t>
        </r>
      </text>
    </comment>
    <comment ref="H23" authorId="0">
      <text>
        <r>
          <rPr>
            <sz val="9"/>
            <rFont val="宋体"/>
            <charset val="134"/>
          </rPr>
          <t>银行假日休市</t>
        </r>
      </text>
    </comment>
    <comment ref="H25" authorId="0">
      <text>
        <r>
          <rPr>
            <sz val="9"/>
            <rFont val="宋体"/>
            <charset val="134"/>
          </rPr>
          <t>银行假日休市</t>
        </r>
      </text>
    </comment>
  </commentList>
</comments>
</file>

<file path=xl/comments58.xml><?xml version="1.0" encoding="utf-8"?>
<comments xmlns="http://schemas.openxmlformats.org/spreadsheetml/2006/main">
  <authors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独立日休市</t>
        </r>
      </text>
    </comment>
    <comment ref="E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新换SC2109</t>
        </r>
      </text>
    </comment>
    <comment ref="F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新加坡哈芝节休市</t>
        </r>
      </text>
    </comment>
    <comment ref="G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新加坡哈芝节休市</t>
        </r>
      </text>
    </comment>
    <comment ref="I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新加坡哈芝节休市</t>
        </r>
      </text>
    </comment>
    <comment ref="J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新加坡哈芝节休市</t>
        </r>
      </text>
    </comment>
    <comment ref="K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新加坡哈芝节休市</t>
        </r>
      </text>
    </comment>
    <comment ref="L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新加坡哈芝节休市</t>
        </r>
      </text>
    </comment>
    <comment ref="M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新加坡哈芝节休市</t>
        </r>
      </text>
    </comment>
    <comment ref="B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换09合约
</t>
        </r>
      </text>
    </comment>
  </commentList>
</comments>
</file>

<file path=xl/comments59.xml><?xml version="1.0" encoding="utf-8"?>
<comments xmlns="http://schemas.openxmlformats.org/spreadsheetml/2006/main">
  <authors>
    <author>Administrator</author>
  </authors>
  <commentList>
    <comment ref="E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新换8月主力</t>
        </r>
      </text>
    </comment>
    <comment ref="B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新换8月主力合约</t>
        </r>
      </text>
    </comment>
  </commentList>
</comments>
</file>

<file path=xl/comments60.xml><?xml version="1.0" encoding="utf-8"?>
<comments xmlns="http://schemas.openxmlformats.org/spreadsheetml/2006/main">
  <authors>
    <author>Administrator</author>
  </authors>
  <commentList>
    <comment ref="F1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新加坡开斋节休市</t>
        </r>
      </text>
    </comment>
    <comment ref="G1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新加坡开斋节休市</t>
        </r>
      </text>
    </comment>
    <comment ref="I1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新加坡开斋节休市</t>
        </r>
      </text>
    </comment>
    <comment ref="J1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新加坡开斋节休市</t>
        </r>
      </text>
    </comment>
    <comment ref="K1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新加坡开斋节休市</t>
        </r>
      </text>
    </comment>
    <comment ref="L1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新加坡开斋节休市</t>
        </r>
      </text>
    </comment>
    <comment ref="M1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新加坡开斋节休市</t>
        </r>
      </text>
    </comment>
    <comment ref="F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新加坡休市</t>
        </r>
      </text>
    </comment>
    <comment ref="G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新加坡休市</t>
        </r>
      </text>
    </comment>
    <comment ref="I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新加坡休市</t>
        </r>
      </text>
    </comment>
    <comment ref="J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新加坡休市</t>
        </r>
      </text>
    </comment>
    <comment ref="K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新加坡休市</t>
        </r>
      </text>
    </comment>
    <comment ref="L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新加坡休市</t>
        </r>
      </text>
    </comment>
    <comment ref="M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新加坡休市</t>
        </r>
      </text>
    </comment>
    <comment ref="B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阵亡将士纪念日休市</t>
        </r>
      </text>
    </comment>
    <comment ref="C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新换8月主力合约</t>
        </r>
      </text>
    </comment>
    <comment ref="H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英国春季银行假日休市</t>
        </r>
      </text>
    </comment>
    <comment ref="B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阵亡将士纪念日休市</t>
        </r>
      </text>
    </comment>
    <comment ref="H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英国春季银行假日休市</t>
        </r>
      </text>
    </comment>
  </commentList>
</comments>
</file>

<file path=xl/comments61.xml><?xml version="1.0" encoding="utf-8"?>
<comments xmlns="http://schemas.openxmlformats.org/spreadsheetml/2006/main">
  <authors>
    <author>Administrator</author>
  </authors>
  <commentList>
    <comment ref="B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C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D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休市</t>
        </r>
      </text>
    </comment>
    <comment ref="F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G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H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J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K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L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耶稣受难日休市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清明节休市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复活节休市</t>
        </r>
      </text>
    </comment>
    <comment ref="E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换SC2106</t>
        </r>
      </text>
    </comment>
  </commentList>
</comments>
</file>

<file path=xl/comments62.xml><?xml version="1.0" encoding="utf-8"?>
<comments xmlns="http://schemas.openxmlformats.org/spreadsheetml/2006/main">
  <authors>
    <author>Administrator</author>
  </authors>
  <commentList>
    <comment ref="E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中国春节休市</t>
        </r>
      </text>
    </comment>
    <comment ref="E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中国春节休市</t>
        </r>
      </text>
    </comment>
    <comment ref="F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新加坡春节休市</t>
        </r>
      </text>
    </comment>
    <comment ref="G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新加坡春节休市</t>
        </r>
      </text>
    </comment>
    <comment ref="I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新加坡春节休市</t>
        </r>
      </text>
    </comment>
    <comment ref="J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新加坡春节休市</t>
        </r>
      </text>
    </comment>
    <comment ref="K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新加坡春节休市</t>
        </r>
      </text>
    </comment>
    <comment ref="L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新加坡春节休市</t>
        </r>
      </text>
    </comment>
    <comment ref="M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新加坡春节休市</t>
        </r>
      </text>
    </comment>
    <comment ref="B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美国总统日提前收盘无结算
</t>
        </r>
      </text>
    </comment>
    <comment ref="E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中国春节休市</t>
        </r>
      </text>
    </comment>
    <comment ref="E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中国春节休市</t>
        </r>
      </text>
    </comment>
    <comment ref="E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中国春节休市</t>
        </r>
      </text>
    </comment>
    <comment ref="B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换4月
</t>
        </r>
      </text>
    </comment>
  </commentList>
</comments>
</file>

<file path=xl/comments63.xml><?xml version="1.0" encoding="utf-8"?>
<comments xmlns="http://schemas.openxmlformats.org/spreadsheetml/2006/main">
  <authors>
    <author>Administrator</author>
  </authors>
  <commentLis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元旦节休市</t>
        </r>
      </text>
    </comment>
    <comment ref="B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休市
</t>
        </r>
      </text>
    </comment>
  </commentList>
</comments>
</file>

<file path=xl/sharedStrings.xml><?xml version="1.0" encoding="utf-8"?>
<sst xmlns="http://schemas.openxmlformats.org/spreadsheetml/2006/main" count="1278" uniqueCount="56">
  <si>
    <t>WTI(期)</t>
  </si>
  <si>
    <t>布伦特(期)</t>
  </si>
  <si>
    <t>阿曼(期)</t>
  </si>
  <si>
    <t>沪原油(期)</t>
  </si>
  <si>
    <t>迪拜</t>
  </si>
  <si>
    <t>阿曼</t>
  </si>
  <si>
    <t>DTD</t>
  </si>
  <si>
    <t>米纳斯</t>
  </si>
  <si>
    <t>塔皮斯</t>
  </si>
  <si>
    <t>杜里</t>
  </si>
  <si>
    <t>辛塔</t>
  </si>
  <si>
    <t>North West Shelf</t>
  </si>
  <si>
    <t>Qatar LSC</t>
  </si>
  <si>
    <t>DFC</t>
  </si>
  <si>
    <t>NW Shelf（Asia）</t>
  </si>
  <si>
    <t>ESPO</t>
  </si>
  <si>
    <t>0501-0529平均</t>
  </si>
  <si>
    <t>本周平均</t>
  </si>
  <si>
    <t>0601-0603平均</t>
  </si>
  <si>
    <t>较上月变化率</t>
  </si>
  <si>
    <t>0401-0430平均</t>
  </si>
  <si>
    <t>0301-0331平均</t>
  </si>
  <si>
    <t>0201-0227平均</t>
  </si>
  <si>
    <t>0101-0130平均</t>
  </si>
  <si>
    <t>1201-1231平均</t>
  </si>
  <si>
    <t>1101-1130平均</t>
  </si>
  <si>
    <t xml:space="preserve"> </t>
  </si>
  <si>
    <t>1001-1031平均</t>
  </si>
  <si>
    <t>1101-1128平均</t>
  </si>
  <si>
    <t>0901-0930平均</t>
  </si>
  <si>
    <t>0801-0831平均</t>
  </si>
  <si>
    <t>0701-0731平均</t>
  </si>
  <si>
    <t>0801-0829平均</t>
  </si>
  <si>
    <t>0601-0630平均</t>
  </si>
  <si>
    <t>0501-0530平均</t>
  </si>
  <si>
    <t>0201-0228平均</t>
  </si>
  <si>
    <t>0101-0131平均</t>
  </si>
  <si>
    <t>1101-1129平均</t>
  </si>
  <si>
    <t>0801-0830平均</t>
  </si>
  <si>
    <t>0601-0628平均</t>
  </si>
  <si>
    <t>0501-0531平均</t>
  </si>
  <si>
    <t>0201-0229平均</t>
  </si>
  <si>
    <t>0301-0329平均</t>
  </si>
  <si>
    <t>1201-1229平均</t>
  </si>
  <si>
    <t>0901-0929平均</t>
  </si>
  <si>
    <t>0401-0428平均</t>
  </si>
  <si>
    <t>1201-1230平均</t>
  </si>
  <si>
    <r>
      <rPr>
        <b/>
        <sz val="9"/>
        <color indexed="10"/>
        <rFont val="宋体"/>
        <charset val="134"/>
      </rPr>
      <t>0901-09</t>
    </r>
    <r>
      <rPr>
        <b/>
        <sz val="9"/>
        <color indexed="10"/>
        <rFont val="宋体"/>
        <charset val="134"/>
      </rPr>
      <t>30</t>
    </r>
    <r>
      <rPr>
        <b/>
        <sz val="9"/>
        <color indexed="10"/>
        <rFont val="宋体"/>
        <charset val="134"/>
      </rPr>
      <t>平均</t>
    </r>
  </si>
  <si>
    <t>0701-0729平均</t>
  </si>
  <si>
    <r>
      <rPr>
        <b/>
        <sz val="9"/>
        <color indexed="10"/>
        <rFont val="宋体"/>
        <charset val="134"/>
      </rPr>
      <t>0601-06</t>
    </r>
    <r>
      <rPr>
        <b/>
        <sz val="9"/>
        <color indexed="10"/>
        <rFont val="宋体"/>
        <charset val="134"/>
      </rPr>
      <t>30平均</t>
    </r>
  </si>
  <si>
    <t>0401-0429平均</t>
  </si>
  <si>
    <t>1001-1029平均</t>
  </si>
  <si>
    <t>0701-0730平均</t>
  </si>
  <si>
    <t>0503-0531平均</t>
  </si>
  <si>
    <t>0201-0226平均</t>
  </si>
  <si>
    <t>0101-0129平均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</si>
</sst>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_(* #,##0.00_);_(* \(#,##0.00\);_(* &quot;-&quot;??_);_(@_)"/>
    <numFmt numFmtId="178" formatCode="0.0%"/>
  </numFmts>
  <fonts count="39"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b/>
      <sz val="9"/>
      <color indexed="10"/>
      <name val="宋体"/>
      <charset val="134"/>
    </font>
    <font>
      <b/>
      <sz val="9"/>
      <color indexed="12"/>
      <name val="宋体"/>
      <charset val="134"/>
    </font>
    <font>
      <b/>
      <sz val="9"/>
      <color indexed="57"/>
      <name val="宋体"/>
      <charset val="134"/>
    </font>
    <font>
      <sz val="9"/>
      <color indexed="10"/>
      <name val="宋体"/>
      <charset val="134"/>
    </font>
    <font>
      <b/>
      <sz val="12"/>
      <name val="宋体"/>
      <charset val="134"/>
    </font>
    <font>
      <b/>
      <sz val="9"/>
      <color rgb="FF00B050"/>
      <name val="宋体"/>
      <charset val="134"/>
    </font>
    <font>
      <sz val="11"/>
      <color indexed="58"/>
      <name val="宋体"/>
      <charset val="134"/>
    </font>
    <font>
      <sz val="11"/>
      <color rgb="FF3F3F76"/>
      <name val="宋体"/>
      <charset val="134"/>
    </font>
    <font>
      <u/>
      <sz val="11"/>
      <color rgb="FF0563C1"/>
      <name val="宋体"/>
      <charset val="134"/>
    </font>
    <font>
      <sz val="11"/>
      <color rgb="FF9C0006"/>
      <name val="宋体"/>
      <charset val="134"/>
    </font>
    <font>
      <sz val="11"/>
      <color indexed="8"/>
      <name val="宋体"/>
      <charset val="134"/>
    </font>
    <font>
      <u/>
      <sz val="11"/>
      <color indexed="12"/>
      <name val="宋体"/>
      <charset val="134"/>
    </font>
    <font>
      <u/>
      <sz val="11"/>
      <color rgb="FF800080"/>
      <name val="宋体"/>
      <charset val="134"/>
    </font>
    <font>
      <sz val="11"/>
      <color indexed="58"/>
      <name val="Calibri"/>
      <charset val="0"/>
    </font>
    <font>
      <b/>
      <sz val="11"/>
      <color rgb="FF44546A"/>
      <name val="宋体"/>
      <charset val="134"/>
    </font>
    <font>
      <sz val="11"/>
      <color indexed="10"/>
      <name val="宋体"/>
      <charset val="134"/>
    </font>
    <font>
      <b/>
      <sz val="18"/>
      <color rgb="FF44546A"/>
      <name val="宋体"/>
      <charset val="134"/>
    </font>
    <font>
      <i/>
      <sz val="11"/>
      <color indexed="23"/>
      <name val="宋体"/>
      <charset val="134"/>
    </font>
    <font>
      <b/>
      <sz val="15"/>
      <color rgb="FF44546A"/>
      <name val="宋体"/>
      <charset val="134"/>
    </font>
    <font>
      <b/>
      <sz val="13"/>
      <color rgb="FF44546A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indexed="8"/>
      <name val="宋体"/>
      <charset val="134"/>
    </font>
    <font>
      <sz val="11"/>
      <color rgb="FFFA7D00"/>
      <name val="宋体"/>
      <charset val="134"/>
    </font>
    <font>
      <b/>
      <sz val="11"/>
      <color indexed="58"/>
      <name val="宋体"/>
      <charset val="134"/>
    </font>
    <font>
      <sz val="11"/>
      <color rgb="FF006100"/>
      <name val="宋体"/>
      <charset val="134"/>
    </font>
    <font>
      <sz val="11"/>
      <color rgb="FF9C6500"/>
      <name val="宋体"/>
      <charset val="134"/>
    </font>
    <font>
      <u/>
      <sz val="12.65"/>
      <color rgb="FF0563C1"/>
      <name val="宋体"/>
      <charset val="134"/>
    </font>
    <font>
      <sz val="11"/>
      <color indexed="20"/>
      <name val="宋体"/>
      <charset val="134"/>
    </font>
    <font>
      <sz val="10"/>
      <name val="Arial"/>
      <charset val="0"/>
    </font>
    <font>
      <sz val="11"/>
      <color indexed="17"/>
      <name val="宋体"/>
      <charset val="134"/>
    </font>
    <font>
      <sz val="11"/>
      <color indexed="8"/>
      <name val="Calibri"/>
      <charset val="0"/>
    </font>
    <font>
      <b/>
      <sz val="9"/>
      <name val="Tahoma"/>
      <charset val="134"/>
    </font>
    <font>
      <b/>
      <sz val="9"/>
      <name val="宋体"/>
      <charset val="134"/>
    </font>
    <font>
      <sz val="9"/>
      <name val="Tahoma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13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0" fillId="0" borderId="0">
      <alignment vertical="top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0" fontId="0" fillId="0" borderId="0" applyBorder="0"/>
    <xf numFmtId="0" fontId="9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7" borderId="13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2" fillId="0" borderId="14" applyNumberFormat="0" applyFill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3" fillId="11" borderId="16" applyNumberFormat="0" applyAlignment="0" applyProtection="0">
      <alignment vertical="center"/>
    </xf>
    <xf numFmtId="0" fontId="0" fillId="0" borderId="0" applyBorder="0"/>
    <xf numFmtId="0" fontId="24" fillId="11" borderId="12" applyNumberFormat="0" applyAlignment="0" applyProtection="0">
      <alignment vertical="center"/>
    </xf>
    <xf numFmtId="0" fontId="25" fillId="12" borderId="17" applyNumberFormat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0" fillId="0" borderId="0" applyBorder="0"/>
    <xf numFmtId="0" fontId="28" fillId="15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9" fontId="13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9" fontId="13" fillId="0" borderId="0" applyFont="0" applyFill="0" applyBorder="0" applyAlignment="0" applyProtection="0">
      <alignment vertical="center"/>
    </xf>
    <xf numFmtId="0" fontId="0" fillId="0" borderId="0" applyBorder="0"/>
    <xf numFmtId="0" fontId="9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0" fillId="0" borderId="0" applyBorder="0"/>
    <xf numFmtId="0" fontId="0" fillId="0" borderId="0" applyBorder="0"/>
    <xf numFmtId="9" fontId="0" fillId="0" borderId="0" applyFont="0" applyFill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0" fillId="0" borderId="0">
      <alignment vertical="top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0" borderId="0"/>
    <xf numFmtId="0" fontId="32" fillId="0" borderId="0"/>
    <xf numFmtId="0" fontId="9" fillId="0" borderId="0">
      <alignment vertical="center"/>
    </xf>
    <xf numFmtId="0" fontId="32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3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33" fillId="3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33" fillId="3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177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78" fontId="3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176" fontId="3" fillId="0" borderId="8" xfId="0" applyNumberFormat="1" applyFont="1" applyBorder="1" applyAlignment="1">
      <alignment horizontal="center" vertical="center"/>
    </xf>
    <xf numFmtId="176" fontId="1" fillId="0" borderId="8" xfId="0" applyNumberFormat="1" applyFont="1" applyFill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178" fontId="3" fillId="0" borderId="9" xfId="0" applyNumberFormat="1" applyFont="1" applyBorder="1" applyAlignment="1">
      <alignment horizontal="center" vertical="center"/>
    </xf>
    <xf numFmtId="178" fontId="5" fillId="0" borderId="6" xfId="0" applyNumberFormat="1" applyFont="1" applyBorder="1" applyAlignment="1">
      <alignment horizontal="center" vertical="center"/>
    </xf>
    <xf numFmtId="178" fontId="5" fillId="0" borderId="9" xfId="0" applyNumberFormat="1" applyFont="1" applyBorder="1" applyAlignment="1">
      <alignment horizontal="center" vertical="center"/>
    </xf>
    <xf numFmtId="176" fontId="1" fillId="0" borderId="10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176" fontId="6" fillId="0" borderId="4" xfId="0" applyNumberFormat="1" applyFont="1" applyFill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0" fontId="8" fillId="0" borderId="6" xfId="0" applyNumberFormat="1" applyFont="1" applyBorder="1" applyAlignment="1">
      <alignment horizontal="center" vertical="center"/>
    </xf>
  </cellXfs>
  <cellStyles count="134">
    <cellStyle name="常规" xfId="0" builtinId="0"/>
    <cellStyle name="货币[0]" xfId="1" builtinId="7"/>
    <cellStyle name="20% - 强调文字颜色 3" xfId="2" builtinId="38"/>
    <cellStyle name="输入" xfId="3" builtinId="20"/>
    <cellStyle name="常规 2 2 4" xfId="4"/>
    <cellStyle name="货币" xfId="5" builtinId="4"/>
    <cellStyle name="千位分隔[0]" xfId="6" builtinId="6"/>
    <cellStyle name="超链接 6" xfId="7"/>
    <cellStyle name="百分比 3 3" xfId="8"/>
    <cellStyle name="3232 2 2" xfId="9"/>
    <cellStyle name="40% - 强调文字颜色 3" xfId="10" builtinId="39"/>
    <cellStyle name="差" xfId="11" builtinId="27"/>
    <cellStyle name="千位分隔" xfId="12" builtinId="3"/>
    <cellStyle name="60% - 强调文字颜色 3" xfId="13" builtinId="40"/>
    <cellStyle name="超链接" xfId="14" builtinId="8"/>
    <cellStyle name="百分比" xfId="15" builtinId="5"/>
    <cellStyle name="已访问的超链接" xfId="16" builtinId="9"/>
    <cellStyle name="百分比 2" xfId="17"/>
    <cellStyle name="常规 6" xfId="18"/>
    <cellStyle name="注释" xfId="19" builtinId="10"/>
    <cellStyle name="60% - 强调文字颜色 2" xfId="20" builtinId="36"/>
    <cellStyle name="标题 4" xfId="21" builtinId="19"/>
    <cellStyle name="警告文本" xfId="22" builtinId="11"/>
    <cellStyle name="常规 5 2" xfId="23"/>
    <cellStyle name="标题" xfId="24" builtinId="15"/>
    <cellStyle name="解释性文本" xfId="25" builtinId="53"/>
    <cellStyle name="百分比 2 2" xfId="26"/>
    <cellStyle name="标题 1" xfId="27" builtinId="16"/>
    <cellStyle name="百分比 2 3" xfId="28"/>
    <cellStyle name="常规 5 2 2" xfId="29"/>
    <cellStyle name="标题 2" xfId="30" builtinId="17"/>
    <cellStyle name="百分比 2 4" xfId="31"/>
    <cellStyle name="60% - 强调文字颜色 1" xfId="32" builtinId="32"/>
    <cellStyle name="标题 3" xfId="33" builtinId="18"/>
    <cellStyle name="60% - 强调文字颜色 4" xfId="34" builtinId="44"/>
    <cellStyle name="输出" xfId="35" builtinId="21"/>
    <cellStyle name="3232 2" xfId="36"/>
    <cellStyle name="计算" xfId="37" builtinId="22"/>
    <cellStyle name="检查单元格" xfId="38" builtinId="23"/>
    <cellStyle name="百分比 2 2 3" xfId="39"/>
    <cellStyle name="20% - 强调文字颜色 6" xfId="40" builtinId="50"/>
    <cellStyle name="强调文字颜色 2" xfId="41" builtinId="33"/>
    <cellStyle name="链接单元格" xfId="42" builtinId="24"/>
    <cellStyle name="汇总" xfId="43" builtinId="25"/>
    <cellStyle name="3232 3" xfId="44"/>
    <cellStyle name="好" xfId="45" builtinId="26"/>
    <cellStyle name="百分比 3 2 2" xfId="46"/>
    <cellStyle name="适中" xfId="47" builtinId="28"/>
    <cellStyle name="百分比 2 2 2" xfId="48"/>
    <cellStyle name="20% - 强调文字颜色 5" xfId="49" builtinId="46"/>
    <cellStyle name="强调文字颜色 1" xfId="50" builtinId="29"/>
    <cellStyle name="20% - 强调文字颜色 1" xfId="51" builtinId="30"/>
    <cellStyle name="40% - 强调文字颜色 1" xfId="52" builtinId="31"/>
    <cellStyle name="20% - 强调文字颜色 2" xfId="53" builtinId="34"/>
    <cellStyle name="超链接 5" xfId="54"/>
    <cellStyle name="百分比 3 2" xfId="55"/>
    <cellStyle name="40% - 强调文字颜色 2" xfId="56" builtinId="35"/>
    <cellStyle name="强调文字颜色 3" xfId="57" builtinId="37"/>
    <cellStyle name="强调文字颜色 4" xfId="58" builtinId="41"/>
    <cellStyle name="20% - 强调文字颜色 4" xfId="59" builtinId="42"/>
    <cellStyle name="超链接 7" xfId="60"/>
    <cellStyle name="百分比 3 4" xfId="61"/>
    <cellStyle name="3232 2 3" xfId="62"/>
    <cellStyle name="40% - 强调文字颜色 4" xfId="63" builtinId="43"/>
    <cellStyle name="强调文字颜色 5" xfId="64" builtinId="45"/>
    <cellStyle name="40% - 强调文字颜色 5" xfId="65" builtinId="47"/>
    <cellStyle name="60% - 强调文字颜色 5" xfId="66" builtinId="48"/>
    <cellStyle name="强调文字颜色 6" xfId="67" builtinId="49"/>
    <cellStyle name="40% - 强调文字颜色 6" xfId="68" builtinId="51"/>
    <cellStyle name="60% - 强调文字颜色 6" xfId="69" builtinId="52"/>
    <cellStyle name="3232" xfId="70"/>
    <cellStyle name="3232 4" xfId="71"/>
    <cellStyle name="百分比 3" xfId="72"/>
    <cellStyle name="差_Sheet1" xfId="73"/>
    <cellStyle name="差_Sheet1 2" xfId="74"/>
    <cellStyle name="差_Sheet1 3" xfId="75"/>
    <cellStyle name="常规 2" xfId="76"/>
    <cellStyle name="常规 2 2" xfId="77"/>
    <cellStyle name="常规 2 2 2" xfId="78"/>
    <cellStyle name="常规 2 2 2 2" xfId="79"/>
    <cellStyle name="常规 2 2 2 3" xfId="80"/>
    <cellStyle name="常规 2 2 3" xfId="81"/>
    <cellStyle name="常规 2 2 5" xfId="82"/>
    <cellStyle name="常规 2 3" xfId="83"/>
    <cellStyle name="常规 2 3 2" xfId="84"/>
    <cellStyle name="常规 2 3 3" xfId="85"/>
    <cellStyle name="常规 2 4" xfId="86"/>
    <cellStyle name="常规 2 5" xfId="87"/>
    <cellStyle name="常规 2 6" xfId="88"/>
    <cellStyle name="常规 3" xfId="89"/>
    <cellStyle name="常规 3 2" xfId="90"/>
    <cellStyle name="常规 3 2 2" xfId="91"/>
    <cellStyle name="常规 3 2 2 2" xfId="92"/>
    <cellStyle name="常规 3 2 2 3" xfId="93"/>
    <cellStyle name="常规 3 2 3" xfId="94"/>
    <cellStyle name="常规 3 2 4" xfId="95"/>
    <cellStyle name="常规 3 3" xfId="96"/>
    <cellStyle name="常规 3 3 2" xfId="97"/>
    <cellStyle name="常规 3 3 3" xfId="98"/>
    <cellStyle name="常规 3 4" xfId="99"/>
    <cellStyle name="常规 3 5" xfId="100"/>
    <cellStyle name="常规 3 6" xfId="101"/>
    <cellStyle name="常规 4" xfId="102"/>
    <cellStyle name="常规 4 2" xfId="103"/>
    <cellStyle name="常规 4 4" xfId="104"/>
    <cellStyle name="常规 4 2 2" xfId="105"/>
    <cellStyle name="常规 4 5" xfId="106"/>
    <cellStyle name="常规 4 2 3" xfId="107"/>
    <cellStyle name="常规 4 3" xfId="108"/>
    <cellStyle name="常规 5" xfId="109"/>
    <cellStyle name="常规 5 3" xfId="110"/>
    <cellStyle name="常规 5 4" xfId="111"/>
    <cellStyle name="常规 7" xfId="112"/>
    <cellStyle name="常规 7 2" xfId="113"/>
    <cellStyle name="常规 8" xfId="114"/>
    <cellStyle name="常规 9" xfId="115"/>
    <cellStyle name="好_Sheet1" xfId="116"/>
    <cellStyle name="超链接 2" xfId="117"/>
    <cellStyle name="好_Sheet1 2" xfId="118"/>
    <cellStyle name="超链接 2 2" xfId="119"/>
    <cellStyle name="超链接 2 2 2" xfId="120"/>
    <cellStyle name="超链接 2 2 3" xfId="121"/>
    <cellStyle name="好_Sheet1 3" xfId="122"/>
    <cellStyle name="超链接 2 3" xfId="123"/>
    <cellStyle name="超链接 2 4" xfId="124"/>
    <cellStyle name="超链接 3" xfId="125"/>
    <cellStyle name="超链接 3 2" xfId="126"/>
    <cellStyle name="超链接 3 3" xfId="127"/>
    <cellStyle name="超链接 4" xfId="128"/>
    <cellStyle name="超链接 4 2" xfId="129"/>
    <cellStyle name="千位分隔 2" xfId="130"/>
    <cellStyle name="千位分隔 3" xfId="131"/>
    <cellStyle name="千位分隔 3 2" xfId="132"/>
    <cellStyle name="千位分隔 4" xfId="133"/>
  </cellStyles>
  <dxfs count="6">
    <dxf>
      <font>
        <color rgb="FF000000"/>
      </font>
    </dxf>
    <dxf>
      <font>
        <color rgb="FF00B050"/>
      </font>
    </dxf>
    <dxf>
      <font>
        <color rgb="FFFF0000"/>
      </font>
    </dxf>
    <dxf>
      <font>
        <b val="0"/>
        <i val="0"/>
        <strike val="0"/>
        <color rgb="FF003300"/>
      </font>
    </dxf>
    <dxf>
      <font>
        <b val="0"/>
        <i val="0"/>
        <strike val="0"/>
        <color rgb="FF339966"/>
      </font>
    </dxf>
    <dxf>
      <font>
        <b val="0"/>
        <i val="0"/>
        <strike val="0"/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0E0E0"/>
      <rgbColor rgb="00CC000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339966"/>
      <color rgb="00FF0000"/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9" Type="http://schemas.openxmlformats.org/officeDocument/2006/relationships/sharedStrings" Target="sharedStrings.xml"/><Relationship Id="rId68" Type="http://schemas.openxmlformats.org/officeDocument/2006/relationships/styles" Target="styles.xml"/><Relationship Id="rId67" Type="http://schemas.openxmlformats.org/officeDocument/2006/relationships/theme" Target="theme/theme1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w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w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7</xdr:col>
      <xdr:colOff>276225</xdr:colOff>
      <xdr:row>12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028825"/>
          <a:ext cx="5076825" cy="876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26</xdr:row>
      <xdr:rowOff>0</xdr:rowOff>
    </xdr:from>
    <xdr:to>
      <xdr:col>7</xdr:col>
      <xdr:colOff>228600</xdr:colOff>
      <xdr:row>31</xdr:row>
      <xdr:rowOff>28575</xdr:rowOff>
    </xdr:to>
    <xdr:pic>
      <xdr:nvPicPr>
        <xdr:cNvPr id="1593394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286375"/>
          <a:ext cx="5029200" cy="942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27</xdr:row>
      <xdr:rowOff>0</xdr:rowOff>
    </xdr:from>
    <xdr:to>
      <xdr:col>6</xdr:col>
      <xdr:colOff>335280</xdr:colOff>
      <xdr:row>31</xdr:row>
      <xdr:rowOff>128270</xdr:rowOff>
    </xdr:to>
    <xdr:pic>
      <xdr:nvPicPr>
        <xdr:cNvPr id="3883009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467350"/>
          <a:ext cx="4450080" cy="8616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25</xdr:row>
      <xdr:rowOff>0</xdr:rowOff>
    </xdr:from>
    <xdr:to>
      <xdr:col>6</xdr:col>
      <xdr:colOff>638175</xdr:colOff>
      <xdr:row>30</xdr:row>
      <xdr:rowOff>0</xdr:rowOff>
    </xdr:to>
    <xdr:pic>
      <xdr:nvPicPr>
        <xdr:cNvPr id="388403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105400"/>
          <a:ext cx="4752975" cy="914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27</xdr:row>
      <xdr:rowOff>0</xdr:rowOff>
    </xdr:from>
    <xdr:to>
      <xdr:col>6</xdr:col>
      <xdr:colOff>638175</xdr:colOff>
      <xdr:row>32</xdr:row>
      <xdr:rowOff>0</xdr:rowOff>
    </xdr:to>
    <xdr:pic>
      <xdr:nvPicPr>
        <xdr:cNvPr id="3885057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467350"/>
          <a:ext cx="4752975" cy="914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28</xdr:row>
      <xdr:rowOff>0</xdr:rowOff>
    </xdr:from>
    <xdr:to>
      <xdr:col>6</xdr:col>
      <xdr:colOff>647700</xdr:colOff>
      <xdr:row>32</xdr:row>
      <xdr:rowOff>152400</xdr:rowOff>
    </xdr:to>
    <xdr:pic>
      <xdr:nvPicPr>
        <xdr:cNvPr id="3886081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648325"/>
          <a:ext cx="4762500" cy="885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25</xdr:row>
      <xdr:rowOff>0</xdr:rowOff>
    </xdr:from>
    <xdr:to>
      <xdr:col>6</xdr:col>
      <xdr:colOff>638175</xdr:colOff>
      <xdr:row>30</xdr:row>
      <xdr:rowOff>48260</xdr:rowOff>
    </xdr:to>
    <xdr:pic>
      <xdr:nvPicPr>
        <xdr:cNvPr id="3887105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105400"/>
          <a:ext cx="4752975" cy="962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28</xdr:row>
      <xdr:rowOff>0</xdr:rowOff>
    </xdr:from>
    <xdr:to>
      <xdr:col>6</xdr:col>
      <xdr:colOff>228600</xdr:colOff>
      <xdr:row>32</xdr:row>
      <xdr:rowOff>97790</xdr:rowOff>
    </xdr:to>
    <xdr:pic>
      <xdr:nvPicPr>
        <xdr:cNvPr id="3888129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648325"/>
          <a:ext cx="4343400" cy="8312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27</xdr:row>
      <xdr:rowOff>0</xdr:rowOff>
    </xdr:from>
    <xdr:to>
      <xdr:col>6</xdr:col>
      <xdr:colOff>619125</xdr:colOff>
      <xdr:row>32</xdr:row>
      <xdr:rowOff>28575</xdr:rowOff>
    </xdr:to>
    <xdr:pic>
      <xdr:nvPicPr>
        <xdr:cNvPr id="3889153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467350"/>
          <a:ext cx="4733925" cy="942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26</xdr:row>
      <xdr:rowOff>0</xdr:rowOff>
    </xdr:from>
    <xdr:to>
      <xdr:col>6</xdr:col>
      <xdr:colOff>657225</xdr:colOff>
      <xdr:row>31</xdr:row>
      <xdr:rowOff>0</xdr:rowOff>
    </xdr:to>
    <xdr:pic>
      <xdr:nvPicPr>
        <xdr:cNvPr id="3890177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286375"/>
          <a:ext cx="4772025" cy="914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11</xdr:row>
      <xdr:rowOff>0</xdr:rowOff>
    </xdr:from>
    <xdr:to>
      <xdr:col>10</xdr:col>
      <xdr:colOff>228600</xdr:colOff>
      <xdr:row>12</xdr:row>
      <xdr:rowOff>48260</xdr:rowOff>
    </xdr:to>
    <xdr:pic>
      <xdr:nvPicPr>
        <xdr:cNvPr id="3891201" name="Host Control  139"/>
        <xdr:cNvPicPr/>
      </xdr:nvPicPr>
      <xdr:blipFill>
        <a:blip r:embed="rId1"/>
        <a:stretch>
          <a:fillRect/>
        </a:stretch>
      </xdr:blipFill>
      <xdr:spPr>
        <a:xfrm>
          <a:off x="6172200" y="2352675"/>
          <a:ext cx="914400" cy="229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6</xdr:col>
      <xdr:colOff>590550</xdr:colOff>
      <xdr:row>32</xdr:row>
      <xdr:rowOff>123825</xdr:rowOff>
    </xdr:to>
    <xdr:pic>
      <xdr:nvPicPr>
        <xdr:cNvPr id="389120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5648325"/>
          <a:ext cx="4705350" cy="857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26</xdr:row>
      <xdr:rowOff>0</xdr:rowOff>
    </xdr:from>
    <xdr:to>
      <xdr:col>7</xdr:col>
      <xdr:colOff>57150</xdr:colOff>
      <xdr:row>31</xdr:row>
      <xdr:rowOff>0</xdr:rowOff>
    </xdr:to>
    <xdr:pic>
      <xdr:nvPicPr>
        <xdr:cNvPr id="3892225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286375"/>
          <a:ext cx="4857750" cy="914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20</xdr:row>
      <xdr:rowOff>0</xdr:rowOff>
    </xdr:from>
    <xdr:to>
      <xdr:col>3</xdr:col>
      <xdr:colOff>228600</xdr:colOff>
      <xdr:row>21</xdr:row>
      <xdr:rowOff>48260</xdr:rowOff>
    </xdr:to>
    <xdr:pic>
      <xdr:nvPicPr>
        <xdr:cNvPr id="3893249" name="Host Control  409"/>
        <xdr:cNvPicPr/>
      </xdr:nvPicPr>
      <xdr:blipFill>
        <a:blip r:embed="rId1"/>
        <a:stretch>
          <a:fillRect/>
        </a:stretch>
      </xdr:blipFill>
      <xdr:spPr>
        <a:xfrm>
          <a:off x="1371600" y="3981450"/>
          <a:ext cx="914400" cy="2292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27</xdr:row>
      <xdr:rowOff>0</xdr:rowOff>
    </xdr:from>
    <xdr:to>
      <xdr:col>7</xdr:col>
      <xdr:colOff>104775</xdr:colOff>
      <xdr:row>32</xdr:row>
      <xdr:rowOff>8255</xdr:rowOff>
    </xdr:to>
    <xdr:pic>
      <xdr:nvPicPr>
        <xdr:cNvPr id="3898369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467350"/>
          <a:ext cx="4905375" cy="9226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26</xdr:row>
      <xdr:rowOff>0</xdr:rowOff>
    </xdr:from>
    <xdr:to>
      <xdr:col>6</xdr:col>
      <xdr:colOff>314325</xdr:colOff>
      <xdr:row>33</xdr:row>
      <xdr:rowOff>66675</xdr:rowOff>
    </xdr:to>
    <xdr:pic>
      <xdr:nvPicPr>
        <xdr:cNvPr id="3910657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286375"/>
          <a:ext cx="4429125" cy="1343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4.xml"/><Relationship Id="rId1" Type="http://schemas.openxmlformats.org/officeDocument/2006/relationships/comments" Target="../comments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comments" Target="../comments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comments" Target="../comments20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comments" Target="../comments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comments" Target="../comments2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comments" Target="../comments23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comments" Target="../comments24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comments" Target="../comments25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comments" Target="../comments26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comments" Target="../comments27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comments" Target="../comments28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comments" Target="../comments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15.xml"/><Relationship Id="rId1" Type="http://schemas.openxmlformats.org/officeDocument/2006/relationships/comments" Target="../comments30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comments" Target="../comments31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comments" Target="../comments32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comments" Target="../comments33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comments" Target="../comments34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5.vml"/><Relationship Id="rId1" Type="http://schemas.openxmlformats.org/officeDocument/2006/relationships/comments" Target="../comments35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6.vml"/><Relationship Id="rId1" Type="http://schemas.openxmlformats.org/officeDocument/2006/relationships/comments" Target="../comments36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7.vml"/><Relationship Id="rId1" Type="http://schemas.openxmlformats.org/officeDocument/2006/relationships/comments" Target="../comments37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8.vml"/><Relationship Id="rId1" Type="http://schemas.openxmlformats.org/officeDocument/2006/relationships/comments" Target="../comments38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9.vml"/><Relationship Id="rId1" Type="http://schemas.openxmlformats.org/officeDocument/2006/relationships/comments" Target="../comments39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0.vml"/><Relationship Id="rId1" Type="http://schemas.openxmlformats.org/officeDocument/2006/relationships/comments" Target="../comments40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1.vml"/><Relationship Id="rId1" Type="http://schemas.openxmlformats.org/officeDocument/2006/relationships/comments" Target="../comments41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2.vml"/><Relationship Id="rId1" Type="http://schemas.openxmlformats.org/officeDocument/2006/relationships/comments" Target="../comments42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3.vml"/><Relationship Id="rId1" Type="http://schemas.openxmlformats.org/officeDocument/2006/relationships/comments" Target="../comments43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4.vml"/><Relationship Id="rId1" Type="http://schemas.openxmlformats.org/officeDocument/2006/relationships/comments" Target="../comments44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5.vml"/><Relationship Id="rId1" Type="http://schemas.openxmlformats.org/officeDocument/2006/relationships/comments" Target="../comments45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6.vml"/><Relationship Id="rId1" Type="http://schemas.openxmlformats.org/officeDocument/2006/relationships/comments" Target="../comments46.x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7.vml"/><Relationship Id="rId1" Type="http://schemas.openxmlformats.org/officeDocument/2006/relationships/comments" Target="../comments47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8.vml"/><Relationship Id="rId1" Type="http://schemas.openxmlformats.org/officeDocument/2006/relationships/comments" Target="../comments48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9.vml"/><Relationship Id="rId1" Type="http://schemas.openxmlformats.org/officeDocument/2006/relationships/comments" Target="../comments49.x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0.vml"/><Relationship Id="rId1" Type="http://schemas.openxmlformats.org/officeDocument/2006/relationships/comments" Target="../comments50.x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1.vml"/><Relationship Id="rId1" Type="http://schemas.openxmlformats.org/officeDocument/2006/relationships/comments" Target="../comments51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2.vml"/><Relationship Id="rId1" Type="http://schemas.openxmlformats.org/officeDocument/2006/relationships/comments" Target="../comments52.x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3.vml"/><Relationship Id="rId1" Type="http://schemas.openxmlformats.org/officeDocument/2006/relationships/comments" Target="../comments53.x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4.vml"/><Relationship Id="rId1" Type="http://schemas.openxmlformats.org/officeDocument/2006/relationships/comments" Target="../comments54.x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5.vml"/><Relationship Id="rId1" Type="http://schemas.openxmlformats.org/officeDocument/2006/relationships/comments" Target="../comments55.x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6.vml"/><Relationship Id="rId1" Type="http://schemas.openxmlformats.org/officeDocument/2006/relationships/comments" Target="../comments56.x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7.vml"/><Relationship Id="rId1" Type="http://schemas.openxmlformats.org/officeDocument/2006/relationships/comments" Target="../comments57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8.vml"/><Relationship Id="rId1" Type="http://schemas.openxmlformats.org/officeDocument/2006/relationships/comments" Target="../comments58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9.vml"/><Relationship Id="rId1" Type="http://schemas.openxmlformats.org/officeDocument/2006/relationships/comments" Target="../comments59.x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0.vml"/><Relationship Id="rId1" Type="http://schemas.openxmlformats.org/officeDocument/2006/relationships/comments" Target="../comments60.x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1.vml"/><Relationship Id="rId1" Type="http://schemas.openxmlformats.org/officeDocument/2006/relationships/comments" Target="../comments61.x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2.vml"/><Relationship Id="rId1" Type="http://schemas.openxmlformats.org/officeDocument/2006/relationships/comments" Target="../comments62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3.vml"/><Relationship Id="rId1" Type="http://schemas.openxmlformats.org/officeDocument/2006/relationships/comments" Target="../comments6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9"/>
  <sheetViews>
    <sheetView tabSelected="1" workbookViewId="0">
      <selection activeCell="I12" sqref="I12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ht="22.5" spans="1:17">
      <c r="A2" s="3" t="s">
        <v>16</v>
      </c>
      <c r="B2" s="9">
        <v>98.5135</v>
      </c>
      <c r="C2" s="9">
        <v>103.713333333333</v>
      </c>
      <c r="D2" s="9">
        <v>101.99619047619</v>
      </c>
      <c r="E2" s="9">
        <v>631.911111111111</v>
      </c>
      <c r="F2" s="9">
        <v>103.147105263158</v>
      </c>
      <c r="G2" s="9">
        <v>103.147105263158</v>
      </c>
      <c r="H2" s="9">
        <v>107.554210526316</v>
      </c>
      <c r="I2" s="9">
        <v>99.8357894736842</v>
      </c>
      <c r="J2" s="9">
        <v>111.963684210526</v>
      </c>
      <c r="K2" s="9">
        <v>101.805789473684</v>
      </c>
      <c r="L2" s="9">
        <v>98.5044736842105</v>
      </c>
      <c r="M2" s="9">
        <v>105.286470588235</v>
      </c>
      <c r="N2" s="9">
        <v>95.1347058823529</v>
      </c>
      <c r="O2" s="9">
        <v>95.4347058823529</v>
      </c>
      <c r="P2" s="9">
        <v>104.966470588235</v>
      </c>
      <c r="Q2" s="9">
        <v>93.7205263157895</v>
      </c>
    </row>
    <row r="3" spans="1:17">
      <c r="A3" s="5">
        <v>20260601</v>
      </c>
      <c r="B3" s="6">
        <v>92.16</v>
      </c>
      <c r="C3" s="6">
        <v>94.98</v>
      </c>
      <c r="D3" s="6">
        <v>91.41</v>
      </c>
      <c r="E3" s="6">
        <v>584.8</v>
      </c>
      <c r="F3" s="6"/>
      <c r="G3" s="6"/>
      <c r="H3" s="6">
        <v>100.295</v>
      </c>
      <c r="I3" s="6"/>
      <c r="J3" s="6"/>
      <c r="K3" s="6"/>
      <c r="L3" s="6"/>
      <c r="M3" s="6"/>
      <c r="N3" s="6"/>
      <c r="O3" s="6"/>
      <c r="P3" s="6"/>
      <c r="Q3" s="6"/>
    </row>
    <row r="4" spans="1:17">
      <c r="A4" s="5">
        <v>20260602</v>
      </c>
      <c r="B4" s="6">
        <v>93.76</v>
      </c>
      <c r="C4" s="6">
        <v>96</v>
      </c>
      <c r="D4" s="6">
        <v>91.76</v>
      </c>
      <c r="E4" s="6">
        <v>606.1</v>
      </c>
      <c r="F4" s="6">
        <v>92.8</v>
      </c>
      <c r="G4" s="6">
        <v>92.8</v>
      </c>
      <c r="H4" s="6">
        <v>97.475</v>
      </c>
      <c r="I4" s="6">
        <v>91.36</v>
      </c>
      <c r="J4" s="6">
        <v>98.32</v>
      </c>
      <c r="K4" s="6">
        <v>93.22</v>
      </c>
      <c r="L4" s="6">
        <v>90.055</v>
      </c>
      <c r="M4" s="6">
        <v>89.86</v>
      </c>
      <c r="N4" s="6">
        <v>85.73</v>
      </c>
      <c r="O4" s="6">
        <v>86.03</v>
      </c>
      <c r="P4" s="6">
        <v>86.97</v>
      </c>
      <c r="Q4" s="6">
        <v>82.83</v>
      </c>
    </row>
    <row r="5" spans="1:17">
      <c r="A5" s="5">
        <v>20260603</v>
      </c>
      <c r="B5" s="6">
        <v>96.02</v>
      </c>
      <c r="C5" s="6">
        <v>97.81</v>
      </c>
      <c r="D5" s="6">
        <v>96.93</v>
      </c>
      <c r="E5" s="6">
        <v>604</v>
      </c>
      <c r="F5" s="6">
        <v>97.41</v>
      </c>
      <c r="G5" s="6">
        <v>97.41</v>
      </c>
      <c r="H5" s="6">
        <v>101.235</v>
      </c>
      <c r="I5" s="6">
        <v>92.79</v>
      </c>
      <c r="J5" s="6">
        <v>101.59</v>
      </c>
      <c r="K5" s="6">
        <v>96.44</v>
      </c>
      <c r="L5" s="6">
        <v>90.925</v>
      </c>
      <c r="M5" s="6">
        <v>92.9</v>
      </c>
      <c r="N5" s="6">
        <v>89.68</v>
      </c>
      <c r="O5" s="6">
        <v>89.98</v>
      </c>
      <c r="P5" s="6">
        <v>90.14</v>
      </c>
      <c r="Q5" s="6">
        <v>86.53</v>
      </c>
    </row>
    <row r="6" spans="1:17">
      <c r="A6" s="7" t="s">
        <v>17</v>
      </c>
      <c r="B6" s="8">
        <f>AVERAGE(B3:B5)</f>
        <v>93.98</v>
      </c>
      <c r="C6" s="8">
        <f t="shared" ref="C6:Q6" si="0">AVERAGE(C3:C5)</f>
        <v>96.2633333333333</v>
      </c>
      <c r="D6" s="8">
        <f t="shared" si="0"/>
        <v>93.3666666666667</v>
      </c>
      <c r="E6" s="8">
        <f t="shared" si="0"/>
        <v>598.3</v>
      </c>
      <c r="F6" s="8">
        <f t="shared" si="0"/>
        <v>95.105</v>
      </c>
      <c r="G6" s="8">
        <f t="shared" si="0"/>
        <v>95.105</v>
      </c>
      <c r="H6" s="8">
        <f t="shared" si="0"/>
        <v>99.6683333333333</v>
      </c>
      <c r="I6" s="8">
        <f t="shared" si="0"/>
        <v>92.075</v>
      </c>
      <c r="J6" s="8">
        <f t="shared" si="0"/>
        <v>99.955</v>
      </c>
      <c r="K6" s="8">
        <f t="shared" si="0"/>
        <v>94.83</v>
      </c>
      <c r="L6" s="8">
        <f t="shared" si="0"/>
        <v>90.49</v>
      </c>
      <c r="M6" s="8">
        <f t="shared" si="0"/>
        <v>91.38</v>
      </c>
      <c r="N6" s="8">
        <f t="shared" si="0"/>
        <v>87.705</v>
      </c>
      <c r="O6" s="8">
        <f t="shared" si="0"/>
        <v>88.005</v>
      </c>
      <c r="P6" s="8">
        <f t="shared" si="0"/>
        <v>88.555</v>
      </c>
      <c r="Q6" s="8">
        <f t="shared" si="0"/>
        <v>84.68</v>
      </c>
    </row>
    <row r="7" ht="22.5" spans="1:17">
      <c r="A7" s="3" t="s">
        <v>18</v>
      </c>
      <c r="B7" s="9">
        <f>AVERAGE(B3:B5)</f>
        <v>93.98</v>
      </c>
      <c r="C7" s="9">
        <f t="shared" ref="C7:Q7" si="1">AVERAGE(C3:C5)</f>
        <v>96.2633333333333</v>
      </c>
      <c r="D7" s="9">
        <f t="shared" si="1"/>
        <v>93.3666666666667</v>
      </c>
      <c r="E7" s="9">
        <f t="shared" si="1"/>
        <v>598.3</v>
      </c>
      <c r="F7" s="9">
        <f t="shared" si="1"/>
        <v>95.105</v>
      </c>
      <c r="G7" s="9">
        <f t="shared" si="1"/>
        <v>95.105</v>
      </c>
      <c r="H7" s="9">
        <f t="shared" si="1"/>
        <v>99.6683333333333</v>
      </c>
      <c r="I7" s="9">
        <f t="shared" si="1"/>
        <v>92.075</v>
      </c>
      <c r="J7" s="9">
        <f t="shared" si="1"/>
        <v>99.955</v>
      </c>
      <c r="K7" s="9">
        <f t="shared" si="1"/>
        <v>94.83</v>
      </c>
      <c r="L7" s="9">
        <f t="shared" si="1"/>
        <v>90.49</v>
      </c>
      <c r="M7" s="9">
        <f t="shared" si="1"/>
        <v>91.38</v>
      </c>
      <c r="N7" s="9">
        <f t="shared" si="1"/>
        <v>87.705</v>
      </c>
      <c r="O7" s="9">
        <f t="shared" si="1"/>
        <v>88.005</v>
      </c>
      <c r="P7" s="9">
        <f t="shared" si="1"/>
        <v>88.555</v>
      </c>
      <c r="Q7" s="9">
        <f t="shared" si="1"/>
        <v>84.68</v>
      </c>
    </row>
    <row r="8" ht="23.25" spans="1:17">
      <c r="A8" s="10" t="s">
        <v>19</v>
      </c>
      <c r="B8" s="26">
        <f>(B7-B2)/B2</f>
        <v>-0.0460190735279935</v>
      </c>
      <c r="C8" s="26">
        <f t="shared" ref="C8:Q8" si="2">(C7-C2)/C2</f>
        <v>-0.0718326155428394</v>
      </c>
      <c r="D8" s="26">
        <f t="shared" si="2"/>
        <v>-0.0846063345036185</v>
      </c>
      <c r="E8" s="26">
        <f t="shared" si="2"/>
        <v>-0.053189618793079</v>
      </c>
      <c r="F8" s="26">
        <f t="shared" si="2"/>
        <v>-0.0779673384206011</v>
      </c>
      <c r="G8" s="26">
        <f t="shared" si="2"/>
        <v>-0.0779673384206011</v>
      </c>
      <c r="H8" s="26">
        <f t="shared" si="2"/>
        <v>-0.0733200230320427</v>
      </c>
      <c r="I8" s="26">
        <f t="shared" si="2"/>
        <v>-0.0777355446839019</v>
      </c>
      <c r="J8" s="26">
        <f t="shared" si="2"/>
        <v>-0.107255172024761</v>
      </c>
      <c r="K8" s="26">
        <f t="shared" si="2"/>
        <v>-0.0685205577182542</v>
      </c>
      <c r="L8" s="26">
        <f t="shared" si="2"/>
        <v>-0.0813615197813614</v>
      </c>
      <c r="M8" s="26">
        <f t="shared" si="2"/>
        <v>-0.132082218261659</v>
      </c>
      <c r="N8" s="26">
        <f t="shared" si="2"/>
        <v>-0.0780966926154241</v>
      </c>
      <c r="O8" s="26">
        <f t="shared" si="2"/>
        <v>-0.0778511948421769</v>
      </c>
      <c r="P8" s="26">
        <f t="shared" si="2"/>
        <v>-0.15634964666588</v>
      </c>
      <c r="Q8" s="26">
        <f t="shared" si="2"/>
        <v>-0.0964626071915944</v>
      </c>
    </row>
    <row r="9" ht="15"/>
  </sheetData>
  <conditionalFormatting sqref="B8:Q8">
    <cfRule type="cellIs" dxfId="0" priority="1" operator="equal">
      <formula>0</formula>
    </cfRule>
    <cfRule type="cellIs" dxfId="1" priority="2" operator="lessThan">
      <formula>0</formula>
    </cfRule>
    <cfRule type="cellIs" dxfId="2" priority="3" operator="greaterThan">
      <formula>0</formula>
    </cfRule>
  </conditionalFormatting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27"/>
  <sheetViews>
    <sheetView workbookViewId="0">
      <selection activeCell="A1" sqref="$A1:$XFD65536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ht="22.5" spans="1:17">
      <c r="A2" s="3" t="s">
        <v>20</v>
      </c>
      <c r="B2" s="9">
        <v>98.06</v>
      </c>
      <c r="C2" s="9">
        <v>102.464285714286</v>
      </c>
      <c r="D2" s="9">
        <v>104.734761904762</v>
      </c>
      <c r="E2" s="9">
        <v>651.32380952381</v>
      </c>
      <c r="F2" s="9">
        <v>105.696666666667</v>
      </c>
      <c r="G2" s="9">
        <v>105.696666666667</v>
      </c>
      <c r="H2" s="9">
        <v>120.54825</v>
      </c>
      <c r="I2" s="9">
        <v>105.304285714286</v>
      </c>
      <c r="J2" s="9">
        <v>110.442857142857</v>
      </c>
      <c r="K2" s="9">
        <v>102.357142857143</v>
      </c>
      <c r="L2" s="9">
        <v>100.56380952381</v>
      </c>
      <c r="M2" s="9">
        <v>107.106</v>
      </c>
      <c r="N2" s="9">
        <v>95.2065</v>
      </c>
      <c r="O2" s="9">
        <v>95.5065</v>
      </c>
      <c r="P2" s="9">
        <v>105.4585</v>
      </c>
      <c r="Q2" s="9">
        <v>93.1952380952381</v>
      </c>
    </row>
    <row r="3" spans="1:17">
      <c r="A3" s="5">
        <v>20260501</v>
      </c>
      <c r="B3" s="6">
        <v>101.94</v>
      </c>
      <c r="C3" s="6">
        <v>108.17</v>
      </c>
      <c r="D3" s="6">
        <v>104.17</v>
      </c>
      <c r="E3" s="6"/>
      <c r="F3" s="6"/>
      <c r="G3" s="6"/>
      <c r="H3" s="6">
        <v>117.945</v>
      </c>
      <c r="I3" s="6"/>
      <c r="J3" s="6"/>
      <c r="K3" s="6"/>
      <c r="L3" s="6"/>
      <c r="M3" s="6"/>
      <c r="N3" s="6"/>
      <c r="O3" s="6"/>
      <c r="P3" s="6"/>
      <c r="Q3" s="6"/>
    </row>
    <row r="4" spans="1:17">
      <c r="A4" s="5">
        <v>20260504</v>
      </c>
      <c r="B4" s="6">
        <v>106.42</v>
      </c>
      <c r="C4" s="6">
        <v>114.44</v>
      </c>
      <c r="D4" s="6">
        <v>102.04</v>
      </c>
      <c r="E4" s="6"/>
      <c r="F4" s="6">
        <v>102.81</v>
      </c>
      <c r="G4" s="6">
        <v>102.81</v>
      </c>
      <c r="H4" s="6"/>
      <c r="I4" s="6">
        <v>111.31</v>
      </c>
      <c r="J4" s="6">
        <v>115.86</v>
      </c>
      <c r="K4" s="6">
        <v>104.01</v>
      </c>
      <c r="L4" s="6">
        <v>110.97</v>
      </c>
      <c r="M4" s="6"/>
      <c r="N4" s="6"/>
      <c r="O4" s="6"/>
      <c r="P4" s="6"/>
      <c r="Q4" s="6">
        <v>98.57</v>
      </c>
    </row>
    <row r="5" spans="1:17">
      <c r="A5" s="5">
        <v>20260505</v>
      </c>
      <c r="B5" s="6">
        <v>102.27</v>
      </c>
      <c r="C5" s="6">
        <v>109.87</v>
      </c>
      <c r="D5" s="6">
        <v>106.16</v>
      </c>
      <c r="E5" s="6"/>
      <c r="F5" s="6">
        <v>106.6</v>
      </c>
      <c r="G5" s="6">
        <v>106.6</v>
      </c>
      <c r="H5" s="6">
        <v>114.99</v>
      </c>
      <c r="I5" s="6">
        <v>109.5</v>
      </c>
      <c r="J5" s="6">
        <v>119.08</v>
      </c>
      <c r="K5" s="6">
        <v>107.48</v>
      </c>
      <c r="L5" s="6">
        <v>109.015</v>
      </c>
      <c r="M5" s="6">
        <v>116.03</v>
      </c>
      <c r="N5" s="6">
        <v>101.47</v>
      </c>
      <c r="O5" s="6">
        <v>101.77</v>
      </c>
      <c r="P5" s="6">
        <v>112.88</v>
      </c>
      <c r="Q5" s="6">
        <v>101.97</v>
      </c>
    </row>
    <row r="6" spans="1:17">
      <c r="A6" s="5">
        <v>20260506</v>
      </c>
      <c r="B6" s="6">
        <v>95.08</v>
      </c>
      <c r="C6" s="6">
        <v>101.27</v>
      </c>
      <c r="D6" s="6">
        <v>103.25</v>
      </c>
      <c r="E6" s="6">
        <v>667.3</v>
      </c>
      <c r="F6" s="6">
        <v>103.69</v>
      </c>
      <c r="G6" s="6">
        <v>103.69</v>
      </c>
      <c r="H6" s="6">
        <v>104.19</v>
      </c>
      <c r="I6" s="6">
        <v>102.22</v>
      </c>
      <c r="J6" s="6">
        <v>114.76</v>
      </c>
      <c r="K6" s="6">
        <v>103.16</v>
      </c>
      <c r="L6" s="6">
        <v>101.22</v>
      </c>
      <c r="M6" s="6">
        <v>106.75</v>
      </c>
      <c r="N6" s="6">
        <v>97.1</v>
      </c>
      <c r="O6" s="6">
        <v>97.4</v>
      </c>
      <c r="P6" s="6">
        <v>108.51</v>
      </c>
      <c r="Q6" s="6">
        <v>98.1</v>
      </c>
    </row>
    <row r="7" spans="1:17">
      <c r="A7" s="5">
        <v>20260507</v>
      </c>
      <c r="B7" s="6">
        <v>94.81</v>
      </c>
      <c r="C7" s="6">
        <v>100.06</v>
      </c>
      <c r="D7" s="6">
        <v>96.64</v>
      </c>
      <c r="E7" s="6">
        <v>634.7</v>
      </c>
      <c r="F7" s="6">
        <v>97.59</v>
      </c>
      <c r="G7" s="6">
        <v>97.59</v>
      </c>
      <c r="H7" s="6">
        <v>100.59</v>
      </c>
      <c r="I7" s="6">
        <v>95.6</v>
      </c>
      <c r="J7" s="6">
        <v>108.04</v>
      </c>
      <c r="K7" s="6">
        <v>96.39</v>
      </c>
      <c r="L7" s="6">
        <v>94.64</v>
      </c>
      <c r="M7" s="6">
        <v>103.56</v>
      </c>
      <c r="N7" s="6">
        <v>91.39</v>
      </c>
      <c r="O7" s="6">
        <v>91.69</v>
      </c>
      <c r="P7" s="6">
        <v>101.54</v>
      </c>
      <c r="Q7" s="6">
        <v>92.69</v>
      </c>
    </row>
    <row r="8" spans="1:17">
      <c r="A8" s="5">
        <v>20260508</v>
      </c>
      <c r="B8" s="6">
        <v>95.42</v>
      </c>
      <c r="C8" s="6">
        <v>101.29</v>
      </c>
      <c r="D8" s="6">
        <v>97.06</v>
      </c>
      <c r="E8" s="6">
        <v>622.7</v>
      </c>
      <c r="F8" s="6">
        <v>97.39</v>
      </c>
      <c r="G8" s="6">
        <v>97.39</v>
      </c>
      <c r="H8" s="6">
        <v>104.715</v>
      </c>
      <c r="I8" s="6">
        <v>95.865</v>
      </c>
      <c r="J8" s="6">
        <v>108.03</v>
      </c>
      <c r="K8" s="6">
        <v>96.53</v>
      </c>
      <c r="L8" s="6">
        <v>94.345</v>
      </c>
      <c r="M8" s="6">
        <v>107.47</v>
      </c>
      <c r="N8" s="6">
        <v>91.19</v>
      </c>
      <c r="O8" s="6">
        <v>91.49</v>
      </c>
      <c r="P8" s="6">
        <v>101.63</v>
      </c>
      <c r="Q8" s="6">
        <v>92.49</v>
      </c>
    </row>
    <row r="9" spans="1:17">
      <c r="A9" s="5">
        <v>20260511</v>
      </c>
      <c r="B9" s="6">
        <v>98.07</v>
      </c>
      <c r="C9" s="6">
        <v>104.21</v>
      </c>
      <c r="D9" s="6">
        <v>101</v>
      </c>
      <c r="E9" s="6">
        <v>632.6</v>
      </c>
      <c r="F9" s="6">
        <v>101.11</v>
      </c>
      <c r="G9" s="6">
        <v>101.11</v>
      </c>
      <c r="H9" s="6">
        <v>105.235</v>
      </c>
      <c r="I9" s="6">
        <v>99.745</v>
      </c>
      <c r="J9" s="6">
        <v>111.88</v>
      </c>
      <c r="K9" s="6">
        <v>100.28</v>
      </c>
      <c r="L9" s="6">
        <v>98.395</v>
      </c>
      <c r="M9" s="6">
        <v>104.77</v>
      </c>
      <c r="N9" s="6">
        <v>95.2</v>
      </c>
      <c r="O9" s="6">
        <v>95.5</v>
      </c>
      <c r="P9" s="6">
        <v>105.23</v>
      </c>
      <c r="Q9" s="6">
        <v>95.6</v>
      </c>
    </row>
    <row r="10" spans="1:17">
      <c r="A10" s="5">
        <v>20260512</v>
      </c>
      <c r="B10" s="6">
        <v>102.18</v>
      </c>
      <c r="C10" s="6">
        <v>107.77</v>
      </c>
      <c r="D10" s="6">
        <v>104.74</v>
      </c>
      <c r="E10" s="6">
        <v>635.1</v>
      </c>
      <c r="F10" s="6">
        <v>104.9</v>
      </c>
      <c r="G10" s="6">
        <v>104.9</v>
      </c>
      <c r="H10" s="6">
        <v>110.83</v>
      </c>
      <c r="I10" s="6">
        <v>102.31</v>
      </c>
      <c r="J10" s="6">
        <v>114.37</v>
      </c>
      <c r="K10" s="6">
        <v>102.97</v>
      </c>
      <c r="L10" s="6">
        <v>101.055</v>
      </c>
      <c r="M10" s="6">
        <v>108.92</v>
      </c>
      <c r="N10" s="6">
        <v>98.27</v>
      </c>
      <c r="O10" s="6">
        <v>98.57</v>
      </c>
      <c r="P10" s="6">
        <v>107.57</v>
      </c>
      <c r="Q10" s="6">
        <v>95.82</v>
      </c>
    </row>
    <row r="11" spans="1:17">
      <c r="A11" s="5">
        <v>20260513</v>
      </c>
      <c r="B11" s="6">
        <v>101.02</v>
      </c>
      <c r="C11" s="6">
        <v>105.63</v>
      </c>
      <c r="D11" s="6">
        <v>104.64</v>
      </c>
      <c r="E11" s="6">
        <v>644.1</v>
      </c>
      <c r="F11" s="6">
        <v>104.9</v>
      </c>
      <c r="G11" s="6">
        <v>104.9</v>
      </c>
      <c r="H11" s="6">
        <v>111.2</v>
      </c>
      <c r="I11" s="6">
        <v>102.05</v>
      </c>
      <c r="J11" s="6">
        <v>115.15</v>
      </c>
      <c r="K11" s="6">
        <v>103.65</v>
      </c>
      <c r="L11" s="6">
        <v>100.205</v>
      </c>
      <c r="M11" s="6">
        <v>108.18</v>
      </c>
      <c r="N11" s="6">
        <v>98.05</v>
      </c>
      <c r="O11" s="6">
        <v>98.35</v>
      </c>
      <c r="P11" s="6">
        <v>108.5</v>
      </c>
      <c r="Q11" s="6">
        <v>95.5</v>
      </c>
    </row>
    <row r="12" spans="1:17">
      <c r="A12" s="5">
        <v>20260514</v>
      </c>
      <c r="B12" s="6">
        <v>101.17</v>
      </c>
      <c r="C12" s="6">
        <v>105.72</v>
      </c>
      <c r="D12" s="6">
        <v>104.81</v>
      </c>
      <c r="E12" s="6">
        <v>630.5</v>
      </c>
      <c r="F12" s="6">
        <v>105.5</v>
      </c>
      <c r="G12" s="6">
        <v>105.5</v>
      </c>
      <c r="H12" s="6">
        <v>109.585</v>
      </c>
      <c r="I12" s="6">
        <v>101.29</v>
      </c>
      <c r="J12" s="6">
        <v>114.47</v>
      </c>
      <c r="K12" s="6">
        <v>103.07</v>
      </c>
      <c r="L12" s="6">
        <v>99.755</v>
      </c>
      <c r="M12" s="6">
        <v>106.9</v>
      </c>
      <c r="N12" s="6">
        <v>96.87</v>
      </c>
      <c r="O12" s="6">
        <v>97.17</v>
      </c>
      <c r="P12" s="6">
        <v>108.22</v>
      </c>
      <c r="Q12" s="6">
        <v>94.57</v>
      </c>
    </row>
    <row r="13" spans="1:17">
      <c r="A13" s="5">
        <v>20260515</v>
      </c>
      <c r="B13" s="6">
        <v>105.42</v>
      </c>
      <c r="C13" s="6">
        <v>109.26</v>
      </c>
      <c r="D13" s="6">
        <v>106.75</v>
      </c>
      <c r="E13" s="6">
        <v>634.7</v>
      </c>
      <c r="F13" s="6">
        <v>107.3</v>
      </c>
      <c r="G13" s="6">
        <v>107.3</v>
      </c>
      <c r="H13" s="6">
        <v>112.2</v>
      </c>
      <c r="I13" s="6">
        <v>103.385</v>
      </c>
      <c r="J13" s="6">
        <v>116.16</v>
      </c>
      <c r="K13" s="6">
        <v>104.91</v>
      </c>
      <c r="L13" s="6">
        <v>102.01</v>
      </c>
      <c r="M13" s="6">
        <v>109.87</v>
      </c>
      <c r="N13" s="6">
        <v>98.52</v>
      </c>
      <c r="O13" s="6">
        <v>98.82</v>
      </c>
      <c r="P13" s="6">
        <v>109.86</v>
      </c>
      <c r="Q13" s="6">
        <v>95.97</v>
      </c>
    </row>
    <row r="14" spans="1:17">
      <c r="A14" s="5">
        <v>20260518</v>
      </c>
      <c r="B14" s="6">
        <v>108.66</v>
      </c>
      <c r="C14" s="6">
        <v>112.1</v>
      </c>
      <c r="D14" s="6">
        <v>107.37</v>
      </c>
      <c r="E14" s="6">
        <v>666.2</v>
      </c>
      <c r="F14" s="6">
        <v>107.89</v>
      </c>
      <c r="G14" s="6">
        <v>107.89</v>
      </c>
      <c r="H14" s="6">
        <v>114.895</v>
      </c>
      <c r="I14" s="6">
        <v>103.325</v>
      </c>
      <c r="J14" s="6">
        <v>117.74</v>
      </c>
      <c r="K14" s="6">
        <v>106.59</v>
      </c>
      <c r="L14" s="6">
        <v>102.04</v>
      </c>
      <c r="M14" s="6">
        <v>112.54</v>
      </c>
      <c r="N14" s="6">
        <v>99.27</v>
      </c>
      <c r="O14" s="6">
        <v>99.57</v>
      </c>
      <c r="P14" s="6">
        <v>111.54</v>
      </c>
      <c r="Q14" s="6">
        <v>96.72</v>
      </c>
    </row>
    <row r="15" spans="1:17">
      <c r="A15" s="5">
        <v>20260519</v>
      </c>
      <c r="B15" s="6">
        <v>107.77</v>
      </c>
      <c r="C15" s="6">
        <v>111.28</v>
      </c>
      <c r="D15" s="6">
        <v>106.45</v>
      </c>
      <c r="E15" s="6">
        <v>671.8</v>
      </c>
      <c r="F15" s="6">
        <v>106.795</v>
      </c>
      <c r="G15" s="6">
        <v>106.795</v>
      </c>
      <c r="H15" s="6">
        <v>114.68</v>
      </c>
      <c r="I15" s="6">
        <v>103.225</v>
      </c>
      <c r="J15" s="6">
        <v>118.34</v>
      </c>
      <c r="K15" s="6">
        <v>107.24</v>
      </c>
      <c r="L15" s="6">
        <v>101.495</v>
      </c>
      <c r="M15" s="6">
        <v>112.3</v>
      </c>
      <c r="N15" s="6">
        <v>99.27</v>
      </c>
      <c r="O15" s="6">
        <v>99.57</v>
      </c>
      <c r="P15" s="6">
        <v>112.19</v>
      </c>
      <c r="Q15" s="6">
        <v>96.62</v>
      </c>
    </row>
    <row r="16" spans="1:17">
      <c r="A16" s="5">
        <v>20260520</v>
      </c>
      <c r="B16" s="6">
        <v>98.26</v>
      </c>
      <c r="C16" s="6">
        <v>105.02</v>
      </c>
      <c r="D16" s="6">
        <v>105.96</v>
      </c>
      <c r="E16" s="6">
        <v>679.6</v>
      </c>
      <c r="F16" s="6">
        <v>106.6</v>
      </c>
      <c r="G16" s="6">
        <v>106.6</v>
      </c>
      <c r="H16" s="6">
        <v>109.83</v>
      </c>
      <c r="I16" s="6">
        <v>102.415</v>
      </c>
      <c r="J16" s="6">
        <v>117.43</v>
      </c>
      <c r="K16" s="6">
        <v>106.33</v>
      </c>
      <c r="L16" s="6">
        <v>100.57</v>
      </c>
      <c r="M16" s="6">
        <v>107.45</v>
      </c>
      <c r="N16" s="6">
        <v>98.68</v>
      </c>
      <c r="O16" s="6">
        <v>98.98</v>
      </c>
      <c r="P16" s="6">
        <v>110.98</v>
      </c>
      <c r="Q16" s="6">
        <v>95.73</v>
      </c>
    </row>
    <row r="17" spans="1:17">
      <c r="A17" s="5">
        <v>20260521</v>
      </c>
      <c r="B17" s="6">
        <v>96.35</v>
      </c>
      <c r="C17" s="6">
        <v>102.58</v>
      </c>
      <c r="D17" s="6">
        <v>102.95</v>
      </c>
      <c r="E17" s="6">
        <v>651.7</v>
      </c>
      <c r="F17" s="6">
        <v>103.7</v>
      </c>
      <c r="G17" s="6">
        <v>103.7</v>
      </c>
      <c r="H17" s="6">
        <v>111.71</v>
      </c>
      <c r="I17" s="6">
        <v>98.695</v>
      </c>
      <c r="J17" s="6">
        <v>111.57</v>
      </c>
      <c r="K17" s="6">
        <v>102.37</v>
      </c>
      <c r="L17" s="6">
        <v>96.59</v>
      </c>
      <c r="M17" s="6">
        <v>107.55</v>
      </c>
      <c r="N17" s="6">
        <v>95.64</v>
      </c>
      <c r="O17" s="6">
        <v>95.94</v>
      </c>
      <c r="P17" s="6">
        <v>105.12</v>
      </c>
      <c r="Q17" s="6">
        <v>92.64</v>
      </c>
    </row>
    <row r="18" spans="1:17">
      <c r="A18" s="5">
        <v>20260522</v>
      </c>
      <c r="B18" s="6">
        <v>96.6</v>
      </c>
      <c r="C18" s="6">
        <v>103.54</v>
      </c>
      <c r="D18" s="6">
        <v>103.6</v>
      </c>
      <c r="E18" s="6">
        <v>644.6</v>
      </c>
      <c r="F18" s="6">
        <v>104.01</v>
      </c>
      <c r="G18" s="6">
        <v>104.01</v>
      </c>
      <c r="H18" s="6">
        <v>107.225</v>
      </c>
      <c r="I18" s="6">
        <v>98.83</v>
      </c>
      <c r="J18" s="6">
        <v>111.34</v>
      </c>
      <c r="K18" s="6">
        <v>103.14</v>
      </c>
      <c r="L18" s="6">
        <v>97.285</v>
      </c>
      <c r="M18" s="6">
        <v>103.17</v>
      </c>
      <c r="N18" s="6">
        <v>94.98</v>
      </c>
      <c r="O18" s="6">
        <v>95.28</v>
      </c>
      <c r="P18" s="6">
        <v>104.39</v>
      </c>
      <c r="Q18" s="6">
        <v>92.83</v>
      </c>
    </row>
    <row r="19" spans="1:17">
      <c r="A19" s="5">
        <v>20260525</v>
      </c>
      <c r="B19" s="6"/>
      <c r="C19" s="6">
        <v>96.14</v>
      </c>
      <c r="D19" s="6">
        <v>95.56</v>
      </c>
      <c r="E19" s="6">
        <v>610.9</v>
      </c>
      <c r="F19" s="6">
        <v>98.09</v>
      </c>
      <c r="G19" s="6">
        <v>98.09</v>
      </c>
      <c r="H19" s="6"/>
      <c r="I19" s="6">
        <v>93.335</v>
      </c>
      <c r="J19" s="6">
        <v>106.07</v>
      </c>
      <c r="K19" s="6">
        <v>98.07</v>
      </c>
      <c r="L19" s="6">
        <v>92.26</v>
      </c>
      <c r="M19" s="6"/>
      <c r="N19" s="6"/>
      <c r="O19" s="6"/>
      <c r="P19" s="6"/>
      <c r="Q19" s="6">
        <v>87.78</v>
      </c>
    </row>
    <row r="20" spans="1:17">
      <c r="A20" s="5">
        <v>20260526</v>
      </c>
      <c r="B20" s="6">
        <v>93.89</v>
      </c>
      <c r="C20" s="6">
        <v>99.58</v>
      </c>
      <c r="D20" s="6">
        <v>95.57</v>
      </c>
      <c r="E20" s="6">
        <v>598.9</v>
      </c>
      <c r="F20" s="6">
        <v>98.01</v>
      </c>
      <c r="G20" s="6">
        <v>98.01</v>
      </c>
      <c r="H20" s="6">
        <v>103.775</v>
      </c>
      <c r="I20" s="6">
        <v>93.385</v>
      </c>
      <c r="J20" s="6">
        <v>106.11</v>
      </c>
      <c r="K20" s="6">
        <v>98.31</v>
      </c>
      <c r="L20" s="6">
        <v>92.26</v>
      </c>
      <c r="M20" s="6">
        <v>98.67</v>
      </c>
      <c r="N20" s="6">
        <v>89.08</v>
      </c>
      <c r="O20" s="6">
        <v>89.38</v>
      </c>
      <c r="P20" s="6">
        <v>97.86</v>
      </c>
      <c r="Q20" s="6">
        <v>87.88</v>
      </c>
    </row>
    <row r="21" spans="1:17">
      <c r="A21" s="5">
        <v>20260527</v>
      </c>
      <c r="B21" s="6">
        <v>88.68</v>
      </c>
      <c r="C21" s="6">
        <v>94.29</v>
      </c>
      <c r="D21" s="6">
        <v>92.39</v>
      </c>
      <c r="E21" s="6">
        <v>597.3</v>
      </c>
      <c r="F21" s="6"/>
      <c r="G21" s="6"/>
      <c r="H21" s="6">
        <v>99.585</v>
      </c>
      <c r="I21" s="6"/>
      <c r="J21" s="6"/>
      <c r="K21" s="6"/>
      <c r="L21" s="6"/>
      <c r="M21" s="6"/>
      <c r="N21" s="6"/>
      <c r="O21" s="6"/>
      <c r="P21" s="6"/>
      <c r="Q21" s="6"/>
    </row>
    <row r="22" spans="1:17">
      <c r="A22" s="5">
        <v>20260528</v>
      </c>
      <c r="B22" s="6">
        <v>88.9</v>
      </c>
      <c r="C22" s="6">
        <v>93.71</v>
      </c>
      <c r="D22" s="6">
        <v>103.49</v>
      </c>
      <c r="E22" s="6">
        <v>587.9</v>
      </c>
      <c r="F22" s="6">
        <v>99.21</v>
      </c>
      <c r="G22" s="6">
        <v>99.21</v>
      </c>
      <c r="H22" s="6">
        <v>96.795</v>
      </c>
      <c r="I22" s="6">
        <v>91.5</v>
      </c>
      <c r="J22" s="6">
        <v>102.39</v>
      </c>
      <c r="K22" s="6">
        <v>96.39</v>
      </c>
      <c r="L22" s="6">
        <v>90.215</v>
      </c>
      <c r="M22" s="6">
        <v>89.8</v>
      </c>
      <c r="N22" s="6">
        <v>86.73</v>
      </c>
      <c r="O22" s="6">
        <v>87.03</v>
      </c>
      <c r="P22" s="6">
        <v>91.29</v>
      </c>
      <c r="Q22" s="6">
        <v>85.48</v>
      </c>
    </row>
    <row r="23" spans="1:17">
      <c r="A23" s="5">
        <v>20260529</v>
      </c>
      <c r="B23" s="6">
        <v>87.36</v>
      </c>
      <c r="C23" s="6">
        <v>92.05</v>
      </c>
      <c r="D23" s="6">
        <v>97.32</v>
      </c>
      <c r="E23" s="6">
        <v>563.8</v>
      </c>
      <c r="F23" s="6">
        <v>103.7</v>
      </c>
      <c r="G23" s="6">
        <v>103.7</v>
      </c>
      <c r="H23" s="6">
        <v>93.555</v>
      </c>
      <c r="I23" s="6">
        <v>88.895</v>
      </c>
      <c r="J23" s="6">
        <v>98.52</v>
      </c>
      <c r="K23" s="6">
        <v>93.42</v>
      </c>
      <c r="L23" s="6">
        <v>87.26</v>
      </c>
      <c r="M23" s="6">
        <v>85.94</v>
      </c>
      <c r="N23" s="6">
        <v>85.58</v>
      </c>
      <c r="O23" s="6">
        <v>85.88</v>
      </c>
      <c r="P23" s="6">
        <v>87.12</v>
      </c>
      <c r="Q23" s="6">
        <v>83.73</v>
      </c>
    </row>
    <row r="24" spans="1:17">
      <c r="A24" s="7" t="s">
        <v>17</v>
      </c>
      <c r="B24" s="8">
        <f>AVERAGE(B19:B23)</f>
        <v>89.7075</v>
      </c>
      <c r="C24" s="8">
        <f t="shared" ref="C24:Q24" si="0">AVERAGE(C19:C23)</f>
        <v>95.154</v>
      </c>
      <c r="D24" s="8">
        <f t="shared" si="0"/>
        <v>96.866</v>
      </c>
      <c r="E24" s="8">
        <f t="shared" si="0"/>
        <v>591.76</v>
      </c>
      <c r="F24" s="8">
        <f t="shared" si="0"/>
        <v>99.7525</v>
      </c>
      <c r="G24" s="8">
        <f t="shared" si="0"/>
        <v>99.7525</v>
      </c>
      <c r="H24" s="8">
        <f t="shared" si="0"/>
        <v>98.4275</v>
      </c>
      <c r="I24" s="8">
        <f t="shared" si="0"/>
        <v>91.77875</v>
      </c>
      <c r="J24" s="8">
        <f t="shared" si="0"/>
        <v>103.2725</v>
      </c>
      <c r="K24" s="8">
        <f t="shared" si="0"/>
        <v>96.5475</v>
      </c>
      <c r="L24" s="8">
        <f t="shared" si="0"/>
        <v>90.49875</v>
      </c>
      <c r="M24" s="8">
        <f t="shared" si="0"/>
        <v>91.47</v>
      </c>
      <c r="N24" s="8">
        <f t="shared" si="0"/>
        <v>87.13</v>
      </c>
      <c r="O24" s="8">
        <f t="shared" si="0"/>
        <v>87.43</v>
      </c>
      <c r="P24" s="8">
        <f t="shared" si="0"/>
        <v>92.09</v>
      </c>
      <c r="Q24" s="8">
        <f t="shared" si="0"/>
        <v>86.2175</v>
      </c>
    </row>
    <row r="25" ht="22.5" spans="1:17">
      <c r="A25" s="3" t="s">
        <v>16</v>
      </c>
      <c r="B25" s="9">
        <f>AVERAGE(B3:B23)</f>
        <v>98.5135</v>
      </c>
      <c r="C25" s="9">
        <f t="shared" ref="C25:Q25" si="1">AVERAGE(C3:C23)</f>
        <v>103.713333333333</v>
      </c>
      <c r="D25" s="9">
        <f t="shared" si="1"/>
        <v>101.99619047619</v>
      </c>
      <c r="E25" s="9">
        <f t="shared" si="1"/>
        <v>631.911111111111</v>
      </c>
      <c r="F25" s="9">
        <f t="shared" si="1"/>
        <v>103.147105263158</v>
      </c>
      <c r="G25" s="9">
        <f t="shared" si="1"/>
        <v>103.147105263158</v>
      </c>
      <c r="H25" s="9">
        <f t="shared" si="1"/>
        <v>107.554210526316</v>
      </c>
      <c r="I25" s="9">
        <f t="shared" si="1"/>
        <v>99.8357894736842</v>
      </c>
      <c r="J25" s="9">
        <f t="shared" si="1"/>
        <v>111.963684210526</v>
      </c>
      <c r="K25" s="9">
        <f t="shared" si="1"/>
        <v>101.805789473684</v>
      </c>
      <c r="L25" s="9">
        <f t="shared" si="1"/>
        <v>98.5044736842105</v>
      </c>
      <c r="M25" s="9">
        <f t="shared" si="1"/>
        <v>105.286470588235</v>
      </c>
      <c r="N25" s="9">
        <f t="shared" si="1"/>
        <v>95.1347058823529</v>
      </c>
      <c r="O25" s="9">
        <f t="shared" si="1"/>
        <v>95.4347058823529</v>
      </c>
      <c r="P25" s="9">
        <f t="shared" si="1"/>
        <v>104.966470588235</v>
      </c>
      <c r="Q25" s="9">
        <f t="shared" si="1"/>
        <v>93.7205263157895</v>
      </c>
    </row>
    <row r="26" ht="23.25" spans="1:17">
      <c r="A26" s="10" t="s">
        <v>19</v>
      </c>
      <c r="B26" s="23">
        <f>(B25-B2)/B2</f>
        <v>0.00462471955945345</v>
      </c>
      <c r="C26" s="23">
        <f t="shared" ref="C26:Q26" si="2">(C25-C2)/C2</f>
        <v>0.0121900778436152</v>
      </c>
      <c r="D26" s="23">
        <f t="shared" si="2"/>
        <v>-0.0261476837180544</v>
      </c>
      <c r="E26" s="23">
        <f t="shared" si="2"/>
        <v>-0.0298049881316198</v>
      </c>
      <c r="F26" s="23">
        <f t="shared" si="2"/>
        <v>-0.0241214929847243</v>
      </c>
      <c r="G26" s="23">
        <f t="shared" si="2"/>
        <v>-0.0241214929847243</v>
      </c>
      <c r="H26" s="23">
        <f t="shared" si="2"/>
        <v>-0.107791191275561</v>
      </c>
      <c r="I26" s="23">
        <f t="shared" si="2"/>
        <v>-0.0519304243270668</v>
      </c>
      <c r="J26" s="23">
        <f t="shared" si="2"/>
        <v>0.0137702618984402</v>
      </c>
      <c r="K26" s="23">
        <f t="shared" si="2"/>
        <v>-0.00538656480699278</v>
      </c>
      <c r="L26" s="23">
        <f t="shared" si="2"/>
        <v>-0.0204779020340457</v>
      </c>
      <c r="M26" s="23">
        <f t="shared" si="2"/>
        <v>-0.0169881184225411</v>
      </c>
      <c r="N26" s="23">
        <f t="shared" si="2"/>
        <v>-0.000754088404122186</v>
      </c>
      <c r="O26" s="23">
        <f t="shared" si="2"/>
        <v>-0.000751719701246082</v>
      </c>
      <c r="P26" s="23">
        <f t="shared" si="2"/>
        <v>-0.0046656211852503</v>
      </c>
      <c r="Q26" s="23">
        <f t="shared" si="2"/>
        <v>0.00563642768973423</v>
      </c>
    </row>
    <row r="27" ht="15"/>
  </sheetData>
  <conditionalFormatting sqref="B26:Q26">
    <cfRule type="cellIs" dxfId="3" priority="34" operator="equal">
      <formula>0</formula>
    </cfRule>
    <cfRule type="cellIs" dxfId="4" priority="35" operator="lessThan">
      <formula>0</formula>
    </cfRule>
    <cfRule type="cellIs" dxfId="5" priority="36" operator="greaterThan">
      <formula>0</formula>
    </cfRule>
  </conditionalFormatting>
  <pageMargins left="0.75" right="0.75" top="1" bottom="1" header="0.5" footer="0.5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Q28"/>
  <sheetViews>
    <sheetView workbookViewId="0">
      <selection activeCell="A26" sqref="$A26:$XFD26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ht="22.5" spans="1:17">
      <c r="A2" s="3" t="s">
        <v>21</v>
      </c>
      <c r="B2" s="9">
        <v>90.9972727272727</v>
      </c>
      <c r="C2" s="9">
        <v>99.5995454545455</v>
      </c>
      <c r="D2" s="9">
        <v>124.048181818182</v>
      </c>
      <c r="E2" s="9">
        <v>711.15</v>
      </c>
      <c r="F2" s="9">
        <v>128.524090909091</v>
      </c>
      <c r="G2" s="9">
        <v>128.524090909091</v>
      </c>
      <c r="H2" s="9">
        <v>103.885909090909</v>
      </c>
      <c r="I2" s="9">
        <v>99.9095454545454</v>
      </c>
      <c r="J2" s="9">
        <v>105.16</v>
      </c>
      <c r="K2" s="9">
        <v>99.5986363636364</v>
      </c>
      <c r="L2" s="9">
        <v>93.1915909090909</v>
      </c>
      <c r="M2" s="9">
        <v>100.02</v>
      </c>
      <c r="N2" s="9">
        <v>93.425</v>
      </c>
      <c r="O2" s="9">
        <v>93.725</v>
      </c>
      <c r="P2" s="9">
        <v>99.8327272727273</v>
      </c>
      <c r="Q2" s="9">
        <v>90.0545454545454</v>
      </c>
    </row>
    <row r="3" spans="1:17">
      <c r="A3" s="5">
        <v>20260401</v>
      </c>
      <c r="B3" s="6">
        <v>100.12</v>
      </c>
      <c r="C3" s="6">
        <v>101.16</v>
      </c>
      <c r="D3" s="6">
        <v>107.19</v>
      </c>
      <c r="E3" s="6">
        <v>695.8</v>
      </c>
      <c r="F3" s="6">
        <v>108.9</v>
      </c>
      <c r="G3" s="6">
        <v>108.9</v>
      </c>
      <c r="H3" s="6">
        <v>128.46</v>
      </c>
      <c r="I3" s="6">
        <v>112.59</v>
      </c>
      <c r="J3" s="6">
        <v>107.22</v>
      </c>
      <c r="K3" s="6">
        <v>101.52</v>
      </c>
      <c r="L3" s="6">
        <v>101.8</v>
      </c>
      <c r="M3" s="6">
        <v>110.93</v>
      </c>
      <c r="N3" s="6">
        <v>92.22</v>
      </c>
      <c r="O3" s="6">
        <v>92.52</v>
      </c>
      <c r="P3" s="6">
        <v>102.42</v>
      </c>
      <c r="Q3" s="6">
        <v>91.27</v>
      </c>
    </row>
    <row r="4" spans="1:17">
      <c r="A4" s="5">
        <v>20260402</v>
      </c>
      <c r="B4" s="6">
        <v>111.54</v>
      </c>
      <c r="C4" s="6">
        <v>109.03</v>
      </c>
      <c r="D4" s="6">
        <v>117.99</v>
      </c>
      <c r="E4" s="6">
        <v>687.4</v>
      </c>
      <c r="F4" s="6">
        <v>114.6</v>
      </c>
      <c r="G4" s="6">
        <v>114.6</v>
      </c>
      <c r="H4" s="6">
        <v>141.365</v>
      </c>
      <c r="I4" s="6">
        <v>120.605</v>
      </c>
      <c r="J4" s="6">
        <v>111.33</v>
      </c>
      <c r="K4" s="6">
        <v>105.63</v>
      </c>
      <c r="L4" s="6">
        <v>105.84</v>
      </c>
      <c r="M4" s="6">
        <v>120.26</v>
      </c>
      <c r="N4" s="6">
        <v>96.6</v>
      </c>
      <c r="O4" s="6">
        <v>96.9</v>
      </c>
      <c r="P4" s="6">
        <v>106.33</v>
      </c>
      <c r="Q4" s="6">
        <v>95.3</v>
      </c>
    </row>
    <row r="5" spans="1:17">
      <c r="A5" s="5">
        <v>20260403</v>
      </c>
      <c r="B5" s="6"/>
      <c r="C5" s="6"/>
      <c r="D5" s="6"/>
      <c r="E5" s="6">
        <v>717.5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>
      <c r="A6" s="5">
        <v>20260406</v>
      </c>
      <c r="B6" s="6">
        <v>112.41</v>
      </c>
      <c r="C6" s="6">
        <v>109.77</v>
      </c>
      <c r="D6" s="6">
        <v>118.72</v>
      </c>
      <c r="E6" s="6"/>
      <c r="F6" s="6">
        <v>120.2</v>
      </c>
      <c r="G6" s="6">
        <v>120.2</v>
      </c>
      <c r="H6" s="6"/>
      <c r="I6" s="6">
        <v>122.27</v>
      </c>
      <c r="J6" s="6">
        <v>112.63</v>
      </c>
      <c r="K6" s="6">
        <v>107.03</v>
      </c>
      <c r="L6" s="6">
        <v>110.585</v>
      </c>
      <c r="M6" s="6"/>
      <c r="N6" s="6"/>
      <c r="O6" s="6"/>
      <c r="P6" s="6"/>
      <c r="Q6" s="6">
        <v>93.52</v>
      </c>
    </row>
    <row r="7" spans="1:17">
      <c r="A7" s="5">
        <v>20260407</v>
      </c>
      <c r="B7" s="6">
        <v>112.95</v>
      </c>
      <c r="C7" s="6">
        <v>109.27</v>
      </c>
      <c r="D7" s="6">
        <v>119.31</v>
      </c>
      <c r="E7" s="6">
        <v>715.1</v>
      </c>
      <c r="F7" s="6">
        <v>121.86</v>
      </c>
      <c r="G7" s="6">
        <v>121.86</v>
      </c>
      <c r="H7" s="6">
        <v>144.42</v>
      </c>
      <c r="I7" s="6">
        <v>122.325</v>
      </c>
      <c r="J7" s="6">
        <v>114.66</v>
      </c>
      <c r="K7" s="6">
        <v>108.86</v>
      </c>
      <c r="L7" s="6">
        <v>114.01</v>
      </c>
      <c r="M7" s="6">
        <v>121.14</v>
      </c>
      <c r="N7" s="6">
        <v>97.93</v>
      </c>
      <c r="O7" s="6">
        <v>98.23</v>
      </c>
      <c r="P7" s="6">
        <v>109.61</v>
      </c>
      <c r="Q7" s="6">
        <v>95.48</v>
      </c>
    </row>
    <row r="8" spans="1:17">
      <c r="A8" s="5">
        <v>20260408</v>
      </c>
      <c r="B8" s="6">
        <v>94.41</v>
      </c>
      <c r="C8" s="6">
        <v>94.75</v>
      </c>
      <c r="D8" s="6">
        <v>99.06</v>
      </c>
      <c r="E8" s="6">
        <v>664.4</v>
      </c>
      <c r="F8" s="6">
        <v>101.2</v>
      </c>
      <c r="G8" s="6">
        <v>101.2</v>
      </c>
      <c r="H8" s="6">
        <v>124.675</v>
      </c>
      <c r="I8" s="6">
        <v>105.22</v>
      </c>
      <c r="J8" s="6">
        <v>107.84</v>
      </c>
      <c r="K8" s="6">
        <v>101.94</v>
      </c>
      <c r="L8" s="6">
        <v>99.62</v>
      </c>
      <c r="M8" s="6">
        <v>104.38</v>
      </c>
      <c r="N8" s="6">
        <v>91.27</v>
      </c>
      <c r="O8" s="6">
        <v>91.57</v>
      </c>
      <c r="P8" s="6">
        <v>102.84</v>
      </c>
      <c r="Q8" s="6">
        <v>88.72</v>
      </c>
    </row>
    <row r="9" spans="1:17">
      <c r="A9" s="5">
        <v>20260409</v>
      </c>
      <c r="B9" s="6">
        <v>97.87</v>
      </c>
      <c r="C9" s="6">
        <v>95.92</v>
      </c>
      <c r="D9" s="6">
        <v>101.88</v>
      </c>
      <c r="E9" s="6">
        <v>630.4</v>
      </c>
      <c r="F9" s="6">
        <v>102</v>
      </c>
      <c r="G9" s="6">
        <v>102</v>
      </c>
      <c r="H9" s="6">
        <v>131.965</v>
      </c>
      <c r="I9" s="6">
        <v>104.065</v>
      </c>
      <c r="J9" s="6">
        <v>105.03</v>
      </c>
      <c r="K9" s="6">
        <v>99.08</v>
      </c>
      <c r="L9" s="6">
        <v>100.36</v>
      </c>
      <c r="M9" s="6">
        <v>101.39</v>
      </c>
      <c r="N9" s="6">
        <v>93.65</v>
      </c>
      <c r="O9" s="6">
        <v>93.95</v>
      </c>
      <c r="P9" s="6">
        <v>100.03</v>
      </c>
      <c r="Q9" s="6">
        <v>90.65</v>
      </c>
    </row>
    <row r="10" spans="1:17">
      <c r="A10" s="5">
        <v>20260410</v>
      </c>
      <c r="B10" s="6">
        <v>96.57</v>
      </c>
      <c r="C10" s="6">
        <v>95.2</v>
      </c>
      <c r="D10" s="6">
        <v>100.19</v>
      </c>
      <c r="E10" s="6">
        <v>636.3</v>
      </c>
      <c r="F10" s="6">
        <v>100.86</v>
      </c>
      <c r="G10" s="6">
        <v>100.86</v>
      </c>
      <c r="H10" s="6">
        <v>126.105</v>
      </c>
      <c r="I10" s="6">
        <v>104.255</v>
      </c>
      <c r="J10" s="6">
        <v>105.45</v>
      </c>
      <c r="K10" s="6">
        <v>99.3</v>
      </c>
      <c r="L10" s="6">
        <v>100.065</v>
      </c>
      <c r="M10" s="6">
        <v>99.49</v>
      </c>
      <c r="N10" s="6">
        <v>92.51</v>
      </c>
      <c r="O10" s="6">
        <v>92.81</v>
      </c>
      <c r="P10" s="6">
        <v>100.35</v>
      </c>
      <c r="Q10" s="6">
        <v>89.76</v>
      </c>
    </row>
    <row r="11" spans="1:17">
      <c r="A11" s="5">
        <v>20260413</v>
      </c>
      <c r="B11" s="6">
        <v>99.08</v>
      </c>
      <c r="C11" s="6">
        <v>99.36</v>
      </c>
      <c r="D11" s="6">
        <v>105.83</v>
      </c>
      <c r="E11" s="6">
        <v>649.2</v>
      </c>
      <c r="F11" s="6">
        <v>106.5</v>
      </c>
      <c r="G11" s="6">
        <v>106.5</v>
      </c>
      <c r="H11" s="6">
        <v>132.74</v>
      </c>
      <c r="I11" s="6">
        <v>107.37</v>
      </c>
      <c r="J11" s="6">
        <v>107.92</v>
      </c>
      <c r="K11" s="6">
        <v>101.87</v>
      </c>
      <c r="L11" s="6">
        <v>104.18</v>
      </c>
      <c r="M11" s="6">
        <v>103.19</v>
      </c>
      <c r="N11" s="6">
        <v>95.76</v>
      </c>
      <c r="O11" s="6">
        <v>96.06</v>
      </c>
      <c r="P11" s="6">
        <v>102.82</v>
      </c>
      <c r="Q11" s="6">
        <v>91.71</v>
      </c>
    </row>
    <row r="12" spans="1:17">
      <c r="A12" s="5">
        <v>20260414</v>
      </c>
      <c r="B12" s="6">
        <v>91.28</v>
      </c>
      <c r="C12" s="6">
        <v>94.79</v>
      </c>
      <c r="D12" s="6">
        <v>102.92</v>
      </c>
      <c r="E12" s="6">
        <v>651.7</v>
      </c>
      <c r="F12" s="6">
        <v>103.15</v>
      </c>
      <c r="G12" s="6">
        <v>103.15</v>
      </c>
      <c r="H12" s="6">
        <v>124.715</v>
      </c>
      <c r="I12" s="6">
        <v>102.975</v>
      </c>
      <c r="J12" s="6">
        <v>107.24</v>
      </c>
      <c r="K12" s="6">
        <v>101.14</v>
      </c>
      <c r="L12" s="6">
        <v>99.395</v>
      </c>
      <c r="M12" s="6">
        <v>99.74</v>
      </c>
      <c r="N12" s="6">
        <v>93.84</v>
      </c>
      <c r="O12" s="6">
        <v>94.14</v>
      </c>
      <c r="P12" s="6">
        <v>102.39</v>
      </c>
      <c r="Q12" s="6">
        <v>90.39</v>
      </c>
    </row>
    <row r="13" spans="1:17">
      <c r="A13" s="5">
        <v>20260415</v>
      </c>
      <c r="B13" s="6">
        <v>91.29</v>
      </c>
      <c r="C13" s="6">
        <v>94.93</v>
      </c>
      <c r="D13" s="6">
        <v>100.99</v>
      </c>
      <c r="E13" s="6">
        <v>635.5</v>
      </c>
      <c r="F13" s="6">
        <v>101.09</v>
      </c>
      <c r="G13" s="6">
        <v>101.09</v>
      </c>
      <c r="H13" s="6">
        <v>116.545</v>
      </c>
      <c r="I13" s="6">
        <v>98.155</v>
      </c>
      <c r="J13" s="6">
        <v>104.55</v>
      </c>
      <c r="K13" s="6">
        <v>98.45</v>
      </c>
      <c r="L13" s="6">
        <v>95.54</v>
      </c>
      <c r="M13" s="6">
        <v>99.37</v>
      </c>
      <c r="N13" s="6">
        <v>92.14</v>
      </c>
      <c r="O13" s="6">
        <v>92.44</v>
      </c>
      <c r="P13" s="6">
        <v>99.8</v>
      </c>
      <c r="Q13" s="6">
        <v>88.54</v>
      </c>
    </row>
    <row r="14" spans="1:17">
      <c r="A14" s="5">
        <v>20260416</v>
      </c>
      <c r="B14" s="6">
        <v>94.69</v>
      </c>
      <c r="C14" s="6">
        <v>99.39</v>
      </c>
      <c r="D14" s="6">
        <v>101.25</v>
      </c>
      <c r="E14" s="6">
        <v>636</v>
      </c>
      <c r="F14" s="6">
        <v>101.8</v>
      </c>
      <c r="G14" s="6">
        <v>101.8</v>
      </c>
      <c r="H14" s="6">
        <v>116.27</v>
      </c>
      <c r="I14" s="6">
        <v>98.06</v>
      </c>
      <c r="J14" s="6">
        <v>104.97</v>
      </c>
      <c r="K14" s="6">
        <v>98.32</v>
      </c>
      <c r="L14" s="6">
        <v>94.78</v>
      </c>
      <c r="M14" s="6">
        <v>101.2</v>
      </c>
      <c r="N14" s="6">
        <v>93.19</v>
      </c>
      <c r="O14" s="6">
        <v>93.49</v>
      </c>
      <c r="P14" s="6">
        <v>99.92</v>
      </c>
      <c r="Q14" s="6">
        <v>89.34</v>
      </c>
    </row>
    <row r="15" spans="1:17">
      <c r="A15" s="5">
        <v>20260417</v>
      </c>
      <c r="B15" s="6">
        <v>83.85</v>
      </c>
      <c r="C15" s="6">
        <v>90.38</v>
      </c>
      <c r="D15" s="6">
        <v>101.91</v>
      </c>
      <c r="E15" s="6">
        <v>640.5</v>
      </c>
      <c r="F15" s="6">
        <v>102.2</v>
      </c>
      <c r="G15" s="6">
        <v>102.2</v>
      </c>
      <c r="H15" s="6">
        <v>99.26</v>
      </c>
      <c r="I15" s="6">
        <v>98.375</v>
      </c>
      <c r="J15" s="6">
        <v>107.4</v>
      </c>
      <c r="K15" s="6">
        <v>98.85</v>
      </c>
      <c r="L15" s="6">
        <v>95.165</v>
      </c>
      <c r="M15" s="6">
        <v>95.17</v>
      </c>
      <c r="N15" s="6">
        <v>92.67</v>
      </c>
      <c r="O15" s="6">
        <v>92.97</v>
      </c>
      <c r="P15" s="6">
        <v>102.35</v>
      </c>
      <c r="Q15" s="6">
        <v>89.07</v>
      </c>
    </row>
    <row r="16" spans="1:17">
      <c r="A16" s="5">
        <v>20260420</v>
      </c>
      <c r="B16" s="6">
        <v>89.61</v>
      </c>
      <c r="C16" s="6">
        <v>95.48</v>
      </c>
      <c r="D16" s="6">
        <v>97.51</v>
      </c>
      <c r="E16" s="6">
        <v>606.5</v>
      </c>
      <c r="F16" s="6">
        <v>98.5</v>
      </c>
      <c r="G16" s="6">
        <v>98.5</v>
      </c>
      <c r="H16" s="6">
        <v>105.955</v>
      </c>
      <c r="I16" s="6">
        <v>93.875</v>
      </c>
      <c r="J16" s="6">
        <v>104.45</v>
      </c>
      <c r="K16" s="6">
        <v>95.7</v>
      </c>
      <c r="L16" s="6">
        <v>92.095</v>
      </c>
      <c r="M16" s="6">
        <v>100.85</v>
      </c>
      <c r="N16" s="6">
        <v>90.08</v>
      </c>
      <c r="O16" s="6">
        <v>90.38</v>
      </c>
      <c r="P16" s="6">
        <v>100.05</v>
      </c>
      <c r="Q16" s="6">
        <v>86.78</v>
      </c>
    </row>
    <row r="17" spans="1:17">
      <c r="A17" s="5">
        <v>20260421</v>
      </c>
      <c r="B17" s="6">
        <v>92.13</v>
      </c>
      <c r="C17" s="6">
        <v>98.48</v>
      </c>
      <c r="D17" s="6">
        <v>92.01</v>
      </c>
      <c r="E17" s="6">
        <v>611.5</v>
      </c>
      <c r="F17" s="6">
        <v>94.27</v>
      </c>
      <c r="G17" s="6">
        <v>94.27</v>
      </c>
      <c r="H17" s="6">
        <v>107.685</v>
      </c>
      <c r="I17" s="6">
        <v>91.84</v>
      </c>
      <c r="J17" s="6">
        <v>105.03</v>
      </c>
      <c r="K17" s="6">
        <v>96.28</v>
      </c>
      <c r="L17" s="6">
        <v>89.99</v>
      </c>
      <c r="M17" s="6">
        <v>103.35</v>
      </c>
      <c r="N17" s="6">
        <v>88.72</v>
      </c>
      <c r="O17" s="6">
        <v>89.02</v>
      </c>
      <c r="P17" s="6">
        <v>100.63</v>
      </c>
      <c r="Q17" s="6">
        <v>86.12</v>
      </c>
    </row>
    <row r="18" spans="1:17">
      <c r="A18" s="5">
        <v>20260422</v>
      </c>
      <c r="B18" s="6">
        <v>92.96</v>
      </c>
      <c r="C18" s="6">
        <v>101.91</v>
      </c>
      <c r="D18" s="6">
        <v>99.26</v>
      </c>
      <c r="E18" s="6">
        <v>614.9</v>
      </c>
      <c r="F18" s="6">
        <v>100.4</v>
      </c>
      <c r="G18" s="6">
        <v>100.4</v>
      </c>
      <c r="H18" s="6">
        <v>112.305</v>
      </c>
      <c r="I18" s="6">
        <v>97.175</v>
      </c>
      <c r="J18" s="6">
        <v>108.19</v>
      </c>
      <c r="K18" s="6">
        <v>100.09</v>
      </c>
      <c r="L18" s="6">
        <v>94.36</v>
      </c>
      <c r="M18" s="6">
        <v>106.14</v>
      </c>
      <c r="N18" s="6">
        <v>92.8</v>
      </c>
      <c r="O18" s="6">
        <v>93.1</v>
      </c>
      <c r="P18" s="6">
        <v>104.09</v>
      </c>
      <c r="Q18" s="6">
        <v>92.25</v>
      </c>
    </row>
    <row r="19" spans="1:17">
      <c r="A19" s="5">
        <v>20260423</v>
      </c>
      <c r="B19" s="6">
        <v>95.85</v>
      </c>
      <c r="C19" s="6">
        <v>105.07</v>
      </c>
      <c r="D19" s="6">
        <v>104.79</v>
      </c>
      <c r="E19" s="6">
        <v>630.6</v>
      </c>
      <c r="F19" s="6">
        <v>104.81</v>
      </c>
      <c r="G19" s="6">
        <v>104.81</v>
      </c>
      <c r="H19" s="6">
        <v>110.94</v>
      </c>
      <c r="I19" s="6">
        <v>101.175</v>
      </c>
      <c r="J19" s="6">
        <v>112.02</v>
      </c>
      <c r="K19" s="6">
        <v>103.82</v>
      </c>
      <c r="L19" s="6">
        <v>98.04</v>
      </c>
      <c r="M19" s="6">
        <v>107.85</v>
      </c>
      <c r="N19" s="6">
        <v>96.11</v>
      </c>
      <c r="O19" s="6">
        <v>96.41</v>
      </c>
      <c r="P19" s="6">
        <v>107.92</v>
      </c>
      <c r="Q19" s="6">
        <v>96.16</v>
      </c>
    </row>
    <row r="20" spans="1:17">
      <c r="A20" s="5">
        <v>20260424</v>
      </c>
      <c r="B20" s="6">
        <v>94.4</v>
      </c>
      <c r="C20" s="6">
        <v>105.33</v>
      </c>
      <c r="D20" s="6">
        <v>106.53</v>
      </c>
      <c r="E20" s="6">
        <v>641.2</v>
      </c>
      <c r="F20" s="6">
        <v>107.2</v>
      </c>
      <c r="G20" s="6">
        <v>107.2</v>
      </c>
      <c r="H20" s="6">
        <v>111.56</v>
      </c>
      <c r="I20" s="6">
        <v>103.55</v>
      </c>
      <c r="J20" s="6">
        <v>114.29</v>
      </c>
      <c r="K20" s="6">
        <v>101.84</v>
      </c>
      <c r="L20" s="6">
        <v>100.335</v>
      </c>
      <c r="M20" s="6">
        <v>109.34</v>
      </c>
      <c r="N20" s="6">
        <v>98.54</v>
      </c>
      <c r="O20" s="6">
        <v>98.84</v>
      </c>
      <c r="P20" s="6">
        <v>109.64</v>
      </c>
      <c r="Q20" s="6">
        <v>98.59</v>
      </c>
    </row>
    <row r="21" spans="1:17">
      <c r="A21" s="5">
        <v>20260427</v>
      </c>
      <c r="B21" s="6">
        <v>96.37</v>
      </c>
      <c r="C21" s="6">
        <v>108.23</v>
      </c>
      <c r="D21" s="6">
        <v>102.37</v>
      </c>
      <c r="E21" s="6">
        <v>644.1</v>
      </c>
      <c r="F21" s="6">
        <v>104.2</v>
      </c>
      <c r="G21" s="6">
        <v>104.2</v>
      </c>
      <c r="H21" s="6">
        <v>113.785</v>
      </c>
      <c r="I21" s="6">
        <v>102.68</v>
      </c>
      <c r="J21" s="6">
        <v>116.18</v>
      </c>
      <c r="K21" s="6">
        <v>103.28</v>
      </c>
      <c r="L21" s="6">
        <v>99.355</v>
      </c>
      <c r="M21" s="6">
        <v>111.01</v>
      </c>
      <c r="N21" s="6">
        <v>98.71</v>
      </c>
      <c r="O21" s="6">
        <v>99.01</v>
      </c>
      <c r="P21" s="6">
        <v>111.03</v>
      </c>
      <c r="Q21" s="6">
        <v>98.51</v>
      </c>
    </row>
    <row r="22" spans="1:17">
      <c r="A22" s="5">
        <v>20260428</v>
      </c>
      <c r="B22" s="6">
        <v>99.93</v>
      </c>
      <c r="C22" s="6">
        <v>111.26</v>
      </c>
      <c r="D22" s="6">
        <v>103.41</v>
      </c>
      <c r="E22" s="6">
        <v>648.9</v>
      </c>
      <c r="F22" s="6">
        <v>107.2</v>
      </c>
      <c r="G22" s="6">
        <v>107.2</v>
      </c>
      <c r="H22" s="6">
        <v>116.42</v>
      </c>
      <c r="I22" s="6">
        <v>102.775</v>
      </c>
      <c r="J22" s="6">
        <v>117.53</v>
      </c>
      <c r="K22" s="6">
        <v>105.13</v>
      </c>
      <c r="L22" s="6">
        <v>99.825</v>
      </c>
      <c r="M22" s="6">
        <v>112.83</v>
      </c>
      <c r="N22" s="6">
        <v>99.14</v>
      </c>
      <c r="O22" s="6">
        <v>99.44</v>
      </c>
      <c r="P22" s="6">
        <v>112.38</v>
      </c>
      <c r="Q22" s="6">
        <v>97.89</v>
      </c>
    </row>
    <row r="23" spans="1:17">
      <c r="A23" s="5">
        <v>20260429</v>
      </c>
      <c r="B23" s="6">
        <v>106.88</v>
      </c>
      <c r="C23" s="6">
        <v>118.03</v>
      </c>
      <c r="D23" s="6">
        <v>104.87</v>
      </c>
      <c r="E23" s="6">
        <v>654.1</v>
      </c>
      <c r="F23" s="6">
        <v>106.49</v>
      </c>
      <c r="G23" s="6">
        <v>106.49</v>
      </c>
      <c r="H23" s="6">
        <v>122.935</v>
      </c>
      <c r="I23" s="6">
        <v>106.42</v>
      </c>
      <c r="J23" s="6">
        <v>119.71</v>
      </c>
      <c r="K23" s="6">
        <v>107.71</v>
      </c>
      <c r="L23" s="6">
        <v>103.645</v>
      </c>
      <c r="M23" s="6">
        <v>117.72</v>
      </c>
      <c r="N23" s="6">
        <v>101.56</v>
      </c>
      <c r="O23" s="6">
        <v>101.86</v>
      </c>
      <c r="P23" s="6">
        <v>114.56</v>
      </c>
      <c r="Q23" s="6">
        <v>100.81</v>
      </c>
    </row>
    <row r="24" spans="1:17">
      <c r="A24" s="5">
        <v>20260430</v>
      </c>
      <c r="B24" s="6">
        <v>105.07</v>
      </c>
      <c r="C24" s="6">
        <v>114.01</v>
      </c>
      <c r="D24" s="6">
        <v>111.44</v>
      </c>
      <c r="E24" s="6">
        <v>666.2</v>
      </c>
      <c r="F24" s="6">
        <v>112.2</v>
      </c>
      <c r="G24" s="6">
        <v>112.2</v>
      </c>
      <c r="H24" s="6">
        <v>122.86</v>
      </c>
      <c r="I24" s="6">
        <v>115.635</v>
      </c>
      <c r="J24" s="6">
        <v>125.66</v>
      </c>
      <c r="K24" s="6">
        <v>113.66</v>
      </c>
      <c r="L24" s="6">
        <v>112.855</v>
      </c>
      <c r="M24" s="6">
        <v>116.77</v>
      </c>
      <c r="N24" s="6">
        <v>106.69</v>
      </c>
      <c r="O24" s="6">
        <v>106.99</v>
      </c>
      <c r="P24" s="6">
        <v>120.01</v>
      </c>
      <c r="Q24" s="6">
        <v>106.24</v>
      </c>
    </row>
    <row r="25" spans="1:17">
      <c r="A25" s="7" t="s">
        <v>17</v>
      </c>
      <c r="B25" s="8">
        <f>AVERAGE(B21:B24)</f>
        <v>102.0625</v>
      </c>
      <c r="C25" s="8">
        <f t="shared" ref="C25:Q25" si="0">AVERAGE(C21:C24)</f>
        <v>112.8825</v>
      </c>
      <c r="D25" s="8">
        <f t="shared" si="0"/>
        <v>105.5225</v>
      </c>
      <c r="E25" s="8">
        <f t="shared" si="0"/>
        <v>653.325</v>
      </c>
      <c r="F25" s="8">
        <f t="shared" si="0"/>
        <v>107.5225</v>
      </c>
      <c r="G25" s="8">
        <f t="shared" si="0"/>
        <v>107.5225</v>
      </c>
      <c r="H25" s="8">
        <f t="shared" si="0"/>
        <v>119</v>
      </c>
      <c r="I25" s="8">
        <f t="shared" si="0"/>
        <v>106.8775</v>
      </c>
      <c r="J25" s="8">
        <f t="shared" si="0"/>
        <v>119.77</v>
      </c>
      <c r="K25" s="8">
        <f t="shared" si="0"/>
        <v>107.445</v>
      </c>
      <c r="L25" s="8">
        <f t="shared" si="0"/>
        <v>103.92</v>
      </c>
      <c r="M25" s="8">
        <f t="shared" si="0"/>
        <v>114.5825</v>
      </c>
      <c r="N25" s="8">
        <f t="shared" si="0"/>
        <v>101.525</v>
      </c>
      <c r="O25" s="8">
        <f t="shared" si="0"/>
        <v>101.825</v>
      </c>
      <c r="P25" s="8">
        <f t="shared" si="0"/>
        <v>114.495</v>
      </c>
      <c r="Q25" s="8">
        <f t="shared" si="0"/>
        <v>100.8625</v>
      </c>
    </row>
    <row r="26" ht="22.5" spans="1:17">
      <c r="A26" s="3" t="s">
        <v>20</v>
      </c>
      <c r="B26" s="9">
        <f>AVERAGE(B3:B24)</f>
        <v>98.06</v>
      </c>
      <c r="C26" s="9">
        <f t="shared" ref="C26:Q26" si="1">AVERAGE(C3:C24)</f>
        <v>102.464285714286</v>
      </c>
      <c r="D26" s="9">
        <f t="shared" si="1"/>
        <v>104.734761904762</v>
      </c>
      <c r="E26" s="9">
        <f t="shared" si="1"/>
        <v>651.32380952381</v>
      </c>
      <c r="F26" s="9">
        <f t="shared" si="1"/>
        <v>105.696666666667</v>
      </c>
      <c r="G26" s="9">
        <f t="shared" si="1"/>
        <v>105.696666666667</v>
      </c>
      <c r="H26" s="9">
        <f t="shared" si="1"/>
        <v>120.54825</v>
      </c>
      <c r="I26" s="9">
        <f t="shared" si="1"/>
        <v>105.304285714286</v>
      </c>
      <c r="J26" s="9">
        <f t="shared" si="1"/>
        <v>110.442857142857</v>
      </c>
      <c r="K26" s="9">
        <f t="shared" si="1"/>
        <v>102.357142857143</v>
      </c>
      <c r="L26" s="9">
        <f t="shared" si="1"/>
        <v>100.56380952381</v>
      </c>
      <c r="M26" s="9">
        <f t="shared" si="1"/>
        <v>107.106</v>
      </c>
      <c r="N26" s="9">
        <f t="shared" si="1"/>
        <v>95.2065</v>
      </c>
      <c r="O26" s="9">
        <f t="shared" si="1"/>
        <v>95.5065</v>
      </c>
      <c r="P26" s="9">
        <f t="shared" si="1"/>
        <v>105.4585</v>
      </c>
      <c r="Q26" s="9">
        <f t="shared" si="1"/>
        <v>93.1952380952381</v>
      </c>
    </row>
    <row r="27" ht="23.25" spans="1:17">
      <c r="A27" s="10" t="s">
        <v>19</v>
      </c>
      <c r="B27" s="23">
        <f>(B26-B2)/B2</f>
        <v>0.077614713727684</v>
      </c>
      <c r="C27" s="23">
        <f t="shared" ref="B27:Q27" si="2">(C26-C2)/C2</f>
        <v>0.0287625836711037</v>
      </c>
      <c r="D27" s="23">
        <f t="shared" si="2"/>
        <v>-0.15569288989441</v>
      </c>
      <c r="E27" s="23">
        <f t="shared" si="2"/>
        <v>-0.0841259797176271</v>
      </c>
      <c r="F27" s="23">
        <f t="shared" si="2"/>
        <v>-0.177612026515486</v>
      </c>
      <c r="G27" s="23">
        <f t="shared" si="2"/>
        <v>-0.177612026515486</v>
      </c>
      <c r="H27" s="23">
        <f t="shared" si="2"/>
        <v>0.160390769594267</v>
      </c>
      <c r="I27" s="23">
        <f t="shared" si="2"/>
        <v>0.0539962446550682</v>
      </c>
      <c r="J27" s="23">
        <f t="shared" si="2"/>
        <v>0.050236374504157</v>
      </c>
      <c r="K27" s="23">
        <f t="shared" si="2"/>
        <v>0.0276962275209783</v>
      </c>
      <c r="L27" s="23">
        <f t="shared" si="2"/>
        <v>0.079108195737427</v>
      </c>
      <c r="M27" s="23">
        <f t="shared" si="2"/>
        <v>0.0708458308338332</v>
      </c>
      <c r="N27" s="23">
        <f t="shared" si="2"/>
        <v>0.019068771742039</v>
      </c>
      <c r="O27" s="23">
        <f t="shared" si="2"/>
        <v>0.0190077353961056</v>
      </c>
      <c r="P27" s="23">
        <f t="shared" si="2"/>
        <v>0.056351988781234</v>
      </c>
      <c r="Q27" s="23">
        <f t="shared" si="2"/>
        <v>0.0348754482612751</v>
      </c>
    </row>
    <row r="28" ht="15"/>
  </sheetData>
  <conditionalFormatting sqref="B27:Q27">
    <cfRule type="cellIs" dxfId="3" priority="1" operator="equal">
      <formula>0</formula>
    </cfRule>
    <cfRule type="cellIs" dxfId="4" priority="2" operator="lessThan">
      <formula>0</formula>
    </cfRule>
    <cfRule type="cellIs" dxfId="5" priority="3" operator="greaterThan">
      <formula>0</formula>
    </cfRule>
  </conditionalFormatting>
  <pageMargins left="0.75" right="0.75" top="1" bottom="1" header="0.5" footer="0.5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Q28"/>
  <sheetViews>
    <sheetView workbookViewId="0">
      <selection activeCell="B32" sqref="B32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ht="22.5" spans="1:17">
      <c r="A2" s="3" t="s">
        <v>22</v>
      </c>
      <c r="B2" s="9">
        <v>64.5231578947368</v>
      </c>
      <c r="C2" s="9">
        <v>69.369</v>
      </c>
      <c r="D2" s="9">
        <v>68.1495</v>
      </c>
      <c r="E2" s="9">
        <v>469.214285714286</v>
      </c>
      <c r="F2" s="9">
        <v>68.4044444444444</v>
      </c>
      <c r="G2" s="9">
        <v>68.4116666666667</v>
      </c>
      <c r="H2" s="9">
        <v>71.153</v>
      </c>
      <c r="I2" s="9">
        <v>65.5663888888889</v>
      </c>
      <c r="J2" s="9">
        <v>72.4494444444445</v>
      </c>
      <c r="K2" s="9">
        <v>68.4188888888889</v>
      </c>
      <c r="L2" s="9">
        <v>63.9819444444444</v>
      </c>
      <c r="M2" s="9">
        <v>68.3122222222222</v>
      </c>
      <c r="N2" s="9">
        <v>68.97</v>
      </c>
      <c r="O2" s="9">
        <v>69.27</v>
      </c>
      <c r="P2" s="9">
        <v>67.9188888888889</v>
      </c>
      <c r="Q2" s="9">
        <v>54.8533333333333</v>
      </c>
    </row>
    <row r="3" spans="1:17">
      <c r="A3" s="5">
        <v>20260302</v>
      </c>
      <c r="B3" s="6">
        <v>71.23</v>
      </c>
      <c r="C3" s="6">
        <v>77.74</v>
      </c>
      <c r="D3" s="6">
        <v>80.4</v>
      </c>
      <c r="E3" s="6">
        <v>511</v>
      </c>
      <c r="F3" s="6">
        <v>80.8</v>
      </c>
      <c r="G3" s="6">
        <v>80.8</v>
      </c>
      <c r="H3" s="6">
        <v>77.815</v>
      </c>
      <c r="I3" s="6">
        <v>76.19</v>
      </c>
      <c r="J3" s="6">
        <v>80.86</v>
      </c>
      <c r="K3" s="6">
        <v>77.11</v>
      </c>
      <c r="L3" s="6">
        <v>73.595</v>
      </c>
      <c r="M3" s="6">
        <v>77.29</v>
      </c>
      <c r="N3" s="6">
        <v>76.14</v>
      </c>
      <c r="O3" s="6">
        <v>76.44</v>
      </c>
      <c r="P3" s="6">
        <v>76.36</v>
      </c>
      <c r="Q3" s="6">
        <v>62.99</v>
      </c>
    </row>
    <row r="4" spans="1:17">
      <c r="A4" s="5">
        <v>20260303</v>
      </c>
      <c r="B4" s="6">
        <v>74.56</v>
      </c>
      <c r="C4" s="6">
        <v>81.4</v>
      </c>
      <c r="D4" s="6">
        <v>82.09</v>
      </c>
      <c r="E4" s="6">
        <v>562.4</v>
      </c>
      <c r="F4" s="6">
        <v>82.35</v>
      </c>
      <c r="G4" s="6">
        <v>82.35</v>
      </c>
      <c r="H4" s="6">
        <v>84.87</v>
      </c>
      <c r="I4" s="6">
        <v>77.06</v>
      </c>
      <c r="J4" s="6">
        <v>84.51</v>
      </c>
      <c r="K4" s="6">
        <v>80.26</v>
      </c>
      <c r="L4" s="6">
        <v>73.745</v>
      </c>
      <c r="M4" s="6">
        <v>83.77</v>
      </c>
      <c r="N4" s="6">
        <v>76.34</v>
      </c>
      <c r="O4" s="6">
        <v>76.64</v>
      </c>
      <c r="P4" s="6">
        <v>79.01</v>
      </c>
      <c r="Q4" s="6">
        <v>64.19</v>
      </c>
    </row>
    <row r="5" spans="1:17">
      <c r="A5" s="5">
        <v>20260304</v>
      </c>
      <c r="B5" s="6">
        <v>74.66</v>
      </c>
      <c r="C5" s="6">
        <v>81.4</v>
      </c>
      <c r="D5" s="6">
        <v>85.93</v>
      </c>
      <c r="E5" s="6">
        <v>624</v>
      </c>
      <c r="F5" s="6">
        <v>86.35</v>
      </c>
      <c r="G5" s="6">
        <v>86.35</v>
      </c>
      <c r="H5" s="6">
        <v>81.155</v>
      </c>
      <c r="I5" s="6">
        <v>74.855</v>
      </c>
      <c r="J5" s="6">
        <v>88.66</v>
      </c>
      <c r="K5" s="6">
        <v>83.41</v>
      </c>
      <c r="L5" s="6">
        <v>71.485</v>
      </c>
      <c r="M5" s="6">
        <v>81.94</v>
      </c>
      <c r="N5" s="6">
        <v>76.05</v>
      </c>
      <c r="O5" s="6">
        <v>76.35</v>
      </c>
      <c r="P5" s="6">
        <v>82.66</v>
      </c>
      <c r="Q5" s="6">
        <v>64.8</v>
      </c>
    </row>
    <row r="6" spans="1:17">
      <c r="A6" s="5">
        <v>20260305</v>
      </c>
      <c r="B6" s="6">
        <v>81.01</v>
      </c>
      <c r="C6" s="6">
        <v>85.41</v>
      </c>
      <c r="D6" s="6">
        <v>94.47</v>
      </c>
      <c r="E6" s="6">
        <v>665.7</v>
      </c>
      <c r="F6" s="6">
        <v>94.95</v>
      </c>
      <c r="G6" s="6">
        <v>94.95</v>
      </c>
      <c r="H6" s="6">
        <v>87.705</v>
      </c>
      <c r="I6" s="6">
        <v>77.95</v>
      </c>
      <c r="J6" s="6">
        <v>87.59</v>
      </c>
      <c r="K6" s="6">
        <v>82.84</v>
      </c>
      <c r="L6" s="6">
        <v>73.15</v>
      </c>
      <c r="M6" s="6">
        <v>86.06</v>
      </c>
      <c r="N6" s="6">
        <v>77.98</v>
      </c>
      <c r="O6" s="6">
        <v>78.28</v>
      </c>
      <c r="P6" s="6">
        <v>82.09</v>
      </c>
      <c r="Q6" s="6">
        <v>70.28</v>
      </c>
    </row>
    <row r="7" spans="1:17">
      <c r="A7" s="5">
        <v>20260306</v>
      </c>
      <c r="B7" s="6">
        <v>90.9</v>
      </c>
      <c r="C7" s="6">
        <v>92.69</v>
      </c>
      <c r="D7" s="6">
        <v>100.31</v>
      </c>
      <c r="E7" s="6">
        <v>659.7</v>
      </c>
      <c r="F7" s="6">
        <v>100.45</v>
      </c>
      <c r="G7" s="6">
        <v>100.45</v>
      </c>
      <c r="H7" s="6">
        <v>94.195</v>
      </c>
      <c r="I7" s="6">
        <v>83.21</v>
      </c>
      <c r="J7" s="6">
        <v>88.34</v>
      </c>
      <c r="K7" s="6">
        <v>83.64</v>
      </c>
      <c r="L7" s="6">
        <v>78.98</v>
      </c>
      <c r="M7" s="6">
        <v>91.96</v>
      </c>
      <c r="N7" s="6">
        <v>79.09</v>
      </c>
      <c r="O7" s="6">
        <v>79.39</v>
      </c>
      <c r="P7" s="6">
        <v>82.84</v>
      </c>
      <c r="Q7" s="6">
        <v>70.64</v>
      </c>
    </row>
    <row r="8" spans="1:17">
      <c r="A8" s="5">
        <v>20260309</v>
      </c>
      <c r="B8" s="6">
        <v>94.77</v>
      </c>
      <c r="C8" s="6">
        <v>98.96</v>
      </c>
      <c r="D8" s="6">
        <v>124.68</v>
      </c>
      <c r="E8" s="6">
        <v>746.6</v>
      </c>
      <c r="F8" s="6">
        <v>125</v>
      </c>
      <c r="G8" s="6">
        <v>125</v>
      </c>
      <c r="H8" s="6">
        <v>102.84</v>
      </c>
      <c r="I8" s="6">
        <v>104.98</v>
      </c>
      <c r="J8" s="6">
        <v>108.9</v>
      </c>
      <c r="K8" s="6">
        <v>104.2</v>
      </c>
      <c r="L8" s="6">
        <v>101.515</v>
      </c>
      <c r="M8" s="6">
        <v>95.83</v>
      </c>
      <c r="N8" s="6">
        <v>99.8</v>
      </c>
      <c r="O8" s="6">
        <v>100.1</v>
      </c>
      <c r="P8" s="6">
        <v>103.4</v>
      </c>
      <c r="Q8" s="6">
        <v>100.1</v>
      </c>
    </row>
    <row r="9" spans="1:17">
      <c r="A9" s="5">
        <v>20260310</v>
      </c>
      <c r="B9" s="6">
        <v>83.45</v>
      </c>
      <c r="C9" s="6">
        <v>87.8</v>
      </c>
      <c r="D9" s="6">
        <v>114.85</v>
      </c>
      <c r="E9" s="6">
        <v>732.4</v>
      </c>
      <c r="F9" s="6">
        <v>115.2</v>
      </c>
      <c r="G9" s="6">
        <v>115.2</v>
      </c>
      <c r="H9" s="6">
        <v>87.935</v>
      </c>
      <c r="I9" s="6">
        <v>89.605</v>
      </c>
      <c r="J9" s="6">
        <v>96.86</v>
      </c>
      <c r="K9" s="6">
        <v>92.16</v>
      </c>
      <c r="L9" s="6">
        <v>85.805</v>
      </c>
      <c r="M9" s="6">
        <v>87.06</v>
      </c>
      <c r="N9" s="6">
        <v>84.64</v>
      </c>
      <c r="O9" s="6">
        <v>84.94</v>
      </c>
      <c r="P9" s="6">
        <v>91.56</v>
      </c>
      <c r="Q9" s="6">
        <v>86.94</v>
      </c>
    </row>
    <row r="10" spans="1:17">
      <c r="A10" s="5">
        <v>20260311</v>
      </c>
      <c r="B10" s="6">
        <v>87.25</v>
      </c>
      <c r="C10" s="6">
        <v>91.98</v>
      </c>
      <c r="D10" s="6">
        <v>118.73</v>
      </c>
      <c r="E10" s="6">
        <v>649.2</v>
      </c>
      <c r="F10" s="6">
        <v>119.55</v>
      </c>
      <c r="G10" s="6">
        <v>119.55</v>
      </c>
      <c r="H10" s="6">
        <v>91.46</v>
      </c>
      <c r="I10" s="6">
        <v>86.995</v>
      </c>
      <c r="J10" s="6">
        <v>93.96</v>
      </c>
      <c r="K10" s="6">
        <v>89.16</v>
      </c>
      <c r="L10" s="6">
        <v>83.105</v>
      </c>
      <c r="M10" s="6">
        <v>91.17</v>
      </c>
      <c r="N10" s="6">
        <v>84.72</v>
      </c>
      <c r="O10" s="6">
        <v>85.02</v>
      </c>
      <c r="P10" s="6">
        <v>89.01</v>
      </c>
      <c r="Q10" s="6">
        <v>82.32</v>
      </c>
    </row>
    <row r="11" spans="1:17">
      <c r="A11" s="5">
        <v>20260312</v>
      </c>
      <c r="B11" s="6">
        <v>95.73</v>
      </c>
      <c r="C11" s="6">
        <v>100.46</v>
      </c>
      <c r="D11" s="6">
        <v>134.75</v>
      </c>
      <c r="E11" s="6">
        <v>712.3</v>
      </c>
      <c r="F11" s="6">
        <v>134.4</v>
      </c>
      <c r="G11" s="6">
        <v>134.4</v>
      </c>
      <c r="H11" s="6">
        <v>100.655</v>
      </c>
      <c r="I11" s="6">
        <v>93.81</v>
      </c>
      <c r="J11" s="6">
        <v>101.25</v>
      </c>
      <c r="K11" s="6">
        <v>96.25</v>
      </c>
      <c r="L11" s="6">
        <v>87.77</v>
      </c>
      <c r="M11" s="6">
        <v>98.01</v>
      </c>
      <c r="N11" s="6">
        <v>93.33</v>
      </c>
      <c r="O11" s="6">
        <v>93.63</v>
      </c>
      <c r="P11" s="6">
        <v>96.5</v>
      </c>
      <c r="Q11" s="6">
        <v>86.78</v>
      </c>
    </row>
    <row r="12" spans="1:17">
      <c r="A12" s="5">
        <v>20260313</v>
      </c>
      <c r="B12" s="6">
        <v>98.71</v>
      </c>
      <c r="C12" s="6">
        <v>103.14</v>
      </c>
      <c r="D12" s="6">
        <v>144.36</v>
      </c>
      <c r="E12" s="6">
        <v>753.1</v>
      </c>
      <c r="F12" s="6">
        <v>145.51</v>
      </c>
      <c r="G12" s="6">
        <v>145.51</v>
      </c>
      <c r="H12" s="6">
        <v>103.47</v>
      </c>
      <c r="I12" s="6">
        <v>98.815</v>
      </c>
      <c r="J12" s="6">
        <v>108.02</v>
      </c>
      <c r="K12" s="6">
        <v>100.52</v>
      </c>
      <c r="L12" s="6">
        <v>93.79</v>
      </c>
      <c r="M12" s="6">
        <v>101.41</v>
      </c>
      <c r="N12" s="6">
        <v>97.24</v>
      </c>
      <c r="O12" s="6">
        <v>97.54</v>
      </c>
      <c r="P12" s="6">
        <v>102.27</v>
      </c>
      <c r="Q12" s="6">
        <v>90.09</v>
      </c>
    </row>
    <row r="13" spans="1:17">
      <c r="A13" s="5">
        <v>20260316</v>
      </c>
      <c r="B13" s="6">
        <v>93.5</v>
      </c>
      <c r="C13" s="6">
        <v>100.21</v>
      </c>
      <c r="D13" s="6">
        <v>147.79</v>
      </c>
      <c r="E13" s="6">
        <v>761.8</v>
      </c>
      <c r="F13" s="6">
        <v>153.24</v>
      </c>
      <c r="G13" s="6">
        <v>153.24</v>
      </c>
      <c r="H13" s="6">
        <v>103.695</v>
      </c>
      <c r="I13" s="6">
        <v>104.155</v>
      </c>
      <c r="J13" s="6">
        <v>112.38</v>
      </c>
      <c r="K13" s="6">
        <v>102.83</v>
      </c>
      <c r="L13" s="6">
        <v>99.36</v>
      </c>
      <c r="M13" s="6">
        <v>104.97</v>
      </c>
      <c r="N13" s="6">
        <v>100.32</v>
      </c>
      <c r="O13" s="6">
        <v>100.62</v>
      </c>
      <c r="P13" s="6">
        <v>107.43</v>
      </c>
      <c r="Q13" s="6">
        <v>93.07</v>
      </c>
    </row>
    <row r="14" spans="1:17">
      <c r="A14" s="5">
        <v>20260317</v>
      </c>
      <c r="B14" s="6">
        <v>96.21</v>
      </c>
      <c r="C14" s="6">
        <v>103.42</v>
      </c>
      <c r="D14" s="6">
        <v>152.58</v>
      </c>
      <c r="E14" s="6">
        <v>736.2</v>
      </c>
      <c r="F14" s="6">
        <v>157.66</v>
      </c>
      <c r="G14" s="6">
        <v>157.66</v>
      </c>
      <c r="H14" s="6">
        <v>103.31</v>
      </c>
      <c r="I14" s="6">
        <v>103.07</v>
      </c>
      <c r="J14" s="6">
        <v>111.2</v>
      </c>
      <c r="K14" s="6">
        <v>104.65</v>
      </c>
      <c r="L14" s="6">
        <v>97.205</v>
      </c>
      <c r="M14" s="6">
        <v>104.25</v>
      </c>
      <c r="N14" s="6">
        <v>97.73</v>
      </c>
      <c r="O14" s="6">
        <v>98.03</v>
      </c>
      <c r="P14" s="6">
        <v>106.25</v>
      </c>
      <c r="Q14" s="6">
        <v>98.83</v>
      </c>
    </row>
    <row r="15" spans="1:17">
      <c r="A15" s="5">
        <v>20260318</v>
      </c>
      <c r="B15" s="6">
        <v>96.32</v>
      </c>
      <c r="C15" s="6">
        <v>107.38</v>
      </c>
      <c r="D15" s="6">
        <v>153.12</v>
      </c>
      <c r="E15" s="6">
        <v>744.3</v>
      </c>
      <c r="F15" s="6">
        <v>155.55</v>
      </c>
      <c r="G15" s="6">
        <v>155.55</v>
      </c>
      <c r="H15" s="6">
        <v>112.53</v>
      </c>
      <c r="I15" s="6">
        <v>102.55</v>
      </c>
      <c r="J15" s="6">
        <v>110.24</v>
      </c>
      <c r="K15" s="6">
        <v>103.89</v>
      </c>
      <c r="L15" s="6">
        <v>96.805</v>
      </c>
      <c r="M15" s="6">
        <v>111.11</v>
      </c>
      <c r="N15" s="6">
        <v>95.87</v>
      </c>
      <c r="O15" s="6">
        <v>96.17</v>
      </c>
      <c r="P15" s="6">
        <v>105.39</v>
      </c>
      <c r="Q15" s="6">
        <v>98.37</v>
      </c>
    </row>
    <row r="16" spans="1:17">
      <c r="A16" s="5">
        <v>20260319</v>
      </c>
      <c r="B16" s="6">
        <v>96.14</v>
      </c>
      <c r="C16" s="6">
        <v>108.65</v>
      </c>
      <c r="D16" s="6">
        <v>166.96</v>
      </c>
      <c r="E16" s="6">
        <v>792.6</v>
      </c>
      <c r="F16" s="6">
        <v>166.8</v>
      </c>
      <c r="G16" s="6">
        <v>166.8</v>
      </c>
      <c r="H16" s="6">
        <v>117.435</v>
      </c>
      <c r="I16" s="6">
        <v>114.655</v>
      </c>
      <c r="J16" s="6">
        <v>119.74</v>
      </c>
      <c r="K16" s="6">
        <v>113.74</v>
      </c>
      <c r="L16" s="6">
        <v>107.835</v>
      </c>
      <c r="M16" s="6">
        <v>112.47</v>
      </c>
      <c r="N16" s="6">
        <v>103.86</v>
      </c>
      <c r="O16" s="6">
        <v>104.16</v>
      </c>
      <c r="P16" s="6">
        <v>114.29</v>
      </c>
      <c r="Q16" s="6">
        <v>106.61</v>
      </c>
    </row>
    <row r="17" spans="1:17">
      <c r="A17" s="5">
        <v>20260320</v>
      </c>
      <c r="B17" s="6">
        <v>98.32</v>
      </c>
      <c r="C17" s="6">
        <v>112.19</v>
      </c>
      <c r="D17" s="6">
        <v>157.94</v>
      </c>
      <c r="E17" s="6">
        <v>773.7</v>
      </c>
      <c r="F17" s="6">
        <v>158.85</v>
      </c>
      <c r="G17" s="6">
        <v>158.85</v>
      </c>
      <c r="H17" s="6">
        <v>116.935</v>
      </c>
      <c r="I17" s="6">
        <v>112.92</v>
      </c>
      <c r="J17" s="6">
        <v>116.12</v>
      </c>
      <c r="K17" s="6">
        <v>110.72</v>
      </c>
      <c r="L17" s="6">
        <v>103.265</v>
      </c>
      <c r="M17" s="6">
        <v>111.16</v>
      </c>
      <c r="N17" s="6">
        <v>100.73</v>
      </c>
      <c r="O17" s="6">
        <v>101.03</v>
      </c>
      <c r="P17" s="6">
        <v>110.47</v>
      </c>
      <c r="Q17" s="6">
        <v>102.48</v>
      </c>
    </row>
    <row r="18" spans="1:17">
      <c r="A18" s="5">
        <v>20260323</v>
      </c>
      <c r="B18" s="6">
        <v>88.13</v>
      </c>
      <c r="C18" s="6">
        <v>99.94</v>
      </c>
      <c r="D18" s="6">
        <v>160.2</v>
      </c>
      <c r="E18" s="6">
        <v>797.9</v>
      </c>
      <c r="F18" s="6">
        <v>169.75</v>
      </c>
      <c r="G18" s="6">
        <v>169.75</v>
      </c>
      <c r="H18" s="6">
        <v>110.045</v>
      </c>
      <c r="I18" s="6">
        <v>121.09</v>
      </c>
      <c r="J18" s="6">
        <v>121.33</v>
      </c>
      <c r="K18" s="6">
        <v>115.83</v>
      </c>
      <c r="L18" s="6">
        <v>109.8</v>
      </c>
      <c r="M18" s="6">
        <v>104.87</v>
      </c>
      <c r="N18" s="6">
        <v>108.52</v>
      </c>
      <c r="O18" s="6">
        <v>108.82</v>
      </c>
      <c r="P18" s="6">
        <v>115.63</v>
      </c>
      <c r="Q18" s="6">
        <v>108.27</v>
      </c>
    </row>
    <row r="19" spans="1:17">
      <c r="A19" s="5">
        <v>20260324</v>
      </c>
      <c r="B19" s="6">
        <v>92.35</v>
      </c>
      <c r="C19" s="6">
        <v>104.49</v>
      </c>
      <c r="D19" s="6">
        <v>139.64</v>
      </c>
      <c r="E19" s="6">
        <v>747.1</v>
      </c>
      <c r="F19" s="6">
        <v>157</v>
      </c>
      <c r="G19" s="6">
        <v>157</v>
      </c>
      <c r="H19" s="6">
        <v>111.14</v>
      </c>
      <c r="I19" s="6">
        <v>109.98</v>
      </c>
      <c r="J19" s="6">
        <v>110.2</v>
      </c>
      <c r="K19" s="6">
        <v>104.6</v>
      </c>
      <c r="L19" s="6">
        <v>99.205</v>
      </c>
      <c r="M19" s="6">
        <v>105</v>
      </c>
      <c r="N19" s="6">
        <v>99.23</v>
      </c>
      <c r="O19" s="6">
        <v>99.53</v>
      </c>
      <c r="P19" s="6">
        <v>104.5</v>
      </c>
      <c r="Q19" s="6">
        <v>98.48</v>
      </c>
    </row>
    <row r="20" spans="1:17">
      <c r="A20" s="5">
        <v>20260325</v>
      </c>
      <c r="B20" s="6">
        <v>90.32</v>
      </c>
      <c r="C20" s="6">
        <v>102.22</v>
      </c>
      <c r="D20" s="6">
        <v>109.55</v>
      </c>
      <c r="E20" s="6">
        <v>715.9</v>
      </c>
      <c r="F20" s="6">
        <v>142.55</v>
      </c>
      <c r="G20" s="6">
        <v>142.55</v>
      </c>
      <c r="H20" s="6">
        <v>109.58</v>
      </c>
      <c r="I20" s="6">
        <v>106.465</v>
      </c>
      <c r="J20" s="6">
        <v>106.72</v>
      </c>
      <c r="K20" s="6">
        <v>101.17</v>
      </c>
      <c r="L20" s="6">
        <v>96.65</v>
      </c>
      <c r="M20" s="6">
        <v>102.29</v>
      </c>
      <c r="N20" s="6">
        <v>93.56</v>
      </c>
      <c r="O20" s="6">
        <v>93.86</v>
      </c>
      <c r="P20" s="6">
        <v>101.02</v>
      </c>
      <c r="Q20" s="6">
        <v>94.31</v>
      </c>
    </row>
    <row r="21" spans="1:17">
      <c r="A21" s="5">
        <v>20260326</v>
      </c>
      <c r="B21" s="6">
        <v>94.48</v>
      </c>
      <c r="C21" s="6">
        <v>108.01</v>
      </c>
      <c r="D21" s="6">
        <v>112.42</v>
      </c>
      <c r="E21" s="6">
        <v>722.7</v>
      </c>
      <c r="F21" s="6">
        <v>113.04</v>
      </c>
      <c r="G21" s="6">
        <v>113.04</v>
      </c>
      <c r="H21" s="6">
        <v>117.485</v>
      </c>
      <c r="I21" s="6">
        <v>110.485</v>
      </c>
      <c r="J21" s="6">
        <v>111.49</v>
      </c>
      <c r="K21" s="6">
        <v>105.94</v>
      </c>
      <c r="L21" s="6">
        <v>101.415</v>
      </c>
      <c r="M21" s="6">
        <v>108.43</v>
      </c>
      <c r="N21" s="6">
        <v>98.76</v>
      </c>
      <c r="O21" s="6">
        <v>99.06</v>
      </c>
      <c r="P21" s="6">
        <v>105.89</v>
      </c>
      <c r="Q21" s="6">
        <v>97.11</v>
      </c>
    </row>
    <row r="22" spans="1:17">
      <c r="A22" s="5">
        <v>20260327</v>
      </c>
      <c r="B22" s="6">
        <v>99.64</v>
      </c>
      <c r="C22" s="6">
        <v>112.57</v>
      </c>
      <c r="D22" s="6">
        <v>119.52</v>
      </c>
      <c r="E22" s="6">
        <v>735.7</v>
      </c>
      <c r="F22" s="6">
        <v>122.14</v>
      </c>
      <c r="G22" s="6">
        <v>122.14</v>
      </c>
      <c r="H22" s="6">
        <v>120.51</v>
      </c>
      <c r="I22" s="6">
        <v>113.425</v>
      </c>
      <c r="J22" s="6">
        <v>115.28</v>
      </c>
      <c r="K22" s="6">
        <v>109.78</v>
      </c>
      <c r="L22" s="6">
        <v>102.485</v>
      </c>
      <c r="M22" s="6">
        <v>111.18</v>
      </c>
      <c r="N22" s="6">
        <v>101.59</v>
      </c>
      <c r="O22" s="6">
        <v>101.89</v>
      </c>
      <c r="P22" s="6">
        <v>109.78</v>
      </c>
      <c r="Q22" s="6">
        <v>99.44</v>
      </c>
    </row>
    <row r="23" spans="1:17">
      <c r="A23" s="5">
        <v>20260330</v>
      </c>
      <c r="B23" s="6">
        <v>102.88</v>
      </c>
      <c r="C23" s="6">
        <v>112.78</v>
      </c>
      <c r="D23" s="6">
        <v>104.84</v>
      </c>
      <c r="E23" s="6">
        <v>755.9</v>
      </c>
      <c r="F23" s="6">
        <v>125.29</v>
      </c>
      <c r="G23" s="6">
        <v>125.29</v>
      </c>
      <c r="H23" s="6">
        <v>123.485</v>
      </c>
      <c r="I23" s="6">
        <v>118.895</v>
      </c>
      <c r="J23" s="6">
        <v>120.74</v>
      </c>
      <c r="K23" s="6">
        <v>115.04</v>
      </c>
      <c r="L23" s="6">
        <v>107.16</v>
      </c>
      <c r="M23" s="6">
        <v>114.63</v>
      </c>
      <c r="N23" s="6">
        <v>106.22</v>
      </c>
      <c r="O23" s="6">
        <v>106.52</v>
      </c>
      <c r="P23" s="6">
        <v>115.64</v>
      </c>
      <c r="Q23" s="6">
        <v>103.22</v>
      </c>
    </row>
    <row r="24" spans="1:17">
      <c r="A24" s="5">
        <v>20260331</v>
      </c>
      <c r="B24" s="6">
        <v>101.38</v>
      </c>
      <c r="C24" s="6">
        <v>118.35</v>
      </c>
      <c r="D24" s="6">
        <v>123.93</v>
      </c>
      <c r="E24" s="6">
        <v>745.1</v>
      </c>
      <c r="F24" s="6">
        <v>121.1</v>
      </c>
      <c r="G24" s="6">
        <v>121.1</v>
      </c>
      <c r="H24" s="6">
        <v>127.24</v>
      </c>
      <c r="I24" s="6">
        <v>116.85</v>
      </c>
      <c r="J24" s="6">
        <v>119.13</v>
      </c>
      <c r="K24" s="6">
        <v>113.43</v>
      </c>
      <c r="L24" s="6">
        <v>106.09</v>
      </c>
      <c r="M24" s="6">
        <v>115.58</v>
      </c>
      <c r="N24" s="6">
        <v>103.63</v>
      </c>
      <c r="O24" s="6">
        <v>103.93</v>
      </c>
      <c r="P24" s="6">
        <v>114.33</v>
      </c>
      <c r="Q24" s="6">
        <v>101.88</v>
      </c>
    </row>
    <row r="25" spans="1:17">
      <c r="A25" s="7" t="s">
        <v>17</v>
      </c>
      <c r="B25" s="8">
        <f>AVERAGE(B23:B24)</f>
        <v>102.13</v>
      </c>
      <c r="C25" s="8">
        <f t="shared" ref="C25:Q25" si="0">AVERAGE(C23:C24)</f>
        <v>115.565</v>
      </c>
      <c r="D25" s="8">
        <f t="shared" si="0"/>
        <v>114.385</v>
      </c>
      <c r="E25" s="8">
        <f t="shared" si="0"/>
        <v>750.5</v>
      </c>
      <c r="F25" s="8">
        <f t="shared" si="0"/>
        <v>123.195</v>
      </c>
      <c r="G25" s="8">
        <f t="shared" si="0"/>
        <v>123.195</v>
      </c>
      <c r="H25" s="8">
        <f t="shared" si="0"/>
        <v>125.3625</v>
      </c>
      <c r="I25" s="8">
        <f t="shared" si="0"/>
        <v>117.8725</v>
      </c>
      <c r="J25" s="8">
        <f t="shared" si="0"/>
        <v>119.935</v>
      </c>
      <c r="K25" s="8">
        <f t="shared" si="0"/>
        <v>114.235</v>
      </c>
      <c r="L25" s="8">
        <f t="shared" si="0"/>
        <v>106.625</v>
      </c>
      <c r="M25" s="8">
        <f t="shared" si="0"/>
        <v>115.105</v>
      </c>
      <c r="N25" s="8">
        <f t="shared" si="0"/>
        <v>104.925</v>
      </c>
      <c r="O25" s="8">
        <f t="shared" si="0"/>
        <v>105.225</v>
      </c>
      <c r="P25" s="8">
        <f t="shared" si="0"/>
        <v>114.985</v>
      </c>
      <c r="Q25" s="8">
        <f t="shared" si="0"/>
        <v>102.55</v>
      </c>
    </row>
    <row r="26" ht="22.5" spans="1:17">
      <c r="A26" s="3" t="s">
        <v>21</v>
      </c>
      <c r="B26" s="9">
        <f>AVERAGE(B3:B24)</f>
        <v>90.9972727272727</v>
      </c>
      <c r="C26" s="9">
        <f t="shared" ref="C26:Q26" si="1">AVERAGE(C3:C24)</f>
        <v>99.5995454545455</v>
      </c>
      <c r="D26" s="9">
        <f t="shared" si="1"/>
        <v>124.048181818182</v>
      </c>
      <c r="E26" s="9">
        <f t="shared" si="1"/>
        <v>711.15</v>
      </c>
      <c r="F26" s="9">
        <f t="shared" si="1"/>
        <v>128.524090909091</v>
      </c>
      <c r="G26" s="9">
        <f t="shared" si="1"/>
        <v>128.524090909091</v>
      </c>
      <c r="H26" s="9">
        <f t="shared" si="1"/>
        <v>103.885909090909</v>
      </c>
      <c r="I26" s="9">
        <f t="shared" si="1"/>
        <v>99.9095454545454</v>
      </c>
      <c r="J26" s="9">
        <f t="shared" si="1"/>
        <v>105.16</v>
      </c>
      <c r="K26" s="9">
        <f t="shared" si="1"/>
        <v>99.5986363636364</v>
      </c>
      <c r="L26" s="9">
        <f t="shared" si="1"/>
        <v>93.1915909090909</v>
      </c>
      <c r="M26" s="9">
        <f t="shared" si="1"/>
        <v>100.02</v>
      </c>
      <c r="N26" s="9">
        <f t="shared" si="1"/>
        <v>93.425</v>
      </c>
      <c r="O26" s="9">
        <f t="shared" si="1"/>
        <v>93.725</v>
      </c>
      <c r="P26" s="9">
        <f t="shared" si="1"/>
        <v>99.8327272727273</v>
      </c>
      <c r="Q26" s="9">
        <f t="shared" si="1"/>
        <v>90.0545454545454</v>
      </c>
    </row>
    <row r="27" ht="23.25" spans="1:17">
      <c r="A27" s="10" t="s">
        <v>19</v>
      </c>
      <c r="B27" s="23">
        <f>(B26-B2)/B2</f>
        <v>0.410304078354717</v>
      </c>
      <c r="C27" s="23">
        <f t="shared" ref="B27:Q27" si="2">(C26-C2)/C2</f>
        <v>0.435793300386995</v>
      </c>
      <c r="D27" s="23">
        <f t="shared" si="2"/>
        <v>0.820236125256706</v>
      </c>
      <c r="E27" s="23">
        <f t="shared" si="2"/>
        <v>0.515618815649262</v>
      </c>
      <c r="F27" s="23">
        <f t="shared" si="2"/>
        <v>0.878885092232178</v>
      </c>
      <c r="G27" s="23">
        <f t="shared" si="2"/>
        <v>0.878686738262347</v>
      </c>
      <c r="H27" s="23">
        <f t="shared" si="2"/>
        <v>0.460035544403034</v>
      </c>
      <c r="I27" s="23">
        <f t="shared" si="2"/>
        <v>0.523792100612033</v>
      </c>
      <c r="J27" s="23">
        <f t="shared" si="2"/>
        <v>0.45149491216097</v>
      </c>
      <c r="K27" s="23">
        <f t="shared" si="2"/>
        <v>0.455718413161939</v>
      </c>
      <c r="L27" s="23">
        <f t="shared" si="2"/>
        <v>0.456529521230935</v>
      </c>
      <c r="M27" s="23">
        <f t="shared" si="2"/>
        <v>0.464159659081668</v>
      </c>
      <c r="N27" s="23">
        <f t="shared" si="2"/>
        <v>0.354574452660577</v>
      </c>
      <c r="O27" s="23">
        <f t="shared" si="2"/>
        <v>0.353038833549877</v>
      </c>
      <c r="P27" s="23">
        <f t="shared" si="2"/>
        <v>0.469881632428461</v>
      </c>
      <c r="Q27" s="23">
        <f t="shared" si="2"/>
        <v>0.641733327440668</v>
      </c>
    </row>
    <row r="28" ht="15"/>
  </sheetData>
  <conditionalFormatting sqref="B27:Q27">
    <cfRule type="cellIs" dxfId="3" priority="1" operator="equal">
      <formula>0</formula>
    </cfRule>
    <cfRule type="cellIs" dxfId="4" priority="2" operator="lessThan">
      <formula>0</formula>
    </cfRule>
    <cfRule type="cellIs" dxfId="5" priority="3" operator="greaterThan">
      <formula>0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26"/>
  <sheetViews>
    <sheetView workbookViewId="0">
      <selection activeCell="C31" sqref="C31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ht="22.5" spans="1:17">
      <c r="A2" s="3" t="s">
        <v>23</v>
      </c>
      <c r="B2" s="9">
        <v>60.2595</v>
      </c>
      <c r="C2" s="9">
        <v>64.7261904761905</v>
      </c>
      <c r="D2" s="9">
        <v>62.1685714285714</v>
      </c>
      <c r="E2" s="9">
        <v>440.445</v>
      </c>
      <c r="F2" s="9">
        <v>61.9685714285714</v>
      </c>
      <c r="G2" s="9">
        <v>62.1895238095238</v>
      </c>
      <c r="H2" s="9">
        <v>66.7964285714286</v>
      </c>
      <c r="I2" s="9">
        <v>60.4542857142857</v>
      </c>
      <c r="J2" s="9">
        <v>66.06</v>
      </c>
      <c r="K2" s="9">
        <v>62.6133333333333</v>
      </c>
      <c r="L2" s="9">
        <v>59.0821428571429</v>
      </c>
      <c r="M2" s="9">
        <v>62.9557142857143</v>
      </c>
      <c r="N2" s="9">
        <v>64.3595238095238</v>
      </c>
      <c r="O2" s="9">
        <v>64.7071428571428</v>
      </c>
      <c r="P2" s="9">
        <v>62.1847619047619</v>
      </c>
      <c r="Q2" s="9">
        <v>50.3904761904762</v>
      </c>
    </row>
    <row r="3" spans="1:17">
      <c r="A3" s="5">
        <v>20260202</v>
      </c>
      <c r="B3" s="6">
        <v>62.14</v>
      </c>
      <c r="C3" s="6">
        <v>66.3</v>
      </c>
      <c r="D3" s="6">
        <v>64.87</v>
      </c>
      <c r="E3" s="6">
        <v>472.7</v>
      </c>
      <c r="F3" s="6">
        <v>64.99</v>
      </c>
      <c r="G3" s="6">
        <v>65.06</v>
      </c>
      <c r="H3" s="6">
        <v>68.77</v>
      </c>
      <c r="I3" s="6">
        <v>62.725</v>
      </c>
      <c r="J3" s="6">
        <v>69.73</v>
      </c>
      <c r="K3" s="6">
        <v>65.18</v>
      </c>
      <c r="L3" s="6">
        <v>60.915</v>
      </c>
      <c r="M3" s="6">
        <v>65.46</v>
      </c>
      <c r="N3" s="6">
        <v>66.36</v>
      </c>
      <c r="O3" s="6">
        <v>66.66</v>
      </c>
      <c r="P3" s="6">
        <v>64.93</v>
      </c>
      <c r="Q3" s="6">
        <v>52.81</v>
      </c>
    </row>
    <row r="4" spans="1:17">
      <c r="A4" s="5">
        <v>20260203</v>
      </c>
      <c r="B4" s="6">
        <v>63.21</v>
      </c>
      <c r="C4" s="6">
        <v>67.33</v>
      </c>
      <c r="D4" s="6">
        <v>65.15</v>
      </c>
      <c r="E4" s="6">
        <v>449.8</v>
      </c>
      <c r="F4" s="6">
        <v>65.095</v>
      </c>
      <c r="G4" s="6">
        <v>65.12</v>
      </c>
      <c r="H4" s="6">
        <v>69.69</v>
      </c>
      <c r="I4" s="6">
        <v>62.65</v>
      </c>
      <c r="J4" s="6">
        <v>69.4</v>
      </c>
      <c r="K4" s="6">
        <v>64.95</v>
      </c>
      <c r="L4" s="6">
        <v>60.91</v>
      </c>
      <c r="M4" s="6">
        <v>66.33</v>
      </c>
      <c r="N4" s="6">
        <v>66.16</v>
      </c>
      <c r="O4" s="6">
        <v>66.46</v>
      </c>
      <c r="P4" s="6">
        <v>64.65</v>
      </c>
      <c r="Q4" s="6">
        <v>52.61</v>
      </c>
    </row>
    <row r="5" spans="1:17">
      <c r="A5" s="5">
        <v>20260204</v>
      </c>
      <c r="B5" s="6">
        <v>65.14</v>
      </c>
      <c r="C5" s="6">
        <v>69.46</v>
      </c>
      <c r="D5" s="6">
        <v>66.75</v>
      </c>
      <c r="E5" s="6">
        <v>458.3</v>
      </c>
      <c r="F5" s="6">
        <v>66.785</v>
      </c>
      <c r="G5" s="6">
        <v>66.79</v>
      </c>
      <c r="H5" s="6">
        <v>69.815</v>
      </c>
      <c r="I5" s="6">
        <v>64.065</v>
      </c>
      <c r="J5" s="6">
        <v>71.02</v>
      </c>
      <c r="K5" s="6">
        <v>66.57</v>
      </c>
      <c r="L5" s="6">
        <v>62.375</v>
      </c>
      <c r="M5" s="6">
        <v>66.72</v>
      </c>
      <c r="N5" s="6">
        <v>67.85</v>
      </c>
      <c r="O5" s="6">
        <v>68.15</v>
      </c>
      <c r="P5" s="6">
        <v>66.27</v>
      </c>
      <c r="Q5" s="6">
        <v>54.15</v>
      </c>
    </row>
    <row r="6" spans="1:17">
      <c r="A6" s="5">
        <v>20260205</v>
      </c>
      <c r="B6" s="6">
        <v>63.29</v>
      </c>
      <c r="C6" s="6">
        <v>67.55</v>
      </c>
      <c r="D6" s="6">
        <v>67.46</v>
      </c>
      <c r="E6" s="6">
        <v>463.7</v>
      </c>
      <c r="F6" s="6">
        <v>67.43</v>
      </c>
      <c r="G6" s="6">
        <v>67.45</v>
      </c>
      <c r="H6" s="6">
        <v>69.7</v>
      </c>
      <c r="I6" s="6">
        <v>64.58</v>
      </c>
      <c r="J6" s="6">
        <v>71.59</v>
      </c>
      <c r="K6" s="6">
        <v>67.19</v>
      </c>
      <c r="L6" s="6">
        <v>62.93</v>
      </c>
      <c r="M6" s="6">
        <v>66.65</v>
      </c>
      <c r="N6" s="6">
        <v>68.32</v>
      </c>
      <c r="O6" s="6">
        <v>68.62</v>
      </c>
      <c r="P6" s="6">
        <v>66.84</v>
      </c>
      <c r="Q6" s="6">
        <v>54.62</v>
      </c>
    </row>
    <row r="7" spans="1:17">
      <c r="A7" s="5">
        <v>20260206</v>
      </c>
      <c r="B7" s="6">
        <v>63.55</v>
      </c>
      <c r="C7" s="6">
        <v>68.05</v>
      </c>
      <c r="D7" s="6">
        <v>67.78</v>
      </c>
      <c r="E7" s="6">
        <v>461.8</v>
      </c>
      <c r="F7" s="6">
        <v>67.74</v>
      </c>
      <c r="G7" s="6">
        <v>67.74</v>
      </c>
      <c r="H7" s="6">
        <v>71.4</v>
      </c>
      <c r="I7" s="6">
        <v>64.31</v>
      </c>
      <c r="J7" s="6">
        <v>71.53</v>
      </c>
      <c r="K7" s="6">
        <v>67.13</v>
      </c>
      <c r="L7" s="6">
        <v>62.56</v>
      </c>
      <c r="M7" s="6">
        <v>67.73</v>
      </c>
      <c r="N7" s="6">
        <v>68.54</v>
      </c>
      <c r="O7" s="6">
        <v>68.84</v>
      </c>
      <c r="P7" s="6">
        <v>66.83</v>
      </c>
      <c r="Q7" s="6">
        <v>54.74</v>
      </c>
    </row>
    <row r="8" spans="1:17">
      <c r="A8" s="5">
        <v>20260209</v>
      </c>
      <c r="B8" s="6">
        <v>64.36</v>
      </c>
      <c r="C8" s="6">
        <v>69.04</v>
      </c>
      <c r="D8" s="6">
        <v>66.77</v>
      </c>
      <c r="E8" s="6">
        <v>460.7</v>
      </c>
      <c r="F8" s="6">
        <v>66.795</v>
      </c>
      <c r="G8" s="6">
        <v>66.8</v>
      </c>
      <c r="H8" s="6">
        <v>72.105</v>
      </c>
      <c r="I8" s="6">
        <v>63.555</v>
      </c>
      <c r="J8" s="6">
        <v>70.99</v>
      </c>
      <c r="K8" s="6">
        <v>66.49</v>
      </c>
      <c r="L8" s="6">
        <v>61.995</v>
      </c>
      <c r="M8" s="6">
        <v>67.65</v>
      </c>
      <c r="N8" s="6">
        <v>67.76</v>
      </c>
      <c r="O8" s="6">
        <v>68.06</v>
      </c>
      <c r="P8" s="6">
        <v>66.24</v>
      </c>
      <c r="Q8" s="6">
        <v>53.71</v>
      </c>
    </row>
    <row r="9" spans="1:17">
      <c r="A9" s="5">
        <v>20260210</v>
      </c>
      <c r="B9" s="6">
        <v>63.96</v>
      </c>
      <c r="C9" s="6">
        <v>68.8</v>
      </c>
      <c r="D9" s="6">
        <v>68</v>
      </c>
      <c r="E9" s="6">
        <v>466</v>
      </c>
      <c r="F9" s="6">
        <v>68</v>
      </c>
      <c r="G9" s="6">
        <v>68</v>
      </c>
      <c r="H9" s="6">
        <v>72.04</v>
      </c>
      <c r="I9" s="6">
        <v>64.955</v>
      </c>
      <c r="J9" s="6">
        <v>72.35</v>
      </c>
      <c r="K9" s="6">
        <v>67.85</v>
      </c>
      <c r="L9" s="6">
        <v>63.44</v>
      </c>
      <c r="M9" s="6">
        <v>67.44</v>
      </c>
      <c r="N9" s="6">
        <v>68.96</v>
      </c>
      <c r="O9" s="6">
        <v>69.26</v>
      </c>
      <c r="P9" s="6">
        <v>67.55</v>
      </c>
      <c r="Q9" s="6">
        <v>54.71</v>
      </c>
    </row>
    <row r="10" spans="1:17">
      <c r="A10" s="5">
        <v>20260211</v>
      </c>
      <c r="B10" s="6">
        <v>64.63</v>
      </c>
      <c r="C10" s="6">
        <v>69.4</v>
      </c>
      <c r="D10" s="6">
        <v>68.56</v>
      </c>
      <c r="E10" s="6">
        <v>470.3</v>
      </c>
      <c r="F10" s="6">
        <v>68.605</v>
      </c>
      <c r="G10" s="6">
        <v>68.61</v>
      </c>
      <c r="H10" s="6">
        <v>73.12</v>
      </c>
      <c r="I10" s="6">
        <v>65.69</v>
      </c>
      <c r="J10" s="6">
        <v>72.88</v>
      </c>
      <c r="K10" s="6">
        <v>68.53</v>
      </c>
      <c r="L10" s="6">
        <v>64.09</v>
      </c>
      <c r="M10" s="6">
        <v>68.49</v>
      </c>
      <c r="N10" s="6">
        <v>69.55</v>
      </c>
      <c r="O10" s="6">
        <v>69.85</v>
      </c>
      <c r="P10" s="6">
        <v>68.13</v>
      </c>
      <c r="Q10" s="6">
        <v>55.25</v>
      </c>
    </row>
    <row r="11" spans="1:17">
      <c r="A11" s="5">
        <v>20260212</v>
      </c>
      <c r="B11" s="6">
        <v>62.84</v>
      </c>
      <c r="C11" s="6">
        <v>67.52</v>
      </c>
      <c r="D11" s="6">
        <v>68.67</v>
      </c>
      <c r="E11" s="6">
        <v>470.3</v>
      </c>
      <c r="F11" s="6">
        <v>68.69</v>
      </c>
      <c r="G11" s="6">
        <v>68.69</v>
      </c>
      <c r="H11" s="6">
        <v>70.875</v>
      </c>
      <c r="I11" s="6">
        <v>65.635</v>
      </c>
      <c r="J11" s="6">
        <v>72.88</v>
      </c>
      <c r="K11" s="6">
        <v>68.73</v>
      </c>
      <c r="L11" s="6">
        <v>63.98</v>
      </c>
      <c r="M11" s="6">
        <v>66.48</v>
      </c>
      <c r="N11" s="6">
        <v>69.55</v>
      </c>
      <c r="O11" s="6">
        <v>69.85</v>
      </c>
      <c r="P11" s="6">
        <v>68.13</v>
      </c>
      <c r="Q11" s="6">
        <v>55.25</v>
      </c>
    </row>
    <row r="12" spans="1:17">
      <c r="A12" s="5">
        <v>20260213</v>
      </c>
      <c r="B12" s="6">
        <v>62.89</v>
      </c>
      <c r="C12" s="6">
        <v>67.75</v>
      </c>
      <c r="D12" s="6">
        <v>66.82</v>
      </c>
      <c r="E12" s="6">
        <v>460.8</v>
      </c>
      <c r="F12" s="6">
        <v>66.87</v>
      </c>
      <c r="G12" s="6">
        <v>66.87</v>
      </c>
      <c r="H12" s="6">
        <v>70.33</v>
      </c>
      <c r="I12" s="6">
        <v>63.56</v>
      </c>
      <c r="J12" s="6">
        <v>70.57</v>
      </c>
      <c r="K12" s="6">
        <v>66.62</v>
      </c>
      <c r="L12" s="6">
        <v>61.85</v>
      </c>
      <c r="M12" s="6">
        <v>66.15</v>
      </c>
      <c r="N12" s="6">
        <v>67.44</v>
      </c>
      <c r="O12" s="6">
        <v>67.74</v>
      </c>
      <c r="P12" s="6">
        <v>66.02</v>
      </c>
      <c r="Q12" s="6">
        <v>52.84</v>
      </c>
    </row>
    <row r="13" spans="1:17">
      <c r="A13" s="5">
        <v>20260216</v>
      </c>
      <c r="B13" s="6"/>
      <c r="C13" s="6">
        <v>68.65</v>
      </c>
      <c r="D13" s="6">
        <v>66.66</v>
      </c>
      <c r="E13" s="6"/>
      <c r="F13" s="6">
        <v>67.05</v>
      </c>
      <c r="G13" s="6">
        <v>67.05</v>
      </c>
      <c r="H13" s="6">
        <v>71.235</v>
      </c>
      <c r="I13" s="6">
        <v>63.955</v>
      </c>
      <c r="J13" s="6">
        <v>70.5</v>
      </c>
      <c r="K13" s="6">
        <v>66.95</v>
      </c>
      <c r="L13" s="6">
        <v>62.38</v>
      </c>
      <c r="M13" s="6">
        <v>66.88</v>
      </c>
      <c r="N13" s="6">
        <v>67.42</v>
      </c>
      <c r="O13" s="6">
        <v>67.72</v>
      </c>
      <c r="P13" s="6">
        <v>66.25</v>
      </c>
      <c r="Q13" s="6">
        <v>52.87</v>
      </c>
    </row>
    <row r="14" spans="1:17">
      <c r="A14" s="5">
        <v>20260217</v>
      </c>
      <c r="B14" s="6">
        <v>62.33</v>
      </c>
      <c r="C14" s="6">
        <v>67.42</v>
      </c>
      <c r="D14" s="6">
        <v>67.03</v>
      </c>
      <c r="E14" s="6"/>
      <c r="F14" s="6"/>
      <c r="G14" s="6"/>
      <c r="H14" s="6">
        <v>69.74</v>
      </c>
      <c r="I14" s="6"/>
      <c r="J14" s="6"/>
      <c r="K14" s="6"/>
      <c r="L14" s="6"/>
      <c r="M14" s="6"/>
      <c r="N14" s="6"/>
      <c r="O14" s="6"/>
      <c r="P14" s="6"/>
      <c r="Q14" s="6"/>
    </row>
    <row r="15" spans="1:17">
      <c r="A15" s="5">
        <v>20260218</v>
      </c>
      <c r="B15" s="6">
        <v>65.19</v>
      </c>
      <c r="C15" s="6">
        <v>70.35</v>
      </c>
      <c r="D15" s="6">
        <v>66.87</v>
      </c>
      <c r="E15" s="6"/>
      <c r="F15" s="6"/>
      <c r="G15" s="6"/>
      <c r="H15" s="6">
        <v>71.465</v>
      </c>
      <c r="I15" s="6"/>
      <c r="J15" s="6"/>
      <c r="K15" s="6"/>
      <c r="L15" s="6"/>
      <c r="M15" s="6"/>
      <c r="N15" s="6"/>
      <c r="O15" s="6"/>
      <c r="P15" s="6"/>
      <c r="Q15" s="6"/>
    </row>
    <row r="16" spans="1:17">
      <c r="A16" s="5">
        <v>20260219</v>
      </c>
      <c r="B16" s="6">
        <v>66.43</v>
      </c>
      <c r="C16" s="6">
        <v>71.66</v>
      </c>
      <c r="D16" s="6">
        <v>70.12</v>
      </c>
      <c r="E16" s="6"/>
      <c r="F16" s="6">
        <v>70.15</v>
      </c>
      <c r="G16" s="6">
        <v>70.15</v>
      </c>
      <c r="H16" s="6">
        <v>72.755</v>
      </c>
      <c r="I16" s="6">
        <v>67.24</v>
      </c>
      <c r="J16" s="6">
        <v>73.79</v>
      </c>
      <c r="K16" s="6">
        <v>70.24</v>
      </c>
      <c r="L16" s="6">
        <v>65.675</v>
      </c>
      <c r="M16" s="6">
        <v>69.92</v>
      </c>
      <c r="N16" s="6">
        <v>70.03</v>
      </c>
      <c r="O16" s="6">
        <v>70.33</v>
      </c>
      <c r="P16" s="6">
        <v>69.24</v>
      </c>
      <c r="Q16" s="6">
        <v>55.98</v>
      </c>
    </row>
    <row r="17" spans="1:17">
      <c r="A17" s="5">
        <v>20260220</v>
      </c>
      <c r="B17" s="6">
        <v>66.39</v>
      </c>
      <c r="C17" s="6">
        <v>71.76</v>
      </c>
      <c r="D17" s="6">
        <v>70.63</v>
      </c>
      <c r="E17" s="6"/>
      <c r="F17" s="6">
        <v>70.7</v>
      </c>
      <c r="G17" s="6">
        <v>70.7</v>
      </c>
      <c r="H17" s="6">
        <v>72.155</v>
      </c>
      <c r="I17" s="6">
        <v>67.66</v>
      </c>
      <c r="J17" s="6">
        <v>74.63</v>
      </c>
      <c r="K17" s="6">
        <v>70.98</v>
      </c>
      <c r="L17" s="6">
        <v>66.05</v>
      </c>
      <c r="M17" s="6">
        <v>69.62</v>
      </c>
      <c r="N17" s="6">
        <v>70.72</v>
      </c>
      <c r="O17" s="6">
        <v>71.02</v>
      </c>
      <c r="P17" s="6">
        <v>69.98</v>
      </c>
      <c r="Q17" s="6">
        <v>56.57</v>
      </c>
    </row>
    <row r="18" spans="1:17">
      <c r="A18" s="5">
        <v>20260223</v>
      </c>
      <c r="B18" s="6">
        <v>66.31</v>
      </c>
      <c r="C18" s="6">
        <v>71.49</v>
      </c>
      <c r="D18" s="6">
        <v>69.96</v>
      </c>
      <c r="E18" s="6"/>
      <c r="F18" s="6">
        <v>70.03</v>
      </c>
      <c r="G18" s="6">
        <v>70.03</v>
      </c>
      <c r="H18" s="6">
        <v>72.77</v>
      </c>
      <c r="I18" s="6">
        <v>67.5</v>
      </c>
      <c r="J18" s="6">
        <v>73.98</v>
      </c>
      <c r="K18" s="6">
        <v>70.38</v>
      </c>
      <c r="L18" s="6">
        <v>66.05</v>
      </c>
      <c r="M18" s="6">
        <v>71.04</v>
      </c>
      <c r="N18" s="6">
        <v>70.13</v>
      </c>
      <c r="O18" s="6">
        <v>70.43</v>
      </c>
      <c r="P18" s="6">
        <v>69.78</v>
      </c>
      <c r="Q18" s="6">
        <v>55.83</v>
      </c>
    </row>
    <row r="19" spans="1:17">
      <c r="A19" s="5">
        <v>20260224</v>
      </c>
      <c r="B19" s="6">
        <v>65.63</v>
      </c>
      <c r="C19" s="6">
        <v>70.77</v>
      </c>
      <c r="D19" s="6">
        <v>70.42</v>
      </c>
      <c r="E19" s="6">
        <v>484.4</v>
      </c>
      <c r="F19" s="6">
        <v>70.48</v>
      </c>
      <c r="G19" s="6">
        <v>70.48</v>
      </c>
      <c r="H19" s="6">
        <v>71.33</v>
      </c>
      <c r="I19" s="6">
        <v>68.015</v>
      </c>
      <c r="J19" s="6">
        <v>74.76</v>
      </c>
      <c r="K19" s="6">
        <v>71.06</v>
      </c>
      <c r="L19" s="6">
        <v>66.585</v>
      </c>
      <c r="M19" s="6">
        <v>70.03</v>
      </c>
      <c r="N19" s="6">
        <v>70.42</v>
      </c>
      <c r="O19" s="6">
        <v>70.72</v>
      </c>
      <c r="P19" s="6">
        <v>70.46</v>
      </c>
      <c r="Q19" s="6">
        <v>56.27</v>
      </c>
    </row>
    <row r="20" spans="1:17">
      <c r="A20" s="5">
        <v>20260225</v>
      </c>
      <c r="B20" s="6">
        <v>65.42</v>
      </c>
      <c r="C20" s="6">
        <v>70.85</v>
      </c>
      <c r="D20" s="6">
        <v>70.06</v>
      </c>
      <c r="E20" s="6">
        <v>492.8</v>
      </c>
      <c r="F20" s="6">
        <v>70.1</v>
      </c>
      <c r="G20" s="6">
        <v>70.1</v>
      </c>
      <c r="H20" s="6">
        <v>70.785</v>
      </c>
      <c r="I20" s="6">
        <v>67.79</v>
      </c>
      <c r="J20" s="6">
        <v>74.32</v>
      </c>
      <c r="K20" s="6">
        <v>70.62</v>
      </c>
      <c r="L20" s="6">
        <v>66.36</v>
      </c>
      <c r="M20" s="6">
        <v>69.78</v>
      </c>
      <c r="N20" s="6">
        <v>70.39</v>
      </c>
      <c r="O20" s="6">
        <v>70.69</v>
      </c>
      <c r="P20" s="6">
        <v>70.07</v>
      </c>
      <c r="Q20" s="6">
        <v>56.09</v>
      </c>
    </row>
    <row r="21" spans="1:17">
      <c r="A21" s="5">
        <v>20260226</v>
      </c>
      <c r="B21" s="6">
        <v>65.21</v>
      </c>
      <c r="C21" s="6">
        <v>70.75</v>
      </c>
      <c r="D21" s="6">
        <v>70.05</v>
      </c>
      <c r="E21" s="6">
        <v>482.4</v>
      </c>
      <c r="F21" s="6">
        <v>70.54</v>
      </c>
      <c r="G21" s="6">
        <v>70.54</v>
      </c>
      <c r="H21" s="6">
        <v>72.04</v>
      </c>
      <c r="I21" s="6">
        <v>67.92</v>
      </c>
      <c r="J21" s="6">
        <v>74.22</v>
      </c>
      <c r="K21" s="6">
        <v>70.62</v>
      </c>
      <c r="L21" s="6">
        <v>66.5</v>
      </c>
      <c r="M21" s="6">
        <v>71.6</v>
      </c>
      <c r="N21" s="6">
        <v>70.59</v>
      </c>
      <c r="O21" s="6">
        <v>70.89</v>
      </c>
      <c r="P21" s="6">
        <v>70.22</v>
      </c>
      <c r="Q21" s="6">
        <v>56.14</v>
      </c>
    </row>
    <row r="22" spans="1:17">
      <c r="A22" s="5">
        <v>20260227</v>
      </c>
      <c r="B22" s="6">
        <v>67.02</v>
      </c>
      <c r="C22" s="6">
        <v>72.48</v>
      </c>
      <c r="D22" s="6">
        <v>70.36</v>
      </c>
      <c r="E22" s="6">
        <v>475</v>
      </c>
      <c r="F22" s="6">
        <v>71.23</v>
      </c>
      <c r="G22" s="6">
        <v>71.23</v>
      </c>
      <c r="H22" s="6">
        <v>70.94</v>
      </c>
      <c r="I22" s="6">
        <v>68.39</v>
      </c>
      <c r="J22" s="6">
        <v>74.95</v>
      </c>
      <c r="K22" s="6">
        <v>71.45</v>
      </c>
      <c r="L22" s="6">
        <v>67.03</v>
      </c>
      <c r="M22" s="6">
        <v>71.65</v>
      </c>
      <c r="N22" s="6">
        <v>71.27</v>
      </c>
      <c r="O22" s="6">
        <v>71.57</v>
      </c>
      <c r="P22" s="6">
        <v>70.95</v>
      </c>
      <c r="Q22" s="6">
        <v>56.92</v>
      </c>
    </row>
    <row r="23" spans="1:17">
      <c r="A23" s="7" t="s">
        <v>17</v>
      </c>
      <c r="B23" s="8">
        <f>AVERAGE(B18:B22)</f>
        <v>65.918</v>
      </c>
      <c r="C23" s="8">
        <f t="shared" ref="C23:Q23" si="0">AVERAGE(C18:C22)</f>
        <v>71.268</v>
      </c>
      <c r="D23" s="8">
        <f t="shared" si="0"/>
        <v>70.17</v>
      </c>
      <c r="E23" s="8">
        <f t="shared" si="0"/>
        <v>483.65</v>
      </c>
      <c r="F23" s="8">
        <f t="shared" si="0"/>
        <v>70.476</v>
      </c>
      <c r="G23" s="8">
        <f t="shared" si="0"/>
        <v>70.476</v>
      </c>
      <c r="H23" s="8">
        <f t="shared" si="0"/>
        <v>71.573</v>
      </c>
      <c r="I23" s="8">
        <f t="shared" si="0"/>
        <v>67.923</v>
      </c>
      <c r="J23" s="8">
        <f t="shared" si="0"/>
        <v>74.446</v>
      </c>
      <c r="K23" s="8">
        <f t="shared" si="0"/>
        <v>70.826</v>
      </c>
      <c r="L23" s="8">
        <f t="shared" si="0"/>
        <v>66.505</v>
      </c>
      <c r="M23" s="8">
        <f t="shared" si="0"/>
        <v>70.82</v>
      </c>
      <c r="N23" s="8">
        <f t="shared" si="0"/>
        <v>70.56</v>
      </c>
      <c r="O23" s="8">
        <f t="shared" si="0"/>
        <v>70.86</v>
      </c>
      <c r="P23" s="8">
        <f t="shared" si="0"/>
        <v>70.296</v>
      </c>
      <c r="Q23" s="8">
        <f t="shared" si="0"/>
        <v>56.25</v>
      </c>
    </row>
    <row r="24" ht="22.5" spans="1:17">
      <c r="A24" s="3" t="s">
        <v>22</v>
      </c>
      <c r="B24" s="9">
        <f>AVERAGE(B3:B22)</f>
        <v>64.5231578947368</v>
      </c>
      <c r="C24" s="9">
        <f t="shared" ref="C24:Q24" si="1">AVERAGE(C3:C22)</f>
        <v>69.369</v>
      </c>
      <c r="D24" s="9">
        <f t="shared" si="1"/>
        <v>68.1495</v>
      </c>
      <c r="E24" s="9">
        <f t="shared" si="1"/>
        <v>469.214285714286</v>
      </c>
      <c r="F24" s="9">
        <f t="shared" si="1"/>
        <v>68.4044444444444</v>
      </c>
      <c r="G24" s="9">
        <f t="shared" si="1"/>
        <v>68.4116666666667</v>
      </c>
      <c r="H24" s="9">
        <f t="shared" si="1"/>
        <v>71.153</v>
      </c>
      <c r="I24" s="9">
        <f t="shared" si="1"/>
        <v>65.5663888888889</v>
      </c>
      <c r="J24" s="9">
        <f t="shared" si="1"/>
        <v>72.4494444444445</v>
      </c>
      <c r="K24" s="9">
        <f t="shared" si="1"/>
        <v>68.4188888888889</v>
      </c>
      <c r="L24" s="9">
        <f t="shared" si="1"/>
        <v>63.9819444444444</v>
      </c>
      <c r="M24" s="9">
        <f t="shared" si="1"/>
        <v>68.3122222222222</v>
      </c>
      <c r="N24" s="9">
        <f t="shared" si="1"/>
        <v>68.97</v>
      </c>
      <c r="O24" s="9">
        <f t="shared" si="1"/>
        <v>69.27</v>
      </c>
      <c r="P24" s="9">
        <f t="shared" si="1"/>
        <v>67.9188888888889</v>
      </c>
      <c r="Q24" s="9">
        <f t="shared" si="1"/>
        <v>54.8533333333333</v>
      </c>
    </row>
    <row r="25" ht="23.25" spans="1:17">
      <c r="A25" s="10" t="s">
        <v>19</v>
      </c>
      <c r="B25" s="23">
        <f t="shared" ref="B25:Q25" si="2">(B24-B2)/B2</f>
        <v>0.0707549497545918</v>
      </c>
      <c r="C25" s="23">
        <f t="shared" si="2"/>
        <v>0.0717299981607503</v>
      </c>
      <c r="D25" s="23">
        <f t="shared" si="2"/>
        <v>0.0962050186129876</v>
      </c>
      <c r="E25" s="23">
        <f t="shared" si="2"/>
        <v>0.0653186793226979</v>
      </c>
      <c r="F25" s="23">
        <f t="shared" si="2"/>
        <v>0.103857049912654</v>
      </c>
      <c r="G25" s="23">
        <f t="shared" si="2"/>
        <v>0.100051302470176</v>
      </c>
      <c r="H25" s="23">
        <f t="shared" si="2"/>
        <v>0.0652216221996471</v>
      </c>
      <c r="I25" s="23">
        <f t="shared" si="2"/>
        <v>0.0845614684583917</v>
      </c>
      <c r="J25" s="23">
        <f t="shared" si="2"/>
        <v>0.0967218353685205</v>
      </c>
      <c r="K25" s="23">
        <f t="shared" si="2"/>
        <v>0.0927207552526975</v>
      </c>
      <c r="L25" s="23">
        <f t="shared" si="2"/>
        <v>0.0829320222719244</v>
      </c>
      <c r="M25" s="23">
        <f t="shared" si="2"/>
        <v>0.0850837449353413</v>
      </c>
      <c r="N25" s="23">
        <f t="shared" si="2"/>
        <v>0.0716362694683877</v>
      </c>
      <c r="O25" s="23">
        <f t="shared" si="2"/>
        <v>0.0705155094381282</v>
      </c>
      <c r="P25" s="23">
        <f t="shared" si="2"/>
        <v>0.092211127107136</v>
      </c>
      <c r="Q25" s="23">
        <f t="shared" si="2"/>
        <v>0.0885654885654885</v>
      </c>
    </row>
    <row r="26" ht="15"/>
  </sheetData>
  <conditionalFormatting sqref="B25:Q25">
    <cfRule type="cellIs" dxfId="3" priority="1" operator="equal">
      <formula>0</formula>
    </cfRule>
    <cfRule type="cellIs" dxfId="4" priority="2" operator="lessThan">
      <formula>0</formula>
    </cfRule>
    <cfRule type="cellIs" dxfId="5" priority="3" operator="greaterThan">
      <formula>0</formula>
    </cfRule>
  </conditionalFormatting>
  <pageMargins left="0.75" right="0.75" top="1" bottom="1" header="0.5" footer="0.5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Q28"/>
  <sheetViews>
    <sheetView workbookViewId="0">
      <selection activeCell="B26" sqref="B26:Q26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ht="22.5" spans="1:17">
      <c r="A2" s="3" t="s">
        <v>24</v>
      </c>
      <c r="B2" s="9">
        <v>57.8663636363636</v>
      </c>
      <c r="C2" s="9">
        <v>61.6286363636364</v>
      </c>
      <c r="D2" s="9">
        <v>62.0859090909091</v>
      </c>
      <c r="E2" s="9">
        <v>439.839130434782</v>
      </c>
      <c r="F2" s="9">
        <v>62.0459090909091</v>
      </c>
      <c r="G2" s="9">
        <v>62.1181818181818</v>
      </c>
      <c r="H2" s="9">
        <v>62.6761904761905</v>
      </c>
      <c r="I2" s="9">
        <v>58.8790909090909</v>
      </c>
      <c r="J2" s="9">
        <v>64.7036363636364</v>
      </c>
      <c r="K2" s="9">
        <v>60.6604545454545</v>
      </c>
      <c r="L2" s="9">
        <v>57.6170454545454</v>
      </c>
      <c r="M2" s="9">
        <v>61.0585714285714</v>
      </c>
      <c r="N2" s="9">
        <v>63.9218181818182</v>
      </c>
      <c r="O2" s="9">
        <v>64.3218181818182</v>
      </c>
      <c r="P2" s="9">
        <v>61.0013636363636</v>
      </c>
      <c r="Q2" s="9">
        <v>49.5468181818182</v>
      </c>
    </row>
    <row r="3" spans="1:17">
      <c r="A3" s="5">
        <v>20260101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>
      <c r="A4" s="5">
        <v>20260102</v>
      </c>
      <c r="B4" s="6">
        <v>57.32</v>
      </c>
      <c r="C4" s="6">
        <v>60.75</v>
      </c>
      <c r="D4" s="6">
        <v>60.62</v>
      </c>
      <c r="E4" s="6"/>
      <c r="F4" s="6">
        <v>60.31</v>
      </c>
      <c r="G4" s="6">
        <v>60.58</v>
      </c>
      <c r="H4" s="6">
        <v>60.975</v>
      </c>
      <c r="I4" s="6">
        <v>56.94</v>
      </c>
      <c r="J4" s="6">
        <v>63.18</v>
      </c>
      <c r="K4" s="6">
        <v>59.93</v>
      </c>
      <c r="L4" s="6">
        <v>55.625</v>
      </c>
      <c r="M4" s="6">
        <v>58.82</v>
      </c>
      <c r="N4" s="6">
        <v>62.56</v>
      </c>
      <c r="O4" s="6">
        <v>62.96</v>
      </c>
      <c r="P4" s="6">
        <v>59.43</v>
      </c>
      <c r="Q4" s="6">
        <v>48.46</v>
      </c>
    </row>
    <row r="5" spans="1:17">
      <c r="A5" s="5">
        <v>20260105</v>
      </c>
      <c r="B5" s="6">
        <v>58.32</v>
      </c>
      <c r="C5" s="6">
        <v>61.76</v>
      </c>
      <c r="D5" s="6">
        <v>58.61</v>
      </c>
      <c r="E5" s="6">
        <v>426.8</v>
      </c>
      <c r="F5" s="6">
        <v>58.25</v>
      </c>
      <c r="G5" s="6">
        <v>58.31</v>
      </c>
      <c r="H5" s="6">
        <v>62.955</v>
      </c>
      <c r="I5" s="6">
        <v>55.885</v>
      </c>
      <c r="J5" s="6">
        <v>62.06</v>
      </c>
      <c r="K5" s="6">
        <v>58.76</v>
      </c>
      <c r="L5" s="6">
        <v>54.68</v>
      </c>
      <c r="M5" s="6">
        <v>60.28</v>
      </c>
      <c r="N5" s="6">
        <v>60.81</v>
      </c>
      <c r="O5" s="6">
        <v>61.21</v>
      </c>
      <c r="P5" s="6">
        <v>58.21</v>
      </c>
      <c r="Q5" s="6">
        <v>46.61</v>
      </c>
    </row>
    <row r="6" spans="1:17">
      <c r="A6" s="5">
        <v>20260106</v>
      </c>
      <c r="B6" s="6">
        <v>57.13</v>
      </c>
      <c r="C6" s="6">
        <v>60.7</v>
      </c>
      <c r="D6" s="6">
        <v>59.67</v>
      </c>
      <c r="E6" s="6">
        <v>427.3</v>
      </c>
      <c r="F6" s="6">
        <v>59.4</v>
      </c>
      <c r="G6" s="6">
        <v>59.68</v>
      </c>
      <c r="H6" s="6">
        <v>62.915</v>
      </c>
      <c r="I6" s="6">
        <v>57.415</v>
      </c>
      <c r="J6" s="6">
        <v>63.53</v>
      </c>
      <c r="K6" s="6">
        <v>60.23</v>
      </c>
      <c r="L6" s="6">
        <v>56.105</v>
      </c>
      <c r="M6" s="6">
        <v>60.25</v>
      </c>
      <c r="N6" s="6">
        <v>62.23</v>
      </c>
      <c r="O6" s="6">
        <v>62.63</v>
      </c>
      <c r="P6" s="6">
        <v>59.58</v>
      </c>
      <c r="Q6" s="6">
        <v>48.03</v>
      </c>
    </row>
    <row r="7" spans="1:17">
      <c r="A7" s="5">
        <v>20260107</v>
      </c>
      <c r="B7" s="6">
        <v>55.99</v>
      </c>
      <c r="C7" s="6">
        <v>59.96</v>
      </c>
      <c r="D7" s="6">
        <v>58.6</v>
      </c>
      <c r="E7" s="6">
        <v>424.8</v>
      </c>
      <c r="F7" s="6">
        <v>58.3</v>
      </c>
      <c r="G7" s="6">
        <v>58.61</v>
      </c>
      <c r="H7" s="6">
        <v>61.89</v>
      </c>
      <c r="I7" s="6">
        <v>56.65</v>
      </c>
      <c r="J7" s="6">
        <v>62.48</v>
      </c>
      <c r="K7" s="6">
        <v>59.23</v>
      </c>
      <c r="L7" s="6">
        <v>55.455</v>
      </c>
      <c r="M7" s="6">
        <v>59.08</v>
      </c>
      <c r="N7" s="6">
        <v>61.1</v>
      </c>
      <c r="O7" s="6">
        <v>61.5</v>
      </c>
      <c r="P7" s="6">
        <v>58.58</v>
      </c>
      <c r="Q7" s="6">
        <v>47.15</v>
      </c>
    </row>
    <row r="8" spans="1:17">
      <c r="A8" s="5">
        <v>20260108</v>
      </c>
      <c r="B8" s="6">
        <v>57.76</v>
      </c>
      <c r="C8" s="6">
        <v>61.99</v>
      </c>
      <c r="D8" s="6">
        <v>58.56</v>
      </c>
      <c r="E8" s="6">
        <v>418</v>
      </c>
      <c r="F8" s="6">
        <v>58.32</v>
      </c>
      <c r="G8" s="6">
        <v>58.57</v>
      </c>
      <c r="H8" s="6">
        <v>62.93</v>
      </c>
      <c r="I8" s="6">
        <v>56.62</v>
      </c>
      <c r="J8" s="6">
        <v>62.22</v>
      </c>
      <c r="K8" s="6">
        <v>58.87</v>
      </c>
      <c r="L8" s="6">
        <v>55.48</v>
      </c>
      <c r="M8" s="6">
        <v>59.78</v>
      </c>
      <c r="N8" s="6">
        <v>61.07</v>
      </c>
      <c r="O8" s="6">
        <v>61.47</v>
      </c>
      <c r="P8" s="6">
        <v>58.17</v>
      </c>
      <c r="Q8" s="6">
        <v>47.27</v>
      </c>
    </row>
    <row r="9" spans="1:17">
      <c r="A9" s="5">
        <v>20260109</v>
      </c>
      <c r="B9" s="6">
        <v>59.12</v>
      </c>
      <c r="C9" s="6">
        <v>63.34</v>
      </c>
      <c r="D9" s="6">
        <v>61.09</v>
      </c>
      <c r="E9" s="6">
        <v>425.8</v>
      </c>
      <c r="F9" s="6">
        <v>60.8</v>
      </c>
      <c r="G9" s="6">
        <v>61.05</v>
      </c>
      <c r="H9" s="6">
        <v>65.475</v>
      </c>
      <c r="I9" s="6">
        <v>59.47</v>
      </c>
      <c r="J9" s="6">
        <v>64.48</v>
      </c>
      <c r="K9" s="6">
        <v>60.93</v>
      </c>
      <c r="L9" s="6">
        <v>58.305</v>
      </c>
      <c r="M9" s="6">
        <v>61.49</v>
      </c>
      <c r="N9" s="6">
        <v>63.43</v>
      </c>
      <c r="O9" s="6">
        <v>63.83</v>
      </c>
      <c r="P9" s="6">
        <v>60.28</v>
      </c>
      <c r="Q9" s="6">
        <v>49.58</v>
      </c>
    </row>
    <row r="10" spans="1:17">
      <c r="A10" s="5">
        <v>20260112</v>
      </c>
      <c r="B10" s="6">
        <v>59.5</v>
      </c>
      <c r="C10" s="6">
        <v>63.87</v>
      </c>
      <c r="D10" s="6">
        <v>61.74</v>
      </c>
      <c r="E10" s="6">
        <v>435.7</v>
      </c>
      <c r="F10" s="6">
        <v>61.405</v>
      </c>
      <c r="G10" s="6">
        <v>61.66</v>
      </c>
      <c r="H10" s="6">
        <v>65.42</v>
      </c>
      <c r="I10" s="6">
        <v>60.415</v>
      </c>
      <c r="J10" s="6">
        <v>65.2</v>
      </c>
      <c r="K10" s="6">
        <v>61.7</v>
      </c>
      <c r="L10" s="6">
        <v>59.25</v>
      </c>
      <c r="M10" s="6">
        <v>61.4</v>
      </c>
      <c r="N10" s="6">
        <v>63.93</v>
      </c>
      <c r="O10" s="6">
        <v>64.33</v>
      </c>
      <c r="P10" s="6">
        <v>61.2</v>
      </c>
      <c r="Q10" s="6">
        <v>50.18</v>
      </c>
    </row>
    <row r="11" spans="1:17">
      <c r="A11" s="5">
        <v>20260113</v>
      </c>
      <c r="B11" s="6">
        <v>61.15</v>
      </c>
      <c r="C11" s="6">
        <v>65.47</v>
      </c>
      <c r="D11" s="6">
        <v>62.21</v>
      </c>
      <c r="E11" s="6">
        <v>437.7</v>
      </c>
      <c r="F11" s="6">
        <v>61.76</v>
      </c>
      <c r="G11" s="6">
        <v>62.17</v>
      </c>
      <c r="H11" s="6">
        <v>68.565</v>
      </c>
      <c r="I11" s="6">
        <v>61.38</v>
      </c>
      <c r="J11" s="6">
        <v>66.17</v>
      </c>
      <c r="K11" s="6">
        <v>62.62</v>
      </c>
      <c r="L11" s="6">
        <v>60.205</v>
      </c>
      <c r="M11" s="6">
        <v>63.56</v>
      </c>
      <c r="N11" s="6">
        <v>64.49</v>
      </c>
      <c r="O11" s="6">
        <v>64.89</v>
      </c>
      <c r="P11" s="6">
        <v>62.07</v>
      </c>
      <c r="Q11" s="6">
        <v>50.44</v>
      </c>
    </row>
    <row r="12" spans="1:17">
      <c r="A12" s="5">
        <v>20260114</v>
      </c>
      <c r="B12" s="6">
        <v>62.02</v>
      </c>
      <c r="C12" s="6">
        <v>66.52</v>
      </c>
      <c r="D12" s="6">
        <v>62.79</v>
      </c>
      <c r="E12" s="6">
        <v>448.9</v>
      </c>
      <c r="F12" s="6">
        <v>62.41</v>
      </c>
      <c r="G12" s="6">
        <v>62.8</v>
      </c>
      <c r="H12" s="6">
        <v>68.79</v>
      </c>
      <c r="I12" s="6">
        <v>62.04</v>
      </c>
      <c r="J12" s="6">
        <v>66.89</v>
      </c>
      <c r="K12" s="6">
        <v>63.49</v>
      </c>
      <c r="L12" s="6">
        <v>60.82</v>
      </c>
      <c r="M12" s="6">
        <v>63.72</v>
      </c>
      <c r="N12" s="6">
        <v>65.11</v>
      </c>
      <c r="O12" s="6">
        <v>65.51</v>
      </c>
      <c r="P12" s="6">
        <v>62.79</v>
      </c>
      <c r="Q12" s="6">
        <v>50.96</v>
      </c>
    </row>
    <row r="13" spans="1:17">
      <c r="A13" s="5">
        <v>20260115</v>
      </c>
      <c r="B13" s="6">
        <v>59.19</v>
      </c>
      <c r="C13" s="6">
        <v>63.76</v>
      </c>
      <c r="D13" s="6">
        <v>62.85</v>
      </c>
      <c r="E13" s="6">
        <v>451.4</v>
      </c>
      <c r="F13" s="6">
        <v>62.55</v>
      </c>
      <c r="G13" s="6">
        <v>62.96</v>
      </c>
      <c r="H13" s="6">
        <v>66.31</v>
      </c>
      <c r="I13" s="6">
        <v>61.42</v>
      </c>
      <c r="J13" s="6">
        <v>66.33</v>
      </c>
      <c r="K13" s="6">
        <v>63.03</v>
      </c>
      <c r="L13" s="6">
        <v>60.23</v>
      </c>
      <c r="M13" s="6">
        <v>61.3</v>
      </c>
      <c r="N13" s="6">
        <v>64.84</v>
      </c>
      <c r="O13" s="6">
        <v>65.24</v>
      </c>
      <c r="P13" s="6">
        <v>62.18</v>
      </c>
      <c r="Q13" s="6">
        <v>50.69</v>
      </c>
    </row>
    <row r="14" spans="1:17">
      <c r="A14" s="5">
        <v>20260116</v>
      </c>
      <c r="B14" s="6">
        <v>59.44</v>
      </c>
      <c r="C14" s="6">
        <v>64.13</v>
      </c>
      <c r="D14" s="6">
        <v>62.7</v>
      </c>
      <c r="E14" s="6">
        <v>437.1</v>
      </c>
      <c r="F14" s="6">
        <v>62.28</v>
      </c>
      <c r="G14" s="6">
        <v>62.67</v>
      </c>
      <c r="H14" s="6">
        <v>67.76</v>
      </c>
      <c r="I14" s="6">
        <v>61.53</v>
      </c>
      <c r="J14" s="6">
        <v>65.41</v>
      </c>
      <c r="K14" s="6">
        <v>62.21</v>
      </c>
      <c r="L14" s="6">
        <v>60.305</v>
      </c>
      <c r="M14" s="6">
        <v>62.14</v>
      </c>
      <c r="N14" s="6">
        <v>64.12</v>
      </c>
      <c r="O14" s="6">
        <v>64.42</v>
      </c>
      <c r="P14" s="6">
        <v>61.26</v>
      </c>
      <c r="Q14" s="6">
        <v>50.02</v>
      </c>
    </row>
    <row r="15" spans="1:17">
      <c r="A15" s="5">
        <v>20260119</v>
      </c>
      <c r="B15" s="6"/>
      <c r="C15" s="6">
        <v>63.94</v>
      </c>
      <c r="D15" s="6">
        <v>62.3</v>
      </c>
      <c r="E15" s="6">
        <v>440</v>
      </c>
      <c r="F15" s="6">
        <v>61.95</v>
      </c>
      <c r="G15" s="6">
        <v>62.3</v>
      </c>
      <c r="H15" s="6">
        <v>67.305</v>
      </c>
      <c r="I15" s="6">
        <v>61.74</v>
      </c>
      <c r="J15" s="6">
        <v>65.47</v>
      </c>
      <c r="K15" s="6">
        <v>62.27</v>
      </c>
      <c r="L15" s="6">
        <v>60.49</v>
      </c>
      <c r="M15" s="6">
        <v>62.07</v>
      </c>
      <c r="N15" s="6">
        <v>63.95</v>
      </c>
      <c r="O15" s="6">
        <v>64.25</v>
      </c>
      <c r="P15" s="6">
        <v>61.47</v>
      </c>
      <c r="Q15" s="6">
        <v>49.65</v>
      </c>
    </row>
    <row r="16" spans="1:17">
      <c r="A16" s="5">
        <v>20260120</v>
      </c>
      <c r="B16" s="6">
        <v>60.34</v>
      </c>
      <c r="C16" s="6">
        <v>64.92</v>
      </c>
      <c r="D16" s="6">
        <v>62.22</v>
      </c>
      <c r="E16" s="6">
        <v>436.8</v>
      </c>
      <c r="F16" s="6">
        <v>61.8</v>
      </c>
      <c r="G16" s="6">
        <v>62.25</v>
      </c>
      <c r="H16" s="6">
        <v>68</v>
      </c>
      <c r="I16" s="6">
        <v>61.095</v>
      </c>
      <c r="J16" s="6">
        <v>65.42</v>
      </c>
      <c r="K16" s="6">
        <v>62.02</v>
      </c>
      <c r="L16" s="6">
        <v>59.705</v>
      </c>
      <c r="M16" s="6">
        <v>63.16</v>
      </c>
      <c r="N16" s="6">
        <v>63.89</v>
      </c>
      <c r="O16" s="6">
        <v>64.19</v>
      </c>
      <c r="P16" s="6">
        <v>61.82</v>
      </c>
      <c r="Q16" s="6">
        <v>49.49</v>
      </c>
    </row>
    <row r="17" spans="1:17">
      <c r="A17" s="5">
        <v>20260121</v>
      </c>
      <c r="B17" s="6">
        <v>60.62</v>
      </c>
      <c r="C17" s="6">
        <v>65.24</v>
      </c>
      <c r="D17" s="6">
        <v>62.49</v>
      </c>
      <c r="E17" s="6">
        <v>439.7</v>
      </c>
      <c r="F17" s="6">
        <v>62.34</v>
      </c>
      <c r="G17" s="6">
        <v>62.54</v>
      </c>
      <c r="H17" s="6">
        <v>67.43</v>
      </c>
      <c r="I17" s="6">
        <v>61.275</v>
      </c>
      <c r="J17" s="6">
        <v>66.36</v>
      </c>
      <c r="K17" s="6">
        <v>62.68</v>
      </c>
      <c r="L17" s="6">
        <v>59.74</v>
      </c>
      <c r="M17" s="6">
        <v>63.44</v>
      </c>
      <c r="N17" s="6">
        <v>64.73</v>
      </c>
      <c r="O17" s="6">
        <v>65.03</v>
      </c>
      <c r="P17" s="6">
        <v>62.68</v>
      </c>
      <c r="Q17" s="6">
        <v>50.63</v>
      </c>
    </row>
    <row r="18" spans="1:17">
      <c r="A18" s="5">
        <v>20260122</v>
      </c>
      <c r="B18" s="6">
        <v>59.36</v>
      </c>
      <c r="C18" s="6">
        <v>64.06</v>
      </c>
      <c r="D18" s="6">
        <v>63.34</v>
      </c>
      <c r="E18" s="6">
        <v>444.3</v>
      </c>
      <c r="F18" s="6">
        <v>63.21</v>
      </c>
      <c r="G18" s="6">
        <v>63.36</v>
      </c>
      <c r="H18" s="6">
        <v>65.78</v>
      </c>
      <c r="I18" s="6">
        <v>61.81</v>
      </c>
      <c r="J18" s="6">
        <v>67.12</v>
      </c>
      <c r="K18" s="6">
        <v>63.47</v>
      </c>
      <c r="L18" s="6">
        <v>60.22</v>
      </c>
      <c r="M18" s="6">
        <v>62.88</v>
      </c>
      <c r="N18" s="6">
        <v>65.66</v>
      </c>
      <c r="O18" s="6">
        <v>65.96</v>
      </c>
      <c r="P18" s="6">
        <v>63.57</v>
      </c>
      <c r="Q18" s="6">
        <v>51.61</v>
      </c>
    </row>
    <row r="19" spans="1:17">
      <c r="A19" s="5">
        <v>20260123</v>
      </c>
      <c r="B19" s="6">
        <v>61.07</v>
      </c>
      <c r="C19" s="6">
        <v>65.88</v>
      </c>
      <c r="D19" s="6">
        <v>62.44</v>
      </c>
      <c r="E19" s="6">
        <v>440.2</v>
      </c>
      <c r="F19" s="6">
        <v>62.27</v>
      </c>
      <c r="G19" s="6">
        <v>62.48</v>
      </c>
      <c r="H19" s="6">
        <v>68.265</v>
      </c>
      <c r="I19" s="6">
        <v>61.025</v>
      </c>
      <c r="J19" s="6">
        <v>66.66</v>
      </c>
      <c r="K19" s="6">
        <v>63.01</v>
      </c>
      <c r="L19" s="6">
        <v>59.46</v>
      </c>
      <c r="M19" s="6">
        <v>64.44</v>
      </c>
      <c r="N19" s="6">
        <v>64.76</v>
      </c>
      <c r="O19" s="6">
        <v>65.06</v>
      </c>
      <c r="P19" s="6">
        <v>63.16</v>
      </c>
      <c r="Q19" s="6">
        <v>50.76</v>
      </c>
    </row>
    <row r="20" spans="1:17">
      <c r="A20" s="5">
        <v>20260126</v>
      </c>
      <c r="B20" s="6">
        <v>60.63</v>
      </c>
      <c r="C20" s="6">
        <v>65.59</v>
      </c>
      <c r="D20" s="6">
        <v>63.55</v>
      </c>
      <c r="E20" s="6">
        <v>443.1</v>
      </c>
      <c r="F20" s="6">
        <v>63.555</v>
      </c>
      <c r="G20" s="6">
        <v>63.56</v>
      </c>
      <c r="H20" s="6">
        <v>67.815</v>
      </c>
      <c r="I20" s="6">
        <v>61.835</v>
      </c>
      <c r="J20" s="6">
        <v>67.87</v>
      </c>
      <c r="K20" s="6">
        <v>64.52</v>
      </c>
      <c r="L20" s="6">
        <v>60.225</v>
      </c>
      <c r="M20" s="6">
        <v>64.01</v>
      </c>
      <c r="N20" s="6">
        <v>65.74</v>
      </c>
      <c r="O20" s="6">
        <v>66.04</v>
      </c>
      <c r="P20" s="6">
        <v>64.37</v>
      </c>
      <c r="Q20" s="6">
        <v>51.94</v>
      </c>
    </row>
    <row r="21" spans="1:17">
      <c r="A21" s="5">
        <v>20260127</v>
      </c>
      <c r="B21" s="6">
        <v>62.39</v>
      </c>
      <c r="C21" s="6">
        <v>67.57</v>
      </c>
      <c r="D21" s="6">
        <v>62.85</v>
      </c>
      <c r="E21" s="6">
        <v>448.3</v>
      </c>
      <c r="F21" s="6">
        <v>62.88</v>
      </c>
      <c r="G21" s="6">
        <v>62.88</v>
      </c>
      <c r="H21" s="6">
        <v>69.085</v>
      </c>
      <c r="I21" s="6">
        <v>60.58</v>
      </c>
      <c r="J21" s="6">
        <v>67.06</v>
      </c>
      <c r="K21" s="6">
        <v>64.01</v>
      </c>
      <c r="L21" s="6">
        <v>59.07</v>
      </c>
      <c r="M21" s="6">
        <v>65.36</v>
      </c>
      <c r="N21" s="6">
        <v>64.97</v>
      </c>
      <c r="O21" s="6">
        <v>65.27</v>
      </c>
      <c r="P21" s="6">
        <v>63.66</v>
      </c>
      <c r="Q21" s="6">
        <v>51.27</v>
      </c>
    </row>
    <row r="22" spans="1:17">
      <c r="A22" s="5">
        <v>20260128</v>
      </c>
      <c r="B22" s="6">
        <v>63.21</v>
      </c>
      <c r="C22" s="6">
        <v>68.4</v>
      </c>
      <c r="D22" s="6">
        <v>64.61</v>
      </c>
      <c r="E22" s="6">
        <v>451.8</v>
      </c>
      <c r="F22" s="6">
        <v>64.66</v>
      </c>
      <c r="G22" s="6">
        <v>64.66</v>
      </c>
      <c r="H22" s="6">
        <v>70</v>
      </c>
      <c r="I22" s="6">
        <v>62.48</v>
      </c>
      <c r="J22" s="6">
        <v>69.35</v>
      </c>
      <c r="K22" s="6">
        <v>66.15</v>
      </c>
      <c r="L22" s="6">
        <v>60.87</v>
      </c>
      <c r="M22" s="6">
        <v>66.47</v>
      </c>
      <c r="N22" s="6">
        <v>66.89</v>
      </c>
      <c r="O22" s="6">
        <v>67.19</v>
      </c>
      <c r="P22" s="6">
        <v>65.9</v>
      </c>
      <c r="Q22" s="6">
        <v>53.19</v>
      </c>
    </row>
    <row r="23" spans="1:17">
      <c r="A23" s="5">
        <v>20260129</v>
      </c>
      <c r="B23" s="6">
        <v>65.42</v>
      </c>
      <c r="C23" s="6">
        <v>70.71</v>
      </c>
      <c r="D23" s="6">
        <v>66.16</v>
      </c>
      <c r="E23" s="6">
        <v>465.6</v>
      </c>
      <c r="F23" s="6">
        <v>66.35</v>
      </c>
      <c r="G23" s="6">
        <v>66.35</v>
      </c>
      <c r="H23" s="6">
        <v>72.355</v>
      </c>
      <c r="I23" s="6">
        <v>63.91</v>
      </c>
      <c r="J23" s="6">
        <v>71.64</v>
      </c>
      <c r="K23" s="6">
        <v>67.84</v>
      </c>
      <c r="L23" s="6">
        <v>62.205</v>
      </c>
      <c r="M23" s="6">
        <v>68.98</v>
      </c>
      <c r="N23" s="6">
        <v>68.52</v>
      </c>
      <c r="O23" s="6">
        <v>68.82</v>
      </c>
      <c r="P23" s="6">
        <v>67.64</v>
      </c>
      <c r="Q23" s="6">
        <v>54.97</v>
      </c>
    </row>
    <row r="24" spans="1:17">
      <c r="A24" s="5">
        <v>20260130</v>
      </c>
      <c r="B24" s="6">
        <v>65.21</v>
      </c>
      <c r="C24" s="6">
        <v>70.69</v>
      </c>
      <c r="D24" s="6">
        <v>66.14</v>
      </c>
      <c r="E24" s="6">
        <v>465.6</v>
      </c>
      <c r="F24" s="6">
        <v>66.54</v>
      </c>
      <c r="G24" s="6">
        <v>66.54</v>
      </c>
      <c r="H24" s="6">
        <v>72.705</v>
      </c>
      <c r="I24" s="6">
        <v>64.025</v>
      </c>
      <c r="J24" s="6">
        <v>72.36</v>
      </c>
      <c r="K24" s="6">
        <v>67.91</v>
      </c>
      <c r="L24" s="6">
        <v>62.28</v>
      </c>
      <c r="M24" s="6">
        <v>69.44</v>
      </c>
      <c r="N24" s="6">
        <v>68.75</v>
      </c>
      <c r="O24" s="6">
        <v>69.05</v>
      </c>
      <c r="P24" s="6">
        <v>67.86</v>
      </c>
      <c r="Q24" s="6">
        <v>55.3</v>
      </c>
    </row>
    <row r="25" spans="1:17">
      <c r="A25" s="7" t="s">
        <v>17</v>
      </c>
      <c r="B25" s="8">
        <f>AVERAGE(B20:B24)</f>
        <v>63.372</v>
      </c>
      <c r="C25" s="8">
        <f t="shared" ref="C25:Q25" si="0">AVERAGE(C20:C24)</f>
        <v>68.592</v>
      </c>
      <c r="D25" s="8">
        <f t="shared" si="0"/>
        <v>64.662</v>
      </c>
      <c r="E25" s="8">
        <f t="shared" si="0"/>
        <v>454.88</v>
      </c>
      <c r="F25" s="8">
        <f t="shared" si="0"/>
        <v>64.797</v>
      </c>
      <c r="G25" s="8">
        <f t="shared" si="0"/>
        <v>64.798</v>
      </c>
      <c r="H25" s="8">
        <f t="shared" si="0"/>
        <v>70.392</v>
      </c>
      <c r="I25" s="8">
        <f t="shared" si="0"/>
        <v>62.566</v>
      </c>
      <c r="J25" s="8">
        <f t="shared" si="0"/>
        <v>69.656</v>
      </c>
      <c r="K25" s="8">
        <f t="shared" si="0"/>
        <v>66.086</v>
      </c>
      <c r="L25" s="8">
        <f t="shared" si="0"/>
        <v>60.93</v>
      </c>
      <c r="M25" s="8">
        <f t="shared" si="0"/>
        <v>66.852</v>
      </c>
      <c r="N25" s="8">
        <f t="shared" si="0"/>
        <v>66.974</v>
      </c>
      <c r="O25" s="8">
        <f t="shared" si="0"/>
        <v>67.274</v>
      </c>
      <c r="P25" s="8">
        <f t="shared" si="0"/>
        <v>65.886</v>
      </c>
      <c r="Q25" s="8">
        <f t="shared" si="0"/>
        <v>53.334</v>
      </c>
    </row>
    <row r="26" ht="22.5" spans="1:17">
      <c r="A26" s="3" t="s">
        <v>23</v>
      </c>
      <c r="B26" s="9">
        <f>AVERAGE(B3:B24)</f>
        <v>60.2595</v>
      </c>
      <c r="C26" s="9">
        <f t="shared" ref="C26:Q26" si="1">AVERAGE(C3:C24)</f>
        <v>64.7261904761905</v>
      </c>
      <c r="D26" s="9">
        <f t="shared" si="1"/>
        <v>62.1685714285714</v>
      </c>
      <c r="E26" s="9">
        <f t="shared" si="1"/>
        <v>440.445</v>
      </c>
      <c r="F26" s="9">
        <f t="shared" si="1"/>
        <v>61.9685714285714</v>
      </c>
      <c r="G26" s="9">
        <f t="shared" si="1"/>
        <v>62.1895238095238</v>
      </c>
      <c r="H26" s="9">
        <f t="shared" si="1"/>
        <v>66.7964285714286</v>
      </c>
      <c r="I26" s="9">
        <f t="shared" si="1"/>
        <v>60.4542857142857</v>
      </c>
      <c r="J26" s="9">
        <f t="shared" si="1"/>
        <v>66.06</v>
      </c>
      <c r="K26" s="9">
        <f t="shared" si="1"/>
        <v>62.6133333333333</v>
      </c>
      <c r="L26" s="9">
        <f t="shared" si="1"/>
        <v>59.0821428571429</v>
      </c>
      <c r="M26" s="9">
        <f t="shared" si="1"/>
        <v>62.9557142857143</v>
      </c>
      <c r="N26" s="9">
        <f t="shared" si="1"/>
        <v>64.3595238095238</v>
      </c>
      <c r="O26" s="9">
        <f t="shared" si="1"/>
        <v>64.7071428571428</v>
      </c>
      <c r="P26" s="9">
        <f t="shared" si="1"/>
        <v>62.1847619047619</v>
      </c>
      <c r="Q26" s="9">
        <f t="shared" si="1"/>
        <v>50.3904761904762</v>
      </c>
    </row>
    <row r="27" ht="23.25" spans="1:17">
      <c r="A27" s="10" t="s">
        <v>19</v>
      </c>
      <c r="B27" s="23">
        <f>(B26-B2)/B2</f>
        <v>0.0413562597206733</v>
      </c>
      <c r="C27" s="23">
        <f t="shared" ref="C27:Q27" si="2">(C26-C2)/C2</f>
        <v>0.0502616039445876</v>
      </c>
      <c r="D27" s="23">
        <f t="shared" si="2"/>
        <v>0.0013314186563861</v>
      </c>
      <c r="E27" s="23">
        <f t="shared" si="2"/>
        <v>0.00137747990866267</v>
      </c>
      <c r="F27" s="23">
        <f t="shared" si="2"/>
        <v>-0.00124645868633103</v>
      </c>
      <c r="G27" s="23">
        <f t="shared" si="2"/>
        <v>0.00114848807955795</v>
      </c>
      <c r="H27" s="23">
        <f t="shared" si="2"/>
        <v>0.0657384895912474</v>
      </c>
      <c r="I27" s="23">
        <f t="shared" si="2"/>
        <v>0.0267530422238841</v>
      </c>
      <c r="J27" s="23">
        <f t="shared" si="2"/>
        <v>0.0209627111023687</v>
      </c>
      <c r="K27" s="23">
        <f t="shared" si="2"/>
        <v>0.0321936062384012</v>
      </c>
      <c r="L27" s="23">
        <f t="shared" si="2"/>
        <v>0.0254281938797649</v>
      </c>
      <c r="M27" s="23">
        <f t="shared" si="2"/>
        <v>0.0310708687209002</v>
      </c>
      <c r="N27" s="23">
        <f t="shared" si="2"/>
        <v>0.00684751529533526</v>
      </c>
      <c r="O27" s="23">
        <f t="shared" si="2"/>
        <v>0.00599057499020741</v>
      </c>
      <c r="P27" s="23">
        <f t="shared" si="2"/>
        <v>0.0193995379423427</v>
      </c>
      <c r="Q27" s="23">
        <f t="shared" si="2"/>
        <v>0.0170274911612306</v>
      </c>
    </row>
    <row r="28" ht="15"/>
  </sheetData>
  <conditionalFormatting sqref="B27:Q27">
    <cfRule type="cellIs" dxfId="3" priority="1" operator="equal">
      <formula>0</formula>
    </cfRule>
    <cfRule type="cellIs" dxfId="4" priority="2" operator="lessThan">
      <formula>0</formula>
    </cfRule>
    <cfRule type="cellIs" dxfId="5" priority="3" operator="greaterThan">
      <formula>0</formula>
    </cfRule>
  </conditionalFormatting>
  <pageMargins left="0.75" right="0.75" top="1" bottom="1" header="0.5" footer="0.5"/>
  <pageSetup paperSize="9" orientation="portrait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S29"/>
  <sheetViews>
    <sheetView workbookViewId="0">
      <selection activeCell="H25" sqref="C3:H25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ht="22.5" spans="1:17">
      <c r="A2" s="3" t="s">
        <v>25</v>
      </c>
      <c r="B2" s="9">
        <v>59.4794736842105</v>
      </c>
      <c r="C2" s="9">
        <v>63.6625</v>
      </c>
      <c r="D2" s="9">
        <v>64.4405</v>
      </c>
      <c r="E2" s="9">
        <v>456.665</v>
      </c>
      <c r="F2" s="9">
        <v>64.47275</v>
      </c>
      <c r="G2" s="9">
        <v>64.49275</v>
      </c>
      <c r="H2" s="9">
        <v>63.65175</v>
      </c>
      <c r="I2" s="9">
        <v>60.66325</v>
      </c>
      <c r="J2" s="9">
        <v>67.101</v>
      </c>
      <c r="K2" s="9">
        <v>63.1085</v>
      </c>
      <c r="L2" s="9">
        <v>58.88575</v>
      </c>
      <c r="M2" s="9">
        <v>63.0965</v>
      </c>
      <c r="N2" s="9">
        <v>66.0975</v>
      </c>
      <c r="O2" s="9">
        <v>66.4975</v>
      </c>
      <c r="P2" s="9">
        <v>63.0785</v>
      </c>
      <c r="Q2" s="9">
        <v>55.165</v>
      </c>
    </row>
    <row r="3" spans="1:17">
      <c r="A3" s="5">
        <v>20251201</v>
      </c>
      <c r="B3" s="6">
        <v>59.32</v>
      </c>
      <c r="C3" s="6">
        <v>63.17</v>
      </c>
      <c r="D3" s="6">
        <v>64.26</v>
      </c>
      <c r="E3" s="6">
        <v>453.4</v>
      </c>
      <c r="F3" s="6">
        <v>64.24</v>
      </c>
      <c r="G3" s="6">
        <v>64.26</v>
      </c>
      <c r="H3" s="6">
        <v>64.22</v>
      </c>
      <c r="I3" s="6">
        <v>60.72</v>
      </c>
      <c r="J3" s="6">
        <v>66.85</v>
      </c>
      <c r="K3" s="6">
        <v>62.2</v>
      </c>
      <c r="L3" s="6">
        <v>59.315</v>
      </c>
      <c r="M3" s="6">
        <v>62.9</v>
      </c>
      <c r="N3" s="6">
        <v>66.2</v>
      </c>
      <c r="O3" s="6">
        <v>66.6</v>
      </c>
      <c r="P3" s="6">
        <v>62.8</v>
      </c>
      <c r="Q3" s="6">
        <v>52.4</v>
      </c>
    </row>
    <row r="4" spans="1:17">
      <c r="A4" s="5">
        <v>20251202</v>
      </c>
      <c r="B4" s="6">
        <v>58.64</v>
      </c>
      <c r="C4" s="6">
        <v>62.45</v>
      </c>
      <c r="D4" s="6">
        <v>63.87</v>
      </c>
      <c r="E4" s="6">
        <v>453.3</v>
      </c>
      <c r="F4" s="6">
        <v>63.76</v>
      </c>
      <c r="G4" s="6">
        <v>63.78</v>
      </c>
      <c r="H4" s="6">
        <v>64.18</v>
      </c>
      <c r="I4" s="6">
        <v>60.205</v>
      </c>
      <c r="J4" s="6">
        <v>66.67</v>
      </c>
      <c r="K4" s="6">
        <v>61.97</v>
      </c>
      <c r="L4" s="6">
        <v>58.885</v>
      </c>
      <c r="M4" s="6">
        <v>62.66</v>
      </c>
      <c r="N4" s="6">
        <v>65.92</v>
      </c>
      <c r="O4" s="6">
        <v>66.32</v>
      </c>
      <c r="P4" s="6">
        <v>62.57</v>
      </c>
      <c r="Q4" s="6">
        <v>52.12</v>
      </c>
    </row>
    <row r="5" spans="1:17">
      <c r="A5" s="5">
        <v>20251203</v>
      </c>
      <c r="B5" s="6">
        <v>58.95</v>
      </c>
      <c r="C5" s="6">
        <v>62.67</v>
      </c>
      <c r="D5" s="6">
        <v>63.43</v>
      </c>
      <c r="E5" s="6">
        <v>449.3</v>
      </c>
      <c r="F5" s="6">
        <v>63.4</v>
      </c>
      <c r="G5" s="6">
        <v>63.43</v>
      </c>
      <c r="H5" s="6">
        <v>64.41</v>
      </c>
      <c r="I5" s="6">
        <v>59.93</v>
      </c>
      <c r="J5" s="6">
        <v>66.11</v>
      </c>
      <c r="K5" s="6">
        <v>61.51</v>
      </c>
      <c r="L5" s="6">
        <v>58.605</v>
      </c>
      <c r="M5" s="6">
        <v>63.04</v>
      </c>
      <c r="N5" s="6">
        <v>65.42</v>
      </c>
      <c r="O5" s="6">
        <v>65.82</v>
      </c>
      <c r="P5" s="6">
        <v>62.11</v>
      </c>
      <c r="Q5" s="6">
        <v>51.67</v>
      </c>
    </row>
    <row r="6" spans="1:17">
      <c r="A6" s="5">
        <v>20251204</v>
      </c>
      <c r="B6" s="6">
        <v>59.67</v>
      </c>
      <c r="C6" s="6">
        <v>63.26</v>
      </c>
      <c r="D6" s="6">
        <v>63.57</v>
      </c>
      <c r="E6" s="6">
        <v>451.3</v>
      </c>
      <c r="F6" s="6">
        <v>63.5</v>
      </c>
      <c r="G6" s="6">
        <v>63.57</v>
      </c>
      <c r="H6" s="6">
        <v>64.355</v>
      </c>
      <c r="I6" s="6">
        <v>60.185</v>
      </c>
      <c r="J6" s="6">
        <v>66.21</v>
      </c>
      <c r="K6" s="6">
        <v>61.56</v>
      </c>
      <c r="L6" s="6">
        <v>58.805</v>
      </c>
      <c r="M6" s="6">
        <v>63.07</v>
      </c>
      <c r="N6" s="6">
        <v>65.46</v>
      </c>
      <c r="O6" s="6">
        <v>65.86</v>
      </c>
      <c r="P6" s="6">
        <v>62.21</v>
      </c>
      <c r="Q6" s="6">
        <v>51.21</v>
      </c>
    </row>
    <row r="7" spans="1:17">
      <c r="A7" s="5">
        <v>20251205</v>
      </c>
      <c r="B7" s="6">
        <v>60.08</v>
      </c>
      <c r="C7" s="6">
        <v>63.75</v>
      </c>
      <c r="D7" s="6">
        <v>63.91</v>
      </c>
      <c r="E7" s="6">
        <v>453.4</v>
      </c>
      <c r="F7" s="6">
        <v>63.86</v>
      </c>
      <c r="G7" s="6">
        <v>63.91</v>
      </c>
      <c r="H7" s="6">
        <v>64.635</v>
      </c>
      <c r="I7" s="6">
        <v>60.63</v>
      </c>
      <c r="J7" s="6">
        <v>66.36</v>
      </c>
      <c r="K7" s="6">
        <v>61.81</v>
      </c>
      <c r="L7" s="6">
        <v>59.255</v>
      </c>
      <c r="M7" s="6">
        <v>63.58</v>
      </c>
      <c r="N7" s="6">
        <v>65.7</v>
      </c>
      <c r="O7" s="6">
        <v>66.1</v>
      </c>
      <c r="P7" s="6">
        <v>62.46</v>
      </c>
      <c r="Q7" s="6">
        <v>51</v>
      </c>
    </row>
    <row r="8" spans="1:17">
      <c r="A8" s="5">
        <v>20251208</v>
      </c>
      <c r="B8" s="6">
        <v>58.88</v>
      </c>
      <c r="C8" s="6">
        <v>62.49</v>
      </c>
      <c r="D8" s="6">
        <v>64.56</v>
      </c>
      <c r="E8" s="6">
        <v>456.4</v>
      </c>
      <c r="F8" s="6">
        <v>64.36</v>
      </c>
      <c r="G8" s="6">
        <v>64.44</v>
      </c>
      <c r="H8" s="6">
        <v>63.77</v>
      </c>
      <c r="I8" s="6">
        <v>61.485</v>
      </c>
      <c r="J8" s="6">
        <v>67.17</v>
      </c>
      <c r="K8" s="6">
        <v>62.52</v>
      </c>
      <c r="L8" s="6">
        <v>60.085</v>
      </c>
      <c r="M8" s="6">
        <v>62.54</v>
      </c>
      <c r="N8" s="6">
        <v>66.35</v>
      </c>
      <c r="O8" s="6">
        <v>66.75</v>
      </c>
      <c r="P8" s="6">
        <v>63.17</v>
      </c>
      <c r="Q8" s="6">
        <v>51.6</v>
      </c>
    </row>
    <row r="9" spans="1:17">
      <c r="A9" s="5">
        <v>20251209</v>
      </c>
      <c r="B9" s="6">
        <v>58.25</v>
      </c>
      <c r="C9" s="6">
        <v>61.94</v>
      </c>
      <c r="D9" s="6">
        <v>62.95</v>
      </c>
      <c r="E9" s="6">
        <v>449.3</v>
      </c>
      <c r="F9" s="6">
        <v>62.68</v>
      </c>
      <c r="G9" s="6">
        <v>62.77</v>
      </c>
      <c r="H9" s="6">
        <v>62.815</v>
      </c>
      <c r="I9" s="6">
        <v>60.085</v>
      </c>
      <c r="J9" s="6">
        <v>65.75</v>
      </c>
      <c r="K9" s="6">
        <v>61.1</v>
      </c>
      <c r="L9" s="6">
        <v>58.715</v>
      </c>
      <c r="M9" s="6">
        <v>61.46</v>
      </c>
      <c r="N9" s="6">
        <v>64.82</v>
      </c>
      <c r="O9" s="6">
        <v>65.22</v>
      </c>
      <c r="P9" s="6">
        <v>61.85</v>
      </c>
      <c r="Q9" s="6">
        <v>50.07</v>
      </c>
    </row>
    <row r="10" spans="1:17">
      <c r="A10" s="5">
        <v>20251210</v>
      </c>
      <c r="B10" s="6">
        <v>58.46</v>
      </c>
      <c r="C10" s="6">
        <v>62.21</v>
      </c>
      <c r="D10" s="6">
        <v>62.37</v>
      </c>
      <c r="E10" s="6">
        <v>444.3</v>
      </c>
      <c r="F10" s="6">
        <v>62.19</v>
      </c>
      <c r="G10" s="6">
        <v>62.24</v>
      </c>
      <c r="H10" s="6">
        <v>62.58</v>
      </c>
      <c r="I10" s="6">
        <v>59.61</v>
      </c>
      <c r="J10" s="6">
        <v>65.41</v>
      </c>
      <c r="K10" s="6">
        <v>60.81</v>
      </c>
      <c r="L10" s="6">
        <v>58.355</v>
      </c>
      <c r="M10" s="6">
        <v>61.03</v>
      </c>
      <c r="N10" s="6">
        <v>64.28</v>
      </c>
      <c r="O10" s="6">
        <v>64.68</v>
      </c>
      <c r="P10" s="6">
        <v>61.46</v>
      </c>
      <c r="Q10" s="6">
        <v>49.58</v>
      </c>
    </row>
    <row r="11" spans="1:17">
      <c r="A11" s="5">
        <v>20251211</v>
      </c>
      <c r="B11" s="6">
        <v>57.6</v>
      </c>
      <c r="C11" s="6">
        <v>61.28</v>
      </c>
      <c r="D11" s="6">
        <v>61.71</v>
      </c>
      <c r="E11" s="6">
        <v>441.2</v>
      </c>
      <c r="F11" s="6">
        <v>61.57</v>
      </c>
      <c r="G11" s="6">
        <v>61.71</v>
      </c>
      <c r="H11" s="6">
        <v>61.985</v>
      </c>
      <c r="I11" s="6">
        <v>59.065</v>
      </c>
      <c r="J11" s="6">
        <v>65.06</v>
      </c>
      <c r="K11" s="6">
        <v>60.41</v>
      </c>
      <c r="L11" s="6">
        <v>57.875</v>
      </c>
      <c r="M11" s="6">
        <v>60.54</v>
      </c>
      <c r="N11" s="6">
        <v>63.76</v>
      </c>
      <c r="O11" s="6">
        <v>64.16</v>
      </c>
      <c r="P11" s="6">
        <v>61.11</v>
      </c>
      <c r="Q11" s="6">
        <v>49.16</v>
      </c>
    </row>
    <row r="12" spans="1:17">
      <c r="A12" s="5">
        <v>20251212</v>
      </c>
      <c r="B12" s="6">
        <v>57.44</v>
      </c>
      <c r="C12" s="6">
        <v>61.12</v>
      </c>
      <c r="D12" s="6">
        <v>61.82</v>
      </c>
      <c r="E12" s="6">
        <v>436.9</v>
      </c>
      <c r="F12" s="6">
        <v>61.75</v>
      </c>
      <c r="G12" s="6">
        <v>61.84</v>
      </c>
      <c r="H12" s="6">
        <v>62.085</v>
      </c>
      <c r="I12" s="6">
        <v>58.97</v>
      </c>
      <c r="J12" s="6">
        <v>65.15</v>
      </c>
      <c r="K12" s="6">
        <v>60.65</v>
      </c>
      <c r="L12" s="6">
        <v>57.825</v>
      </c>
      <c r="M12" s="6">
        <v>60.46</v>
      </c>
      <c r="N12" s="6">
        <v>63.79</v>
      </c>
      <c r="O12" s="6">
        <v>64.19</v>
      </c>
      <c r="P12" s="6">
        <v>61.1</v>
      </c>
      <c r="Q12" s="6">
        <v>49.24</v>
      </c>
    </row>
    <row r="13" spans="1:17">
      <c r="A13" s="5">
        <v>20251215</v>
      </c>
      <c r="B13" s="6">
        <v>56.82</v>
      </c>
      <c r="C13" s="6">
        <v>60.56</v>
      </c>
      <c r="D13" s="6">
        <v>61.33</v>
      </c>
      <c r="E13" s="6">
        <v>437.1</v>
      </c>
      <c r="F13" s="6">
        <v>61.25</v>
      </c>
      <c r="G13" s="6">
        <v>61.33</v>
      </c>
      <c r="H13" s="6">
        <v>61.395</v>
      </c>
      <c r="I13" s="6">
        <v>58.6</v>
      </c>
      <c r="J13" s="6">
        <v>64.22</v>
      </c>
      <c r="K13" s="6">
        <v>60.27</v>
      </c>
      <c r="L13" s="6">
        <v>57.55</v>
      </c>
      <c r="M13" s="6">
        <v>59.92</v>
      </c>
      <c r="N13" s="6">
        <v>63.18</v>
      </c>
      <c r="O13" s="6">
        <v>63.58</v>
      </c>
      <c r="P13" s="6">
        <v>60.72</v>
      </c>
      <c r="Q13" s="6">
        <v>48.73</v>
      </c>
    </row>
    <row r="14" spans="1:17">
      <c r="A14" s="5">
        <v>20251216</v>
      </c>
      <c r="B14" s="6">
        <v>55.27</v>
      </c>
      <c r="C14" s="6">
        <v>58.92</v>
      </c>
      <c r="D14" s="6">
        <v>60.03</v>
      </c>
      <c r="E14" s="6">
        <v>430.9</v>
      </c>
      <c r="F14" s="6">
        <v>59.93</v>
      </c>
      <c r="G14" s="6">
        <v>60.04</v>
      </c>
      <c r="H14" s="6">
        <v>60.2</v>
      </c>
      <c r="I14" s="6">
        <v>57.305</v>
      </c>
      <c r="J14" s="6">
        <v>62.93</v>
      </c>
      <c r="K14" s="6">
        <v>59.08</v>
      </c>
      <c r="L14" s="6">
        <v>56.15</v>
      </c>
      <c r="M14" s="6">
        <v>58.6</v>
      </c>
      <c r="N14" s="6">
        <v>62.06</v>
      </c>
      <c r="O14" s="6">
        <v>62.46</v>
      </c>
      <c r="P14" s="6">
        <v>59.53</v>
      </c>
      <c r="Q14" s="6">
        <v>47.56</v>
      </c>
    </row>
    <row r="15" spans="1:17">
      <c r="A15" s="5">
        <v>20251217</v>
      </c>
      <c r="B15" s="6">
        <v>55.94</v>
      </c>
      <c r="C15" s="6">
        <v>59.68</v>
      </c>
      <c r="D15" s="6">
        <v>59.82</v>
      </c>
      <c r="E15" s="6">
        <v>423.3</v>
      </c>
      <c r="F15" s="6">
        <v>59.72</v>
      </c>
      <c r="G15" s="6">
        <v>59.82</v>
      </c>
      <c r="H15" s="6">
        <v>60.87</v>
      </c>
      <c r="I15" s="6">
        <v>56.93</v>
      </c>
      <c r="J15" s="6">
        <v>62.48</v>
      </c>
      <c r="K15" s="6">
        <v>58.68</v>
      </c>
      <c r="L15" s="6">
        <v>55.785</v>
      </c>
      <c r="M15" s="6">
        <v>59.41</v>
      </c>
      <c r="N15" s="6">
        <v>61.75</v>
      </c>
      <c r="O15" s="6">
        <v>62.15</v>
      </c>
      <c r="P15" s="6">
        <v>59.18</v>
      </c>
      <c r="Q15" s="6">
        <v>47.2</v>
      </c>
    </row>
    <row r="16" spans="1:17">
      <c r="A16" s="5">
        <v>20251218</v>
      </c>
      <c r="B16" s="6">
        <v>56.15</v>
      </c>
      <c r="C16" s="6">
        <v>59.82</v>
      </c>
      <c r="D16" s="6">
        <v>60.47</v>
      </c>
      <c r="E16" s="6">
        <v>426.4</v>
      </c>
      <c r="F16" s="6">
        <v>60.32</v>
      </c>
      <c r="G16" s="6">
        <v>60.44</v>
      </c>
      <c r="H16" s="6">
        <v>60.925</v>
      </c>
      <c r="I16" s="6">
        <v>57.415</v>
      </c>
      <c r="J16" s="6">
        <v>62.96</v>
      </c>
      <c r="K16" s="6">
        <v>59.16</v>
      </c>
      <c r="L16" s="6">
        <v>56.14</v>
      </c>
      <c r="M16" s="6">
        <v>59.56</v>
      </c>
      <c r="N16" s="6">
        <v>62.25</v>
      </c>
      <c r="O16" s="6">
        <v>62.65</v>
      </c>
      <c r="P16" s="6">
        <v>59.56</v>
      </c>
      <c r="Q16" s="6">
        <v>47.7</v>
      </c>
    </row>
    <row r="17" spans="1:17">
      <c r="A17" s="5">
        <v>20251219</v>
      </c>
      <c r="B17" s="6">
        <v>56.66</v>
      </c>
      <c r="C17" s="6">
        <v>60.47</v>
      </c>
      <c r="D17" s="6">
        <v>60.16</v>
      </c>
      <c r="E17" s="6">
        <v>425</v>
      </c>
      <c r="F17" s="6">
        <v>60.01</v>
      </c>
      <c r="G17" s="6">
        <v>60.17</v>
      </c>
      <c r="H17" s="6">
        <v>61.165</v>
      </c>
      <c r="I17" s="6">
        <v>56.905</v>
      </c>
      <c r="J17" s="6">
        <v>62.45</v>
      </c>
      <c r="K17" s="6">
        <v>58.75</v>
      </c>
      <c r="L17" s="6">
        <v>55.65</v>
      </c>
      <c r="M17" s="6">
        <v>59.58</v>
      </c>
      <c r="N17" s="6">
        <v>61.9</v>
      </c>
      <c r="O17" s="6">
        <v>62.3</v>
      </c>
      <c r="P17" s="6">
        <v>59.15</v>
      </c>
      <c r="Q17" s="6">
        <v>47.4</v>
      </c>
    </row>
    <row r="18" spans="1:17">
      <c r="A18" s="5">
        <v>20251222</v>
      </c>
      <c r="B18" s="6">
        <v>58.01</v>
      </c>
      <c r="C18" s="6">
        <v>62.07</v>
      </c>
      <c r="D18" s="6">
        <v>61.47</v>
      </c>
      <c r="E18" s="6">
        <v>432.3</v>
      </c>
      <c r="F18" s="6">
        <v>61.2</v>
      </c>
      <c r="G18" s="6">
        <v>61.44</v>
      </c>
      <c r="H18" s="6">
        <v>62.455</v>
      </c>
      <c r="I18" s="6">
        <v>58.075</v>
      </c>
      <c r="J18" s="6">
        <v>63.33</v>
      </c>
      <c r="K18" s="6">
        <v>59.73</v>
      </c>
      <c r="L18" s="6">
        <v>56.86</v>
      </c>
      <c r="M18" s="6">
        <v>60.76</v>
      </c>
      <c r="N18" s="6">
        <v>62.98</v>
      </c>
      <c r="O18" s="6">
        <v>63.38</v>
      </c>
      <c r="P18" s="6">
        <v>60.03</v>
      </c>
      <c r="Q18" s="6">
        <v>48.53</v>
      </c>
    </row>
    <row r="19" spans="1:19">
      <c r="A19" s="5">
        <v>20251223</v>
      </c>
      <c r="B19" s="6">
        <v>58.38</v>
      </c>
      <c r="C19" s="6">
        <v>62.38</v>
      </c>
      <c r="D19" s="6">
        <v>62.29</v>
      </c>
      <c r="E19" s="6">
        <v>439.2</v>
      </c>
      <c r="F19" s="6">
        <v>62.15</v>
      </c>
      <c r="G19" s="6">
        <v>62.24</v>
      </c>
      <c r="H19" s="6">
        <v>63.07</v>
      </c>
      <c r="I19" s="6">
        <v>58.99</v>
      </c>
      <c r="J19" s="6">
        <v>64.14</v>
      </c>
      <c r="K19" s="6">
        <v>60.74</v>
      </c>
      <c r="L19" s="6">
        <v>57.85</v>
      </c>
      <c r="M19" s="6">
        <v>60.63</v>
      </c>
      <c r="N19" s="6">
        <v>63.69</v>
      </c>
      <c r="O19" s="6">
        <v>64.09</v>
      </c>
      <c r="P19" s="6">
        <v>60.54</v>
      </c>
      <c r="Q19" s="6">
        <v>49.34</v>
      </c>
      <c r="S19" t="s">
        <v>26</v>
      </c>
    </row>
    <row r="20" spans="1:17">
      <c r="A20" s="5">
        <v>20251224</v>
      </c>
      <c r="B20" s="6">
        <v>58.35</v>
      </c>
      <c r="C20" s="6">
        <v>62.24</v>
      </c>
      <c r="D20" s="6">
        <v>62.57</v>
      </c>
      <c r="E20" s="6">
        <v>440.4</v>
      </c>
      <c r="F20" s="6">
        <v>62.35</v>
      </c>
      <c r="G20" s="6">
        <v>62.35</v>
      </c>
      <c r="H20" s="6">
        <v>63.515</v>
      </c>
      <c r="I20" s="6">
        <v>58.755</v>
      </c>
      <c r="J20" s="6">
        <v>64.29</v>
      </c>
      <c r="K20" s="6">
        <v>60.89</v>
      </c>
      <c r="L20" s="6">
        <v>57.52</v>
      </c>
      <c r="M20" s="6">
        <v>61.01</v>
      </c>
      <c r="N20" s="6">
        <v>63.65</v>
      </c>
      <c r="O20" s="6">
        <v>64.05</v>
      </c>
      <c r="P20" s="6">
        <v>60.64</v>
      </c>
      <c r="Q20" s="6">
        <v>49.35</v>
      </c>
    </row>
    <row r="21" spans="1:17">
      <c r="A21" s="5">
        <v>20251225</v>
      </c>
      <c r="B21" s="6"/>
      <c r="C21" s="6"/>
      <c r="D21" s="6"/>
      <c r="E21" s="6">
        <v>441.1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>
      <c r="A22" s="5">
        <v>20251226</v>
      </c>
      <c r="B22" s="6">
        <v>56.74</v>
      </c>
      <c r="C22" s="6">
        <v>60.64</v>
      </c>
      <c r="D22" s="6">
        <v>62.27</v>
      </c>
      <c r="E22" s="6">
        <v>439.3</v>
      </c>
      <c r="F22" s="6">
        <v>62.22</v>
      </c>
      <c r="G22" s="6">
        <v>62.27</v>
      </c>
      <c r="H22" s="6"/>
      <c r="I22" s="6">
        <v>58.27</v>
      </c>
      <c r="J22" s="6">
        <v>64.38</v>
      </c>
      <c r="K22" s="6">
        <v>61.03</v>
      </c>
      <c r="L22" s="6">
        <v>56.995</v>
      </c>
      <c r="M22" s="6"/>
      <c r="N22" s="6">
        <v>63.74</v>
      </c>
      <c r="O22" s="6">
        <v>64.14</v>
      </c>
      <c r="P22" s="6">
        <v>60.78</v>
      </c>
      <c r="Q22" s="6">
        <v>49.44</v>
      </c>
    </row>
    <row r="23" spans="1:17">
      <c r="A23" s="5">
        <v>20251229</v>
      </c>
      <c r="B23" s="6">
        <v>58.08</v>
      </c>
      <c r="C23" s="6">
        <v>61.94</v>
      </c>
      <c r="D23" s="6">
        <v>61.27</v>
      </c>
      <c r="E23" s="6">
        <v>433.8</v>
      </c>
      <c r="F23" s="6">
        <v>61.25</v>
      </c>
      <c r="G23" s="6">
        <v>61.25</v>
      </c>
      <c r="H23" s="6">
        <v>62.505</v>
      </c>
      <c r="I23" s="6">
        <v>57.355</v>
      </c>
      <c r="J23" s="6">
        <v>63.44</v>
      </c>
      <c r="K23" s="6">
        <v>60.14</v>
      </c>
      <c r="L23" s="6">
        <v>56.105</v>
      </c>
      <c r="M23" s="6">
        <v>60.49</v>
      </c>
      <c r="N23" s="6">
        <v>62.79</v>
      </c>
      <c r="O23" s="6">
        <v>63.19</v>
      </c>
      <c r="P23" s="6">
        <v>59.89</v>
      </c>
      <c r="Q23" s="6">
        <v>48.49</v>
      </c>
    </row>
    <row r="24" spans="1:17">
      <c r="A24" s="5">
        <v>20251230</v>
      </c>
      <c r="B24" s="6">
        <v>57.95</v>
      </c>
      <c r="C24" s="6">
        <v>61.92</v>
      </c>
      <c r="D24" s="6">
        <v>61.32</v>
      </c>
      <c r="E24" s="6">
        <v>431.3</v>
      </c>
      <c r="F24" s="6">
        <v>61.73</v>
      </c>
      <c r="G24" s="6">
        <v>61.73</v>
      </c>
      <c r="H24" s="6">
        <v>62.51</v>
      </c>
      <c r="I24" s="6">
        <v>57.975</v>
      </c>
      <c r="J24" s="6">
        <v>64.01</v>
      </c>
      <c r="K24" s="6">
        <v>60.76</v>
      </c>
      <c r="L24" s="6">
        <v>56.72</v>
      </c>
      <c r="M24" s="6">
        <v>60.44</v>
      </c>
      <c r="N24" s="6">
        <v>63.21</v>
      </c>
      <c r="O24" s="6">
        <v>63.61</v>
      </c>
      <c r="P24" s="6">
        <v>60.56</v>
      </c>
      <c r="Q24" s="6">
        <v>49.06</v>
      </c>
    </row>
    <row r="25" spans="1:17">
      <c r="A25" s="5">
        <v>20251231</v>
      </c>
      <c r="B25" s="6">
        <v>57.42</v>
      </c>
      <c r="C25" s="6">
        <v>60.85</v>
      </c>
      <c r="D25" s="6">
        <v>60.44</v>
      </c>
      <c r="E25" s="6">
        <v>427.4</v>
      </c>
      <c r="F25" s="6">
        <v>61.57</v>
      </c>
      <c r="G25" s="6">
        <v>61.57</v>
      </c>
      <c r="H25" s="6">
        <v>62.555</v>
      </c>
      <c r="I25" s="6">
        <v>57.88</v>
      </c>
      <c r="J25" s="6">
        <v>64.11</v>
      </c>
      <c r="K25" s="6">
        <v>60.76</v>
      </c>
      <c r="L25" s="6">
        <v>56.53</v>
      </c>
      <c r="M25" s="6">
        <v>60.55</v>
      </c>
      <c r="N25" s="6">
        <v>63.38</v>
      </c>
      <c r="O25" s="6">
        <v>63.78</v>
      </c>
      <c r="P25" s="6">
        <v>60.61</v>
      </c>
      <c r="Q25" s="6">
        <v>49.18</v>
      </c>
    </row>
    <row r="26" spans="1:17">
      <c r="A26" s="7" t="s">
        <v>17</v>
      </c>
      <c r="B26" s="8">
        <f>AVERAGE(B23:B25)</f>
        <v>57.8166666666667</v>
      </c>
      <c r="C26" s="8">
        <f t="shared" ref="C26:Q26" si="0">AVERAGE(C23:C25)</f>
        <v>61.57</v>
      </c>
      <c r="D26" s="8">
        <f t="shared" si="0"/>
        <v>61.01</v>
      </c>
      <c r="E26" s="8">
        <f t="shared" si="0"/>
        <v>430.833333333333</v>
      </c>
      <c r="F26" s="8">
        <f t="shared" si="0"/>
        <v>61.5166666666667</v>
      </c>
      <c r="G26" s="8">
        <f t="shared" si="0"/>
        <v>61.5166666666667</v>
      </c>
      <c r="H26" s="8">
        <f t="shared" si="0"/>
        <v>62.5233333333333</v>
      </c>
      <c r="I26" s="8">
        <f t="shared" si="0"/>
        <v>57.7366666666667</v>
      </c>
      <c r="J26" s="8">
        <f t="shared" si="0"/>
        <v>63.8533333333333</v>
      </c>
      <c r="K26" s="8">
        <f t="shared" si="0"/>
        <v>60.5533333333333</v>
      </c>
      <c r="L26" s="8">
        <f t="shared" si="0"/>
        <v>56.4516666666667</v>
      </c>
      <c r="M26" s="8">
        <f t="shared" si="0"/>
        <v>60.4933333333333</v>
      </c>
      <c r="N26" s="8">
        <f t="shared" si="0"/>
        <v>63.1266666666667</v>
      </c>
      <c r="O26" s="8">
        <f t="shared" si="0"/>
        <v>63.5266666666667</v>
      </c>
      <c r="P26" s="8">
        <f t="shared" si="0"/>
        <v>60.3533333333333</v>
      </c>
      <c r="Q26" s="8">
        <f t="shared" si="0"/>
        <v>48.91</v>
      </c>
    </row>
    <row r="27" ht="22.5" spans="1:17">
      <c r="A27" s="3" t="s">
        <v>24</v>
      </c>
      <c r="B27" s="9">
        <f>AVERAGE(B3:B25)</f>
        <v>57.8663636363636</v>
      </c>
      <c r="C27" s="9">
        <f t="shared" ref="C27:Q27" si="1">AVERAGE(C3:C25)</f>
        <v>61.6286363636364</v>
      </c>
      <c r="D27" s="9">
        <f t="shared" si="1"/>
        <v>62.0859090909091</v>
      </c>
      <c r="E27" s="9">
        <f t="shared" si="1"/>
        <v>439.839130434782</v>
      </c>
      <c r="F27" s="9">
        <f t="shared" si="1"/>
        <v>62.0459090909091</v>
      </c>
      <c r="G27" s="9">
        <f t="shared" si="1"/>
        <v>62.1181818181818</v>
      </c>
      <c r="H27" s="9">
        <f t="shared" si="1"/>
        <v>62.6761904761905</v>
      </c>
      <c r="I27" s="9">
        <f t="shared" si="1"/>
        <v>58.8790909090909</v>
      </c>
      <c r="J27" s="9">
        <f t="shared" si="1"/>
        <v>64.7036363636364</v>
      </c>
      <c r="K27" s="9">
        <f t="shared" si="1"/>
        <v>60.6604545454545</v>
      </c>
      <c r="L27" s="9">
        <f t="shared" si="1"/>
        <v>57.6170454545454</v>
      </c>
      <c r="M27" s="9">
        <f t="shared" si="1"/>
        <v>61.0585714285714</v>
      </c>
      <c r="N27" s="9">
        <f t="shared" si="1"/>
        <v>63.9218181818182</v>
      </c>
      <c r="O27" s="9">
        <f t="shared" si="1"/>
        <v>64.3218181818182</v>
      </c>
      <c r="P27" s="9">
        <f t="shared" si="1"/>
        <v>61.0013636363636</v>
      </c>
      <c r="Q27" s="9">
        <f t="shared" si="1"/>
        <v>49.5468181818182</v>
      </c>
    </row>
    <row r="28" ht="23.25" spans="1:17">
      <c r="A28" s="10" t="s">
        <v>19</v>
      </c>
      <c r="B28" s="23">
        <f>(B27-B2)/B2</f>
        <v>-0.0271204492563476</v>
      </c>
      <c r="C28" s="23">
        <f t="shared" ref="C28:Q28" si="2">(C27-C2)/C2</f>
        <v>-0.0319475929528941</v>
      </c>
      <c r="D28" s="23">
        <f t="shared" si="2"/>
        <v>-0.0365389919241919</v>
      </c>
      <c r="E28" s="23">
        <f t="shared" si="2"/>
        <v>-0.036845104322025</v>
      </c>
      <c r="F28" s="23">
        <f t="shared" si="2"/>
        <v>-0.0376413431890359</v>
      </c>
      <c r="G28" s="23">
        <f t="shared" si="2"/>
        <v>-0.0368191491573577</v>
      </c>
      <c r="H28" s="23">
        <f t="shared" si="2"/>
        <v>-0.0153265153559719</v>
      </c>
      <c r="I28" s="23">
        <f t="shared" si="2"/>
        <v>-0.0294108721657527</v>
      </c>
      <c r="J28" s="23">
        <f t="shared" si="2"/>
        <v>-0.0357276886538745</v>
      </c>
      <c r="K28" s="23">
        <f t="shared" si="2"/>
        <v>-0.0387910575365516</v>
      </c>
      <c r="L28" s="23">
        <f t="shared" si="2"/>
        <v>-0.0215451878502789</v>
      </c>
      <c r="M28" s="23">
        <f t="shared" si="2"/>
        <v>-0.0322985993110328</v>
      </c>
      <c r="N28" s="23">
        <f t="shared" si="2"/>
        <v>-0.0329162497550108</v>
      </c>
      <c r="O28" s="23">
        <f t="shared" si="2"/>
        <v>-0.0327182498316751</v>
      </c>
      <c r="P28" s="23">
        <f t="shared" si="2"/>
        <v>-0.0329293874083303</v>
      </c>
      <c r="Q28" s="23">
        <f t="shared" si="2"/>
        <v>-0.101843230638663</v>
      </c>
    </row>
    <row r="29" ht="15"/>
  </sheetData>
  <conditionalFormatting sqref="B28:Q28">
    <cfRule type="cellIs" dxfId="3" priority="1" operator="equal">
      <formula>0</formula>
    </cfRule>
    <cfRule type="cellIs" dxfId="4" priority="2" operator="lessThan">
      <formula>0</formula>
    </cfRule>
    <cfRule type="cellIs" dxfId="5" priority="3" operator="greaterThan">
      <formula>0</formula>
    </cfRule>
  </conditionalFormatting>
  <pageMargins left="0.75" right="0.75" top="1" bottom="1" header="0.5" footer="0.5"/>
  <pageSetup paperSize="9" orientation="portrait"/>
  <headerFooter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Q26"/>
  <sheetViews>
    <sheetView workbookViewId="0">
      <selection activeCell="A1" sqref="A1:Q25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ht="22.5" spans="1:17">
      <c r="A2" s="3" t="s">
        <v>27</v>
      </c>
      <c r="B2" s="9">
        <v>60.0695652173913</v>
      </c>
      <c r="C2" s="9">
        <v>63.9539130434783</v>
      </c>
      <c r="D2" s="9">
        <v>65.0586956521739</v>
      </c>
      <c r="E2" s="9">
        <v>451.288235294118</v>
      </c>
      <c r="F2" s="9">
        <v>64.9990909090909</v>
      </c>
      <c r="G2" s="9">
        <v>65.2295454545455</v>
      </c>
      <c r="H2" s="9">
        <v>64.7508695652174</v>
      </c>
      <c r="I2" s="9">
        <v>62.1552272727273</v>
      </c>
      <c r="J2" s="9">
        <v>67.3322727272727</v>
      </c>
      <c r="K2" s="9">
        <v>64.3572727272727</v>
      </c>
      <c r="L2" s="9">
        <v>60.5684090909091</v>
      </c>
      <c r="M2" s="9">
        <v>63.7113636363636</v>
      </c>
      <c r="N2" s="9">
        <v>65.1368181818182</v>
      </c>
      <c r="O2" s="9">
        <v>65.555</v>
      </c>
      <c r="P2" s="9">
        <v>63.5731818181818</v>
      </c>
      <c r="Q2" s="9">
        <v>59.2845454545455</v>
      </c>
    </row>
    <row r="3" spans="1:17">
      <c r="A3" s="5">
        <v>20251103</v>
      </c>
      <c r="B3" s="6">
        <v>61.05</v>
      </c>
      <c r="C3" s="6">
        <v>64.89</v>
      </c>
      <c r="D3" s="6">
        <v>66.58</v>
      </c>
      <c r="E3" s="6">
        <v>465.2</v>
      </c>
      <c r="F3" s="6">
        <v>66.7</v>
      </c>
      <c r="G3" s="6">
        <v>66.7</v>
      </c>
      <c r="H3" s="6">
        <v>66.015</v>
      </c>
      <c r="I3" s="6">
        <v>62.41</v>
      </c>
      <c r="J3" s="6">
        <v>68.12</v>
      </c>
      <c r="K3" s="6">
        <v>64.57</v>
      </c>
      <c r="L3" s="6">
        <v>60.75</v>
      </c>
      <c r="M3" s="6">
        <v>65.26</v>
      </c>
      <c r="N3" s="6">
        <v>66.31</v>
      </c>
      <c r="O3" s="6">
        <v>66.71</v>
      </c>
      <c r="P3" s="6">
        <v>64.42</v>
      </c>
      <c r="Q3" s="6">
        <v>57.46</v>
      </c>
    </row>
    <row r="4" spans="1:17">
      <c r="A4" s="5">
        <v>20251104</v>
      </c>
      <c r="B4" s="6">
        <v>60.56</v>
      </c>
      <c r="C4" s="6">
        <v>64.44</v>
      </c>
      <c r="D4" s="6">
        <v>65.33</v>
      </c>
      <c r="E4" s="6">
        <v>465.2</v>
      </c>
      <c r="F4" s="6">
        <v>65.38</v>
      </c>
      <c r="G4" s="6">
        <v>65.38</v>
      </c>
      <c r="H4" s="6">
        <v>65.26</v>
      </c>
      <c r="I4" s="6">
        <v>61.69</v>
      </c>
      <c r="J4" s="6">
        <v>67.73</v>
      </c>
      <c r="K4" s="6">
        <v>64.18</v>
      </c>
      <c r="L4" s="6">
        <v>59.99</v>
      </c>
      <c r="M4" s="6">
        <v>64.64</v>
      </c>
      <c r="N4" s="6">
        <v>65.85</v>
      </c>
      <c r="O4" s="6">
        <v>66.25</v>
      </c>
      <c r="P4" s="6">
        <v>64.03</v>
      </c>
      <c r="Q4" s="6">
        <v>57</v>
      </c>
    </row>
    <row r="5" spans="1:17">
      <c r="A5" s="5">
        <v>20251105</v>
      </c>
      <c r="B5" s="6">
        <v>59.6</v>
      </c>
      <c r="C5" s="6">
        <v>63.52</v>
      </c>
      <c r="D5" s="6">
        <v>65.57</v>
      </c>
      <c r="E5" s="6">
        <v>462.1</v>
      </c>
      <c r="F5" s="6">
        <v>65.605</v>
      </c>
      <c r="G5" s="6">
        <v>65.605</v>
      </c>
      <c r="H5" s="6">
        <v>64.56</v>
      </c>
      <c r="I5" s="6">
        <v>61.5</v>
      </c>
      <c r="J5" s="6">
        <v>67.76</v>
      </c>
      <c r="K5" s="6">
        <v>64.16</v>
      </c>
      <c r="L5" s="6">
        <v>59.58</v>
      </c>
      <c r="M5" s="6">
        <v>64.36</v>
      </c>
      <c r="N5" s="6">
        <v>66.23</v>
      </c>
      <c r="O5" s="6">
        <v>66.63</v>
      </c>
      <c r="P5" s="6">
        <v>63.96</v>
      </c>
      <c r="Q5" s="6">
        <v>57.18</v>
      </c>
    </row>
    <row r="6" spans="1:17">
      <c r="A6" s="5">
        <v>20251106</v>
      </c>
      <c r="B6" s="6">
        <v>59.43</v>
      </c>
      <c r="C6" s="6">
        <v>63.38</v>
      </c>
      <c r="D6" s="6">
        <v>64.63</v>
      </c>
      <c r="E6" s="6">
        <v>460.5</v>
      </c>
      <c r="F6" s="6">
        <v>64.65</v>
      </c>
      <c r="G6" s="6">
        <v>64.66</v>
      </c>
      <c r="H6" s="6">
        <v>63.66</v>
      </c>
      <c r="I6" s="6">
        <v>60.875</v>
      </c>
      <c r="J6" s="6">
        <v>67.3</v>
      </c>
      <c r="K6" s="6">
        <v>63.6</v>
      </c>
      <c r="L6" s="6">
        <v>58.91</v>
      </c>
      <c r="M6" s="6">
        <v>63.37</v>
      </c>
      <c r="N6" s="6">
        <v>65.71</v>
      </c>
      <c r="O6" s="6">
        <v>66.11</v>
      </c>
      <c r="P6" s="6">
        <v>63.4</v>
      </c>
      <c r="Q6" s="6">
        <v>56.56</v>
      </c>
    </row>
    <row r="7" spans="1:17">
      <c r="A7" s="5">
        <v>20251107</v>
      </c>
      <c r="B7" s="6">
        <v>59.75</v>
      </c>
      <c r="C7" s="6">
        <v>63.63</v>
      </c>
      <c r="D7" s="6">
        <v>64.99</v>
      </c>
      <c r="E7" s="6">
        <v>456.9</v>
      </c>
      <c r="F7" s="6">
        <v>64.95</v>
      </c>
      <c r="G7" s="6">
        <v>64.98</v>
      </c>
      <c r="H7" s="6">
        <v>63.61</v>
      </c>
      <c r="I7" s="6">
        <v>60.86</v>
      </c>
      <c r="J7" s="6">
        <v>67.43</v>
      </c>
      <c r="K7" s="6">
        <v>63.73</v>
      </c>
      <c r="L7" s="6">
        <v>58.825</v>
      </c>
      <c r="M7" s="6">
        <v>63.45</v>
      </c>
      <c r="N7" s="6">
        <v>66.09</v>
      </c>
      <c r="O7" s="6">
        <v>66.49</v>
      </c>
      <c r="P7" s="6">
        <v>63.48</v>
      </c>
      <c r="Q7" s="6">
        <v>56.69</v>
      </c>
    </row>
    <row r="8" spans="1:17">
      <c r="A8" s="5">
        <v>20251110</v>
      </c>
      <c r="B8" s="6">
        <v>60.13</v>
      </c>
      <c r="C8" s="6">
        <v>64.06</v>
      </c>
      <c r="D8" s="6">
        <v>65.36</v>
      </c>
      <c r="E8" s="6">
        <v>460.2</v>
      </c>
      <c r="F8" s="6">
        <v>65.34</v>
      </c>
      <c r="G8" s="6">
        <v>65.4</v>
      </c>
      <c r="H8" s="6">
        <v>62.5</v>
      </c>
      <c r="I8" s="6">
        <v>62.715</v>
      </c>
      <c r="J8" s="6">
        <v>67.74</v>
      </c>
      <c r="K8" s="6">
        <v>63.99</v>
      </c>
      <c r="L8" s="6">
        <v>60.835</v>
      </c>
      <c r="M8" s="6">
        <v>62.96</v>
      </c>
      <c r="N8" s="6">
        <v>66.56</v>
      </c>
      <c r="O8" s="6">
        <v>66.96</v>
      </c>
      <c r="P8" s="6">
        <v>63.74</v>
      </c>
      <c r="Q8" s="6">
        <v>56.91</v>
      </c>
    </row>
    <row r="9" spans="1:17">
      <c r="A9" s="5">
        <v>20251111</v>
      </c>
      <c r="B9" s="6">
        <v>61.04</v>
      </c>
      <c r="C9" s="6">
        <v>65.16</v>
      </c>
      <c r="D9" s="6">
        <v>64.99</v>
      </c>
      <c r="E9" s="6">
        <v>459.2</v>
      </c>
      <c r="F9" s="6">
        <v>64.96</v>
      </c>
      <c r="G9" s="6">
        <v>64.97</v>
      </c>
      <c r="H9" s="6">
        <v>64.315</v>
      </c>
      <c r="I9" s="6">
        <v>60.425</v>
      </c>
      <c r="J9" s="6">
        <v>67.47</v>
      </c>
      <c r="K9" s="6">
        <v>63.62</v>
      </c>
      <c r="L9" s="6">
        <v>58.52</v>
      </c>
      <c r="M9" s="6">
        <v>64.64</v>
      </c>
      <c r="N9" s="6">
        <v>66.2</v>
      </c>
      <c r="O9" s="6">
        <v>66.6</v>
      </c>
      <c r="P9" s="6">
        <v>63.32</v>
      </c>
      <c r="Q9" s="6">
        <v>55.55</v>
      </c>
    </row>
    <row r="10" spans="1:17">
      <c r="A10" s="5">
        <v>20251112</v>
      </c>
      <c r="B10" s="6">
        <v>58.49</v>
      </c>
      <c r="C10" s="6">
        <v>62.71</v>
      </c>
      <c r="D10" s="6">
        <v>65.87</v>
      </c>
      <c r="E10" s="6">
        <v>466.6</v>
      </c>
      <c r="F10" s="6">
        <v>65.84</v>
      </c>
      <c r="G10" s="6">
        <v>65.86</v>
      </c>
      <c r="H10" s="6">
        <v>62</v>
      </c>
      <c r="I10" s="6">
        <v>61.42</v>
      </c>
      <c r="J10" s="6">
        <v>68.5</v>
      </c>
      <c r="K10" s="6">
        <v>64.55</v>
      </c>
      <c r="L10" s="6">
        <v>59.415</v>
      </c>
      <c r="M10" s="6">
        <v>62.22</v>
      </c>
      <c r="N10" s="6">
        <v>67.35</v>
      </c>
      <c r="O10" s="6">
        <v>67.75</v>
      </c>
      <c r="P10" s="6">
        <v>64.3</v>
      </c>
      <c r="Q10" s="6">
        <v>56.35</v>
      </c>
    </row>
    <row r="11" spans="1:17">
      <c r="A11" s="5">
        <v>20251113</v>
      </c>
      <c r="B11" s="6">
        <v>58.69</v>
      </c>
      <c r="C11" s="6">
        <v>63.01</v>
      </c>
      <c r="D11" s="6">
        <v>63.56</v>
      </c>
      <c r="E11" s="6">
        <v>454.4</v>
      </c>
      <c r="F11" s="6">
        <v>63.595</v>
      </c>
      <c r="G11" s="6">
        <v>63.595</v>
      </c>
      <c r="H11" s="6">
        <v>62.195</v>
      </c>
      <c r="I11" s="6">
        <v>59.195</v>
      </c>
      <c r="J11" s="6">
        <v>66.16</v>
      </c>
      <c r="K11" s="6">
        <v>62.21</v>
      </c>
      <c r="L11" s="6">
        <v>57.335</v>
      </c>
      <c r="M11" s="6">
        <v>62.6</v>
      </c>
      <c r="N11" s="6">
        <v>65.58</v>
      </c>
      <c r="O11" s="6">
        <v>65.98</v>
      </c>
      <c r="P11" s="6">
        <v>62.06</v>
      </c>
      <c r="Q11" s="6">
        <v>54.08</v>
      </c>
    </row>
    <row r="12" spans="1:17">
      <c r="A12" s="5">
        <v>20251114</v>
      </c>
      <c r="B12" s="6">
        <v>60.09</v>
      </c>
      <c r="C12" s="6">
        <v>64.39</v>
      </c>
      <c r="D12" s="6">
        <v>64.8</v>
      </c>
      <c r="E12" s="6">
        <v>455.4</v>
      </c>
      <c r="F12" s="6">
        <v>64.75</v>
      </c>
      <c r="G12" s="6">
        <v>64.81</v>
      </c>
      <c r="H12" s="6">
        <v>63.685</v>
      </c>
      <c r="I12" s="6">
        <v>60.445</v>
      </c>
      <c r="J12" s="6">
        <v>67.1</v>
      </c>
      <c r="K12" s="6">
        <v>63.1</v>
      </c>
      <c r="L12" s="6">
        <v>58.695</v>
      </c>
      <c r="M12" s="6">
        <v>63.75</v>
      </c>
      <c r="N12" s="6">
        <v>66.58</v>
      </c>
      <c r="O12" s="6">
        <v>66.98</v>
      </c>
      <c r="P12" s="6">
        <v>62.95</v>
      </c>
      <c r="Q12" s="6">
        <v>55.08</v>
      </c>
    </row>
    <row r="13" spans="1:17">
      <c r="A13" s="5">
        <v>20251117</v>
      </c>
      <c r="B13" s="6">
        <v>59.91</v>
      </c>
      <c r="C13" s="6">
        <v>64.2</v>
      </c>
      <c r="D13" s="6">
        <v>64.64</v>
      </c>
      <c r="E13" s="6">
        <v>458.7</v>
      </c>
      <c r="F13" s="6">
        <v>64.64</v>
      </c>
      <c r="G13" s="6">
        <v>64.78</v>
      </c>
      <c r="H13" s="6">
        <v>63.66</v>
      </c>
      <c r="I13" s="6">
        <v>60.84</v>
      </c>
      <c r="J13" s="6">
        <v>67.53</v>
      </c>
      <c r="K13" s="6">
        <v>63.58</v>
      </c>
      <c r="L13" s="6">
        <v>59.19</v>
      </c>
      <c r="M13" s="6">
        <v>63.59</v>
      </c>
      <c r="N13" s="6">
        <v>66.72</v>
      </c>
      <c r="O13" s="6">
        <v>67.12</v>
      </c>
      <c r="P13" s="6">
        <v>63.33</v>
      </c>
      <c r="Q13" s="6">
        <v>55.17</v>
      </c>
    </row>
    <row r="14" spans="1:17">
      <c r="A14" s="5">
        <v>20251118</v>
      </c>
      <c r="B14" s="6">
        <v>60.74</v>
      </c>
      <c r="C14" s="6">
        <v>64.89</v>
      </c>
      <c r="D14" s="6">
        <v>64.51</v>
      </c>
      <c r="E14" s="6">
        <v>460.6</v>
      </c>
      <c r="F14" s="6">
        <v>64.5</v>
      </c>
      <c r="G14" s="6">
        <v>64.53</v>
      </c>
      <c r="H14" s="6">
        <v>63.545</v>
      </c>
      <c r="I14" s="6">
        <v>60.755</v>
      </c>
      <c r="J14" s="6">
        <v>67.33</v>
      </c>
      <c r="K14" s="6">
        <v>63.43</v>
      </c>
      <c r="L14" s="6">
        <v>58.985</v>
      </c>
      <c r="M14" s="6">
        <v>63.38</v>
      </c>
      <c r="N14" s="6">
        <v>66.58</v>
      </c>
      <c r="O14" s="6">
        <v>66.98</v>
      </c>
      <c r="P14" s="6">
        <v>63.18</v>
      </c>
      <c r="Q14" s="6">
        <v>54.98</v>
      </c>
    </row>
    <row r="15" spans="1:17">
      <c r="A15" s="5">
        <v>20251119</v>
      </c>
      <c r="B15" s="6">
        <v>59.44</v>
      </c>
      <c r="C15" s="6">
        <v>63.51</v>
      </c>
      <c r="D15" s="6">
        <v>64.75</v>
      </c>
      <c r="E15" s="6">
        <v>462.2</v>
      </c>
      <c r="F15" s="6">
        <v>64.74</v>
      </c>
      <c r="G15" s="6">
        <v>64.75</v>
      </c>
      <c r="H15" s="6">
        <v>63.35</v>
      </c>
      <c r="I15" s="6">
        <v>60.89</v>
      </c>
      <c r="J15" s="6">
        <v>67.63</v>
      </c>
      <c r="K15" s="6">
        <v>63.68</v>
      </c>
      <c r="L15" s="6">
        <v>58.765</v>
      </c>
      <c r="M15" s="6">
        <v>62.69</v>
      </c>
      <c r="N15" s="6">
        <v>66.87</v>
      </c>
      <c r="O15" s="6">
        <v>67.27</v>
      </c>
      <c r="P15" s="6">
        <v>63.48</v>
      </c>
      <c r="Q15" s="6">
        <v>55.27</v>
      </c>
    </row>
    <row r="16" spans="1:17">
      <c r="A16" s="5">
        <v>20251120</v>
      </c>
      <c r="B16" s="6">
        <v>59.14</v>
      </c>
      <c r="C16" s="6">
        <v>63.38</v>
      </c>
      <c r="D16" s="6">
        <v>64.39</v>
      </c>
      <c r="E16" s="6">
        <v>458.4</v>
      </c>
      <c r="F16" s="6">
        <v>64.4</v>
      </c>
      <c r="G16" s="6">
        <v>64.4</v>
      </c>
      <c r="H16" s="6">
        <v>63.535</v>
      </c>
      <c r="I16" s="6">
        <v>60.845</v>
      </c>
      <c r="J16" s="6">
        <v>67.29</v>
      </c>
      <c r="K16" s="6">
        <v>63.19</v>
      </c>
      <c r="L16" s="6">
        <v>58.73</v>
      </c>
      <c r="M16" s="6">
        <v>62.76</v>
      </c>
      <c r="N16" s="6">
        <v>66.63</v>
      </c>
      <c r="O16" s="6">
        <v>67.03</v>
      </c>
      <c r="P16" s="6">
        <v>63.19</v>
      </c>
      <c r="Q16" s="6">
        <v>54.98</v>
      </c>
    </row>
    <row r="17" spans="1:17">
      <c r="A17" s="5">
        <v>20251121</v>
      </c>
      <c r="B17" s="6">
        <v>58.06</v>
      </c>
      <c r="C17" s="6">
        <v>62.56</v>
      </c>
      <c r="D17" s="6">
        <v>62.67</v>
      </c>
      <c r="E17" s="6">
        <v>463.1</v>
      </c>
      <c r="F17" s="6">
        <v>62.69</v>
      </c>
      <c r="G17" s="6">
        <v>62.72</v>
      </c>
      <c r="H17" s="6">
        <v>62.38</v>
      </c>
      <c r="I17" s="6">
        <v>59.34</v>
      </c>
      <c r="J17" s="6">
        <v>65.89</v>
      </c>
      <c r="K17" s="6">
        <v>61.79</v>
      </c>
      <c r="L17" s="6">
        <v>57.715</v>
      </c>
      <c r="M17" s="6">
        <v>61.56</v>
      </c>
      <c r="N17" s="6">
        <v>65.18</v>
      </c>
      <c r="O17" s="6">
        <v>65.58</v>
      </c>
      <c r="P17" s="6">
        <v>61.89</v>
      </c>
      <c r="Q17" s="6">
        <v>53.53</v>
      </c>
    </row>
    <row r="18" spans="1:17">
      <c r="A18" s="5">
        <v>20251124</v>
      </c>
      <c r="B18" s="6">
        <v>58.84</v>
      </c>
      <c r="C18" s="6">
        <v>63.37</v>
      </c>
      <c r="D18" s="6">
        <v>62.68</v>
      </c>
      <c r="E18" s="6">
        <v>448.6</v>
      </c>
      <c r="F18" s="6">
        <v>62.65</v>
      </c>
      <c r="G18" s="6">
        <v>62.65</v>
      </c>
      <c r="H18" s="6">
        <v>63.665</v>
      </c>
      <c r="I18" s="6">
        <v>59.205</v>
      </c>
      <c r="J18" s="6">
        <v>65.61</v>
      </c>
      <c r="K18" s="6">
        <v>61.41</v>
      </c>
      <c r="L18" s="6">
        <v>57.625</v>
      </c>
      <c r="M18" s="6">
        <v>62.18</v>
      </c>
      <c r="N18" s="6">
        <v>64.97</v>
      </c>
      <c r="O18" s="6">
        <v>65.37</v>
      </c>
      <c r="P18" s="6">
        <v>61.66</v>
      </c>
      <c r="Q18" s="6">
        <v>53.32</v>
      </c>
    </row>
    <row r="19" spans="1:17">
      <c r="A19" s="5">
        <v>20251125</v>
      </c>
      <c r="B19" s="6">
        <v>57.95</v>
      </c>
      <c r="C19" s="6">
        <v>62.48</v>
      </c>
      <c r="D19" s="6">
        <v>63.29</v>
      </c>
      <c r="E19" s="6">
        <v>448.3</v>
      </c>
      <c r="F19" s="6">
        <v>63.37</v>
      </c>
      <c r="G19" s="6">
        <v>63.37</v>
      </c>
      <c r="H19" s="6">
        <v>62.835</v>
      </c>
      <c r="I19" s="6">
        <v>60.025</v>
      </c>
      <c r="J19" s="6">
        <v>66.26</v>
      </c>
      <c r="K19" s="6">
        <v>61.91</v>
      </c>
      <c r="L19" s="6">
        <v>58.415</v>
      </c>
      <c r="M19" s="6">
        <v>61.31</v>
      </c>
      <c r="N19" s="6">
        <v>65.59</v>
      </c>
      <c r="O19" s="6">
        <v>65.99</v>
      </c>
      <c r="P19" s="6">
        <v>62.31</v>
      </c>
      <c r="Q19" s="6">
        <v>53.94</v>
      </c>
    </row>
    <row r="20" spans="1:17">
      <c r="A20" s="5">
        <v>20251126</v>
      </c>
      <c r="B20" s="6">
        <v>58.65</v>
      </c>
      <c r="C20" s="6">
        <v>63.13</v>
      </c>
      <c r="D20" s="6">
        <v>62.82</v>
      </c>
      <c r="E20" s="6">
        <v>441.5</v>
      </c>
      <c r="F20" s="6">
        <v>62.825</v>
      </c>
      <c r="G20" s="6">
        <v>62.825</v>
      </c>
      <c r="H20" s="6">
        <v>63.55</v>
      </c>
      <c r="I20" s="6">
        <v>59.19</v>
      </c>
      <c r="J20" s="6">
        <v>65.58</v>
      </c>
      <c r="K20" s="6">
        <v>61.13</v>
      </c>
      <c r="L20" s="6">
        <v>57.735</v>
      </c>
      <c r="M20" s="6">
        <v>61.71</v>
      </c>
      <c r="N20" s="6">
        <v>64.88</v>
      </c>
      <c r="O20" s="6">
        <v>65.28</v>
      </c>
      <c r="P20" s="6">
        <v>61.48</v>
      </c>
      <c r="Q20" s="6">
        <v>53.33</v>
      </c>
    </row>
    <row r="21" spans="1:17">
      <c r="A21" s="5">
        <v>20251127</v>
      </c>
      <c r="B21" s="6"/>
      <c r="C21" s="6">
        <v>63.34</v>
      </c>
      <c r="D21" s="6">
        <v>63.28</v>
      </c>
      <c r="E21" s="6">
        <v>440.1</v>
      </c>
      <c r="F21" s="6">
        <v>63.73</v>
      </c>
      <c r="G21" s="6">
        <v>63.73</v>
      </c>
      <c r="H21" s="6">
        <v>64.28</v>
      </c>
      <c r="I21" s="6">
        <v>60.08</v>
      </c>
      <c r="J21" s="6">
        <v>66.39</v>
      </c>
      <c r="K21" s="6">
        <v>61.89</v>
      </c>
      <c r="L21" s="6">
        <v>58.7</v>
      </c>
      <c r="M21" s="6">
        <v>62.52</v>
      </c>
      <c r="N21" s="6">
        <v>65.7</v>
      </c>
      <c r="O21" s="6">
        <v>66.1</v>
      </c>
      <c r="P21" s="6">
        <v>62.29</v>
      </c>
      <c r="Q21" s="6">
        <v>53.15</v>
      </c>
    </row>
    <row r="22" spans="1:17">
      <c r="A22" s="5">
        <v>20251128</v>
      </c>
      <c r="B22" s="6">
        <v>58.55</v>
      </c>
      <c r="C22" s="6">
        <v>63.2</v>
      </c>
      <c r="D22" s="6">
        <v>64.1</v>
      </c>
      <c r="E22" s="6">
        <v>446.1</v>
      </c>
      <c r="F22" s="6">
        <v>64.14</v>
      </c>
      <c r="G22" s="6">
        <v>64.14</v>
      </c>
      <c r="H22" s="6">
        <v>64.435</v>
      </c>
      <c r="I22" s="6">
        <v>60.56</v>
      </c>
      <c r="J22" s="6">
        <v>67.2</v>
      </c>
      <c r="K22" s="6">
        <v>62.45</v>
      </c>
      <c r="L22" s="6">
        <v>59</v>
      </c>
      <c r="M22" s="6">
        <v>62.98</v>
      </c>
      <c r="N22" s="6">
        <v>66.37</v>
      </c>
      <c r="O22" s="6">
        <v>66.77</v>
      </c>
      <c r="P22" s="6">
        <v>63.1</v>
      </c>
      <c r="Q22" s="6">
        <v>52.77</v>
      </c>
    </row>
    <row r="23" spans="1:17">
      <c r="A23" s="7" t="s">
        <v>17</v>
      </c>
      <c r="B23" s="8">
        <f>AVERAGE(B18:B22)</f>
        <v>58.4975</v>
      </c>
      <c r="C23" s="8">
        <f t="shared" ref="C23:Q23" si="0">AVERAGE(C18:C22)</f>
        <v>63.104</v>
      </c>
      <c r="D23" s="8">
        <f t="shared" si="0"/>
        <v>63.234</v>
      </c>
      <c r="E23" s="8">
        <f t="shared" si="0"/>
        <v>444.92</v>
      </c>
      <c r="F23" s="8">
        <f t="shared" si="0"/>
        <v>63.343</v>
      </c>
      <c r="G23" s="8">
        <f t="shared" si="0"/>
        <v>63.343</v>
      </c>
      <c r="H23" s="8">
        <f t="shared" si="0"/>
        <v>63.753</v>
      </c>
      <c r="I23" s="8">
        <f t="shared" si="0"/>
        <v>59.812</v>
      </c>
      <c r="J23" s="8">
        <f t="shared" si="0"/>
        <v>66.208</v>
      </c>
      <c r="K23" s="8">
        <f t="shared" si="0"/>
        <v>61.758</v>
      </c>
      <c r="L23" s="8">
        <f t="shared" si="0"/>
        <v>58.295</v>
      </c>
      <c r="M23" s="8">
        <f t="shared" si="0"/>
        <v>62.14</v>
      </c>
      <c r="N23" s="8">
        <f t="shared" si="0"/>
        <v>65.502</v>
      </c>
      <c r="O23" s="8">
        <f t="shared" si="0"/>
        <v>65.902</v>
      </c>
      <c r="P23" s="8">
        <f t="shared" si="0"/>
        <v>62.168</v>
      </c>
      <c r="Q23" s="8">
        <f t="shared" si="0"/>
        <v>53.302</v>
      </c>
    </row>
    <row r="24" ht="22.5" spans="1:17">
      <c r="A24" s="3" t="s">
        <v>28</v>
      </c>
      <c r="B24" s="9">
        <f>AVERAGE(B3:B22)</f>
        <v>59.4794736842105</v>
      </c>
      <c r="C24" s="9">
        <f t="shared" ref="C24:Q24" si="1">AVERAGE(C3:C22)</f>
        <v>63.6625</v>
      </c>
      <c r="D24" s="9">
        <f t="shared" si="1"/>
        <v>64.4405</v>
      </c>
      <c r="E24" s="9">
        <f t="shared" si="1"/>
        <v>456.665</v>
      </c>
      <c r="F24" s="9">
        <f t="shared" si="1"/>
        <v>64.47275</v>
      </c>
      <c r="G24" s="9">
        <f t="shared" si="1"/>
        <v>64.49275</v>
      </c>
      <c r="H24" s="9">
        <f t="shared" si="1"/>
        <v>63.65175</v>
      </c>
      <c r="I24" s="9">
        <f t="shared" si="1"/>
        <v>60.66325</v>
      </c>
      <c r="J24" s="9">
        <f t="shared" si="1"/>
        <v>67.101</v>
      </c>
      <c r="K24" s="9">
        <f t="shared" si="1"/>
        <v>63.1085</v>
      </c>
      <c r="L24" s="9">
        <f t="shared" si="1"/>
        <v>58.88575</v>
      </c>
      <c r="M24" s="9">
        <f t="shared" si="1"/>
        <v>63.0965</v>
      </c>
      <c r="N24" s="9">
        <f t="shared" si="1"/>
        <v>66.0975</v>
      </c>
      <c r="O24" s="9">
        <f t="shared" si="1"/>
        <v>66.4975</v>
      </c>
      <c r="P24" s="9">
        <f t="shared" si="1"/>
        <v>63.0785</v>
      </c>
      <c r="Q24" s="9">
        <f t="shared" si="1"/>
        <v>55.165</v>
      </c>
    </row>
    <row r="25" ht="23.25" spans="1:17">
      <c r="A25" s="10" t="s">
        <v>19</v>
      </c>
      <c r="B25" s="23">
        <f>(B24-B2)/B2</f>
        <v>-0.00982346935665738</v>
      </c>
      <c r="C25" s="23">
        <f>(C24-C2)/C2</f>
        <v>-0.00455661005887409</v>
      </c>
      <c r="D25" s="23">
        <f t="shared" ref="B25:Q25" si="2">(D24-D2)/D2</f>
        <v>-0.00950212182978576</v>
      </c>
      <c r="E25" s="23">
        <f t="shared" si="2"/>
        <v>0.0119142585278743</v>
      </c>
      <c r="F25" s="23">
        <f t="shared" si="2"/>
        <v>-0.00809766570161836</v>
      </c>
      <c r="G25" s="23">
        <f t="shared" si="2"/>
        <v>-0.0112954252465071</v>
      </c>
      <c r="H25" s="23">
        <f t="shared" si="2"/>
        <v>-0.0169745915784246</v>
      </c>
      <c r="I25" s="23">
        <f t="shared" si="2"/>
        <v>-0.024004051440126</v>
      </c>
      <c r="J25" s="23">
        <f t="shared" si="2"/>
        <v>-0.00343479757781959</v>
      </c>
      <c r="K25" s="23">
        <f t="shared" si="2"/>
        <v>-0.0194037546085064</v>
      </c>
      <c r="L25" s="23">
        <f t="shared" si="2"/>
        <v>-0.0277811340295156</v>
      </c>
      <c r="M25" s="23">
        <f t="shared" si="2"/>
        <v>-0.00965076873684565</v>
      </c>
      <c r="N25" s="23">
        <f t="shared" si="2"/>
        <v>0.0147486758640906</v>
      </c>
      <c r="O25" s="23">
        <f t="shared" si="2"/>
        <v>0.0143772404850886</v>
      </c>
      <c r="P25" s="23">
        <f t="shared" si="2"/>
        <v>-0.00778129714502266</v>
      </c>
      <c r="Q25" s="23">
        <f t="shared" si="2"/>
        <v>-0.0694876788370419</v>
      </c>
    </row>
    <row r="26" ht="15"/>
  </sheetData>
  <conditionalFormatting sqref="B25:Q25">
    <cfRule type="cellIs" dxfId="3" priority="1" operator="equal">
      <formula>0</formula>
    </cfRule>
    <cfRule type="cellIs" dxfId="4" priority="2" operator="lessThan">
      <formula>0</formula>
    </cfRule>
    <cfRule type="cellIs" dxfId="5" priority="3" operator="greaterThan">
      <formula>0</formula>
    </cfRule>
  </conditionalFormatting>
  <pageMargins left="0.75" right="0.75" top="1" bottom="1" header="0.5" footer="0.5"/>
  <pageSetup paperSize="9" orientation="portrait"/>
  <headerFooter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Q29"/>
  <sheetViews>
    <sheetView workbookViewId="0">
      <selection activeCell="A1" sqref="A1:Q28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ht="22.5" spans="1:17">
      <c r="A2" s="3" t="s">
        <v>29</v>
      </c>
      <c r="B2" s="9">
        <v>63.5338095238095</v>
      </c>
      <c r="C2" s="9">
        <v>67.5759090909091</v>
      </c>
      <c r="D2" s="9">
        <v>70.0095454545455</v>
      </c>
      <c r="E2" s="9">
        <v>486.186363636364</v>
      </c>
      <c r="F2" s="9">
        <v>70.0111363636364</v>
      </c>
      <c r="G2" s="9">
        <v>70.0815909090909</v>
      </c>
      <c r="H2" s="9">
        <v>68.0175</v>
      </c>
      <c r="I2" s="9">
        <v>66.7665909090909</v>
      </c>
      <c r="J2" s="9">
        <v>70.7277272727273</v>
      </c>
      <c r="K2" s="9">
        <v>68.1913636363636</v>
      </c>
      <c r="L2" s="9">
        <v>65.5452272727273</v>
      </c>
      <c r="M2" s="9">
        <v>66.3922727272727</v>
      </c>
      <c r="N2" s="9">
        <v>68.1209090909091</v>
      </c>
      <c r="O2" s="9">
        <v>68.6209090909091</v>
      </c>
      <c r="P2" s="9">
        <v>66.2868181818182</v>
      </c>
      <c r="Q2" s="9">
        <v>63.305</v>
      </c>
    </row>
    <row r="3" spans="1:17">
      <c r="A3" s="5">
        <v>20251001</v>
      </c>
      <c r="B3" s="6">
        <v>61.78</v>
      </c>
      <c r="C3" s="6">
        <v>65.35</v>
      </c>
      <c r="D3" s="6">
        <v>66.69</v>
      </c>
      <c r="E3" s="6"/>
      <c r="F3" s="6">
        <v>66.55</v>
      </c>
      <c r="G3" s="6">
        <v>66.55</v>
      </c>
      <c r="H3" s="6">
        <v>67.425</v>
      </c>
      <c r="I3" s="6">
        <v>65.41</v>
      </c>
      <c r="J3" s="6">
        <v>69.51</v>
      </c>
      <c r="K3" s="6">
        <v>67.11</v>
      </c>
      <c r="L3" s="6">
        <v>64.035</v>
      </c>
      <c r="M3" s="6">
        <v>65.37</v>
      </c>
      <c r="N3" s="6">
        <v>66.99</v>
      </c>
      <c r="O3" s="6">
        <v>67.49</v>
      </c>
      <c r="P3" s="6">
        <v>65.51</v>
      </c>
      <c r="Q3" s="6">
        <v>60.99</v>
      </c>
    </row>
    <row r="4" spans="1:17">
      <c r="A4" s="5">
        <v>20251002</v>
      </c>
      <c r="B4" s="6">
        <v>60.48</v>
      </c>
      <c r="C4" s="6">
        <v>64.11</v>
      </c>
      <c r="D4" s="6">
        <v>65.39</v>
      </c>
      <c r="E4" s="6"/>
      <c r="F4" s="6">
        <v>65.29</v>
      </c>
      <c r="G4" s="6">
        <v>65.29</v>
      </c>
      <c r="H4" s="6">
        <v>66.005</v>
      </c>
      <c r="I4" s="6">
        <v>64.34</v>
      </c>
      <c r="J4" s="6">
        <v>68.83</v>
      </c>
      <c r="K4" s="6">
        <v>66.43</v>
      </c>
      <c r="L4" s="6">
        <v>62.92</v>
      </c>
      <c r="M4" s="6">
        <v>64.23</v>
      </c>
      <c r="N4" s="6">
        <v>65.95</v>
      </c>
      <c r="O4" s="6">
        <v>66.45</v>
      </c>
      <c r="P4" s="6">
        <v>64.83</v>
      </c>
      <c r="Q4" s="6">
        <v>60.05</v>
      </c>
    </row>
    <row r="5" spans="1:17">
      <c r="A5" s="5">
        <v>20251003</v>
      </c>
      <c r="B5" s="6">
        <v>60.88</v>
      </c>
      <c r="C5" s="6">
        <v>64.53</v>
      </c>
      <c r="D5" s="6">
        <v>64.8</v>
      </c>
      <c r="E5" s="6"/>
      <c r="F5" s="6">
        <v>64.69</v>
      </c>
      <c r="G5" s="6">
        <v>64.87</v>
      </c>
      <c r="H5" s="6">
        <v>66.485</v>
      </c>
      <c r="I5" s="6">
        <v>63.58</v>
      </c>
      <c r="J5" s="6">
        <v>67.9</v>
      </c>
      <c r="K5" s="6">
        <v>65.5</v>
      </c>
      <c r="L5" s="6">
        <v>62.15</v>
      </c>
      <c r="M5" s="6">
        <v>64.59</v>
      </c>
      <c r="N5" s="6">
        <v>65.34</v>
      </c>
      <c r="O5" s="6">
        <v>65.84</v>
      </c>
      <c r="P5" s="6">
        <v>64</v>
      </c>
      <c r="Q5" s="6">
        <v>59.74</v>
      </c>
    </row>
    <row r="6" spans="1:17">
      <c r="A6" s="5">
        <v>20251006</v>
      </c>
      <c r="B6" s="6">
        <v>61.69</v>
      </c>
      <c r="C6" s="6">
        <v>65.47</v>
      </c>
      <c r="D6" s="6">
        <v>65.67</v>
      </c>
      <c r="E6" s="6"/>
      <c r="F6" s="6">
        <v>65.62</v>
      </c>
      <c r="G6" s="6">
        <v>65.71</v>
      </c>
      <c r="H6" s="6">
        <v>67.295</v>
      </c>
      <c r="I6" s="6">
        <v>64.175</v>
      </c>
      <c r="J6" s="6">
        <v>68.44</v>
      </c>
      <c r="K6" s="6">
        <v>65.99</v>
      </c>
      <c r="L6" s="6">
        <v>62.735</v>
      </c>
      <c r="M6" s="6">
        <v>65.23</v>
      </c>
      <c r="N6" s="6">
        <v>65.87</v>
      </c>
      <c r="O6" s="6">
        <v>66.37</v>
      </c>
      <c r="P6" s="6">
        <v>64.49</v>
      </c>
      <c r="Q6" s="6">
        <v>60.42</v>
      </c>
    </row>
    <row r="7" spans="1:17">
      <c r="A7" s="5">
        <v>20251007</v>
      </c>
      <c r="B7" s="6">
        <v>61.73</v>
      </c>
      <c r="C7" s="6">
        <v>65.45</v>
      </c>
      <c r="D7" s="6">
        <v>66.01</v>
      </c>
      <c r="E7" s="6"/>
      <c r="F7" s="6">
        <v>65.66</v>
      </c>
      <c r="G7" s="6">
        <v>66.08</v>
      </c>
      <c r="H7" s="6">
        <v>67.09</v>
      </c>
      <c r="I7" s="6">
        <v>64.51</v>
      </c>
      <c r="J7" s="6">
        <v>68.8</v>
      </c>
      <c r="K7" s="6">
        <v>66.4</v>
      </c>
      <c r="L7" s="6">
        <v>63.115</v>
      </c>
      <c r="M7" s="6">
        <v>65.12</v>
      </c>
      <c r="N7" s="6">
        <v>66.28</v>
      </c>
      <c r="O7" s="6">
        <v>66.68</v>
      </c>
      <c r="P7" s="6">
        <v>64.9</v>
      </c>
      <c r="Q7" s="6">
        <v>60.83</v>
      </c>
    </row>
    <row r="8" spans="1:17">
      <c r="A8" s="5">
        <v>20251008</v>
      </c>
      <c r="B8" s="6">
        <v>62.55</v>
      </c>
      <c r="C8" s="6">
        <v>66.25</v>
      </c>
      <c r="D8" s="6">
        <v>66.21</v>
      </c>
      <c r="E8" s="6"/>
      <c r="F8" s="6">
        <v>65.85</v>
      </c>
      <c r="G8" s="6">
        <v>66.16</v>
      </c>
      <c r="H8" s="6">
        <v>68.33</v>
      </c>
      <c r="I8" s="6">
        <v>64.735</v>
      </c>
      <c r="J8" s="6">
        <v>69</v>
      </c>
      <c r="K8" s="6">
        <v>66.55</v>
      </c>
      <c r="L8" s="6">
        <v>63.27</v>
      </c>
      <c r="M8" s="6">
        <v>66.28</v>
      </c>
      <c r="N8" s="6">
        <v>66.26</v>
      </c>
      <c r="O8" s="6">
        <v>66.66</v>
      </c>
      <c r="P8" s="6">
        <v>65.05</v>
      </c>
      <c r="Q8" s="6">
        <v>60.86</v>
      </c>
    </row>
    <row r="9" spans="1:17">
      <c r="A9" s="5">
        <v>20251009</v>
      </c>
      <c r="B9" s="6">
        <v>61.51</v>
      </c>
      <c r="C9" s="6">
        <v>65.22</v>
      </c>
      <c r="D9" s="6">
        <v>66.71</v>
      </c>
      <c r="E9" s="6">
        <v>468.7</v>
      </c>
      <c r="F9" s="6">
        <v>66.44</v>
      </c>
      <c r="G9" s="6">
        <v>66.71</v>
      </c>
      <c r="H9" s="6">
        <v>67.655</v>
      </c>
      <c r="I9" s="6">
        <v>64.915</v>
      </c>
      <c r="J9" s="6">
        <v>69.09</v>
      </c>
      <c r="K9" s="6">
        <v>66.69</v>
      </c>
      <c r="L9" s="6">
        <v>63.33</v>
      </c>
      <c r="M9" s="6">
        <v>65.02</v>
      </c>
      <c r="N9" s="6">
        <v>66.42</v>
      </c>
      <c r="O9" s="6">
        <v>66.82</v>
      </c>
      <c r="P9" s="6">
        <v>65.34</v>
      </c>
      <c r="Q9" s="6">
        <v>61.12</v>
      </c>
    </row>
    <row r="10" spans="1:17">
      <c r="A10" s="5">
        <v>20251010</v>
      </c>
      <c r="B10" s="6">
        <v>58.9</v>
      </c>
      <c r="C10" s="6">
        <v>62.73</v>
      </c>
      <c r="D10" s="6">
        <v>65.23</v>
      </c>
      <c r="E10" s="6">
        <v>466.2</v>
      </c>
      <c r="F10" s="6">
        <v>64.89</v>
      </c>
      <c r="G10" s="6">
        <v>65.26</v>
      </c>
      <c r="H10" s="6">
        <v>64.74</v>
      </c>
      <c r="I10" s="6">
        <v>63.55</v>
      </c>
      <c r="J10" s="6">
        <v>68</v>
      </c>
      <c r="K10" s="6">
        <v>65.5</v>
      </c>
      <c r="L10" s="6">
        <v>61.935</v>
      </c>
      <c r="M10" s="6">
        <v>62.33</v>
      </c>
      <c r="N10" s="6">
        <v>65.3</v>
      </c>
      <c r="O10" s="6">
        <v>65.7</v>
      </c>
      <c r="P10" s="6">
        <v>64.25</v>
      </c>
      <c r="Q10" s="6">
        <v>60.05</v>
      </c>
    </row>
    <row r="11" spans="1:17">
      <c r="A11" s="5">
        <v>20251013</v>
      </c>
      <c r="B11" s="6">
        <v>59.49</v>
      </c>
      <c r="C11" s="6">
        <v>63.32</v>
      </c>
      <c r="D11" s="6">
        <v>63.9</v>
      </c>
      <c r="E11" s="6">
        <v>451.5</v>
      </c>
      <c r="F11" s="6">
        <v>63.45</v>
      </c>
      <c r="G11" s="6">
        <v>63.82</v>
      </c>
      <c r="H11" s="6">
        <v>64.255</v>
      </c>
      <c r="I11" s="6">
        <v>62.16</v>
      </c>
      <c r="J11" s="6">
        <v>66.5</v>
      </c>
      <c r="K11" s="6">
        <v>63.8</v>
      </c>
      <c r="L11" s="6">
        <v>60.59</v>
      </c>
      <c r="M11" s="6">
        <v>62.63</v>
      </c>
      <c r="N11" s="6">
        <v>64.06</v>
      </c>
      <c r="O11" s="6">
        <v>64.46</v>
      </c>
      <c r="P11" s="6">
        <v>62.75</v>
      </c>
      <c r="Q11" s="6">
        <v>58.91</v>
      </c>
    </row>
    <row r="12" spans="1:17">
      <c r="A12" s="5">
        <v>20251014</v>
      </c>
      <c r="B12" s="6">
        <v>58.7</v>
      </c>
      <c r="C12" s="6">
        <v>62.39</v>
      </c>
      <c r="D12" s="6">
        <v>62.74</v>
      </c>
      <c r="E12" s="6">
        <v>451.8</v>
      </c>
      <c r="F12" s="6">
        <v>62.52</v>
      </c>
      <c r="G12" s="6">
        <v>62.81</v>
      </c>
      <c r="H12" s="6">
        <v>62.58</v>
      </c>
      <c r="I12" s="6">
        <v>60.68</v>
      </c>
      <c r="J12" s="6">
        <v>65.25</v>
      </c>
      <c r="K12" s="6">
        <v>62.4</v>
      </c>
      <c r="L12" s="6">
        <v>59.21</v>
      </c>
      <c r="M12" s="6">
        <v>61.21</v>
      </c>
      <c r="N12" s="6">
        <v>63.36</v>
      </c>
      <c r="O12" s="6">
        <v>63.76</v>
      </c>
      <c r="P12" s="6">
        <v>61.55</v>
      </c>
      <c r="Q12" s="6">
        <v>58.21</v>
      </c>
    </row>
    <row r="13" spans="1:17">
      <c r="A13" s="5">
        <v>20251015</v>
      </c>
      <c r="B13" s="6">
        <v>58.27</v>
      </c>
      <c r="C13" s="6">
        <v>61.91</v>
      </c>
      <c r="D13" s="6">
        <v>62.89</v>
      </c>
      <c r="E13" s="6">
        <v>443.2</v>
      </c>
      <c r="F13" s="6">
        <v>62.53</v>
      </c>
      <c r="G13" s="6">
        <v>62.82</v>
      </c>
      <c r="H13" s="6">
        <v>62.61</v>
      </c>
      <c r="I13" s="6">
        <v>60.785</v>
      </c>
      <c r="J13" s="6">
        <v>65.27</v>
      </c>
      <c r="K13" s="6">
        <v>62.42</v>
      </c>
      <c r="L13" s="6">
        <v>59.39</v>
      </c>
      <c r="M13" s="6">
        <v>61.36</v>
      </c>
      <c r="N13" s="6">
        <v>63.3</v>
      </c>
      <c r="O13" s="6">
        <v>63.7</v>
      </c>
      <c r="P13" s="6">
        <v>61.57</v>
      </c>
      <c r="Q13" s="6">
        <v>58.45</v>
      </c>
    </row>
    <row r="14" spans="1:17">
      <c r="A14" s="5">
        <v>20251016</v>
      </c>
      <c r="B14" s="6">
        <v>57.46</v>
      </c>
      <c r="C14" s="6">
        <v>61.06</v>
      </c>
      <c r="D14" s="6">
        <v>63</v>
      </c>
      <c r="E14" s="6">
        <v>443.2</v>
      </c>
      <c r="F14" s="6">
        <v>62.44</v>
      </c>
      <c r="G14" s="6">
        <v>63.05</v>
      </c>
      <c r="H14" s="6">
        <v>61.78</v>
      </c>
      <c r="I14" s="6">
        <v>60.495</v>
      </c>
      <c r="J14" s="6">
        <v>65.29</v>
      </c>
      <c r="K14" s="6">
        <v>62.34</v>
      </c>
      <c r="L14" s="6">
        <v>59.17</v>
      </c>
      <c r="M14" s="6">
        <v>61.16</v>
      </c>
      <c r="N14" s="6">
        <v>63.3</v>
      </c>
      <c r="O14" s="6">
        <v>63.7</v>
      </c>
      <c r="P14" s="6">
        <v>61.59</v>
      </c>
      <c r="Q14" s="6">
        <v>58.45</v>
      </c>
    </row>
    <row r="15" spans="1:17">
      <c r="A15" s="5">
        <v>20251017</v>
      </c>
      <c r="B15" s="6">
        <v>57.54</v>
      </c>
      <c r="C15" s="6">
        <v>61.29</v>
      </c>
      <c r="D15" s="6">
        <v>61.62</v>
      </c>
      <c r="E15" s="6">
        <v>437.9</v>
      </c>
      <c r="F15" s="6">
        <v>61.32</v>
      </c>
      <c r="G15" s="6">
        <v>61.93</v>
      </c>
      <c r="H15" s="6">
        <v>60.905</v>
      </c>
      <c r="I15" s="6">
        <v>59.065</v>
      </c>
      <c r="J15" s="6">
        <v>64.01</v>
      </c>
      <c r="K15" s="6">
        <v>61.06</v>
      </c>
      <c r="L15" s="6">
        <v>57.74</v>
      </c>
      <c r="M15" s="6">
        <v>60.4</v>
      </c>
      <c r="N15" s="6">
        <v>62.19</v>
      </c>
      <c r="O15" s="6">
        <v>62.59</v>
      </c>
      <c r="P15" s="6">
        <v>60.31</v>
      </c>
      <c r="Q15" s="6">
        <v>57.29</v>
      </c>
    </row>
    <row r="16" spans="1:17">
      <c r="A16" s="5">
        <v>20251020</v>
      </c>
      <c r="B16" s="6">
        <v>57.52</v>
      </c>
      <c r="C16" s="6">
        <v>61.01</v>
      </c>
      <c r="D16" s="6">
        <v>62.04</v>
      </c>
      <c r="E16" s="6">
        <v>436.3</v>
      </c>
      <c r="F16" s="6"/>
      <c r="G16" s="6"/>
      <c r="H16" s="6">
        <v>60.57</v>
      </c>
      <c r="I16" s="6"/>
      <c r="J16" s="6"/>
      <c r="K16" s="6"/>
      <c r="L16" s="6"/>
      <c r="M16" s="6"/>
      <c r="N16" s="6"/>
      <c r="O16" s="6"/>
      <c r="P16" s="6"/>
      <c r="Q16" s="6"/>
    </row>
    <row r="17" spans="1:17">
      <c r="A17" s="5">
        <v>20251021</v>
      </c>
      <c r="B17" s="6">
        <v>57.82</v>
      </c>
      <c r="C17" s="6">
        <v>61.32</v>
      </c>
      <c r="D17" s="6">
        <v>62.23</v>
      </c>
      <c r="E17" s="6">
        <v>433</v>
      </c>
      <c r="F17" s="6">
        <v>61.81</v>
      </c>
      <c r="G17" s="6">
        <v>62.3</v>
      </c>
      <c r="H17" s="6">
        <v>61.085</v>
      </c>
      <c r="I17" s="6">
        <v>58.56</v>
      </c>
      <c r="J17" s="6">
        <v>64.04</v>
      </c>
      <c r="K17" s="6">
        <v>60.99</v>
      </c>
      <c r="L17" s="6">
        <v>57.115</v>
      </c>
      <c r="M17" s="6">
        <v>60.74</v>
      </c>
      <c r="N17" s="6">
        <v>62.35</v>
      </c>
      <c r="O17" s="6">
        <v>62.75</v>
      </c>
      <c r="P17" s="6">
        <v>60.44</v>
      </c>
      <c r="Q17" s="6">
        <v>57.45</v>
      </c>
    </row>
    <row r="18" spans="1:17">
      <c r="A18" s="5">
        <v>20251022</v>
      </c>
      <c r="B18" s="6">
        <v>58.5</v>
      </c>
      <c r="C18" s="6">
        <v>62.59</v>
      </c>
      <c r="D18" s="6">
        <v>63.48</v>
      </c>
      <c r="E18" s="6">
        <v>436.6</v>
      </c>
      <c r="F18" s="6">
        <v>63.48</v>
      </c>
      <c r="G18" s="6">
        <v>63.48</v>
      </c>
      <c r="H18" s="6">
        <v>62.205</v>
      </c>
      <c r="I18" s="6">
        <v>59.575</v>
      </c>
      <c r="J18" s="6">
        <v>65.11</v>
      </c>
      <c r="K18" s="6">
        <v>61.96</v>
      </c>
      <c r="L18" s="6">
        <v>58.01</v>
      </c>
      <c r="M18" s="6">
        <v>61.88</v>
      </c>
      <c r="N18" s="6">
        <v>63.55</v>
      </c>
      <c r="O18" s="6">
        <v>63.95</v>
      </c>
      <c r="P18" s="6">
        <v>61.61</v>
      </c>
      <c r="Q18" s="6">
        <v>58.6</v>
      </c>
    </row>
    <row r="19" spans="1:17">
      <c r="A19" s="5">
        <v>20251023</v>
      </c>
      <c r="B19" s="6">
        <v>61.79</v>
      </c>
      <c r="C19" s="6">
        <v>65.99</v>
      </c>
      <c r="D19" s="6">
        <v>68.16</v>
      </c>
      <c r="E19" s="6">
        <v>453.2</v>
      </c>
      <c r="F19" s="6">
        <v>67.75</v>
      </c>
      <c r="G19" s="6">
        <v>67.84</v>
      </c>
      <c r="H19" s="6">
        <v>65.53</v>
      </c>
      <c r="I19" s="6">
        <v>61.785</v>
      </c>
      <c r="J19" s="6">
        <v>67.5</v>
      </c>
      <c r="K19" s="6">
        <v>64.15</v>
      </c>
      <c r="L19" s="6">
        <v>59.99</v>
      </c>
      <c r="M19" s="6">
        <v>65.09</v>
      </c>
      <c r="N19" s="6">
        <v>66.39</v>
      </c>
      <c r="O19" s="6">
        <v>66.79</v>
      </c>
      <c r="P19" s="6">
        <v>64</v>
      </c>
      <c r="Q19" s="6">
        <v>60.39</v>
      </c>
    </row>
    <row r="20" spans="1:17">
      <c r="A20" s="5">
        <v>20251024</v>
      </c>
      <c r="B20" s="6">
        <v>61.5</v>
      </c>
      <c r="C20" s="6">
        <v>65.94</v>
      </c>
      <c r="D20" s="6">
        <v>68.31</v>
      </c>
      <c r="E20" s="6">
        <v>461.8</v>
      </c>
      <c r="F20" s="6">
        <v>68.84</v>
      </c>
      <c r="G20" s="6">
        <v>68.84</v>
      </c>
      <c r="H20" s="6">
        <v>66.645</v>
      </c>
      <c r="I20" s="6">
        <v>62.6</v>
      </c>
      <c r="J20" s="6">
        <v>69.04</v>
      </c>
      <c r="K20" s="6">
        <v>65.39</v>
      </c>
      <c r="L20" s="6">
        <v>60.605</v>
      </c>
      <c r="M20" s="6">
        <v>65.95</v>
      </c>
      <c r="N20" s="6">
        <v>67.24</v>
      </c>
      <c r="O20" s="6">
        <v>67.64</v>
      </c>
      <c r="P20" s="6">
        <v>65.34</v>
      </c>
      <c r="Q20" s="6">
        <v>60.24</v>
      </c>
    </row>
    <row r="21" spans="1:17">
      <c r="A21" s="5">
        <v>20251027</v>
      </c>
      <c r="B21" s="6">
        <v>61.31</v>
      </c>
      <c r="C21" s="6">
        <v>65.62</v>
      </c>
      <c r="D21" s="6">
        <v>67.84</v>
      </c>
      <c r="E21" s="6">
        <v>461.4</v>
      </c>
      <c r="F21" s="6">
        <v>67.66</v>
      </c>
      <c r="G21" s="6">
        <v>67.66</v>
      </c>
      <c r="H21" s="6">
        <v>66</v>
      </c>
      <c r="I21" s="6">
        <v>62.085</v>
      </c>
      <c r="J21" s="6">
        <v>68.74</v>
      </c>
      <c r="K21" s="6">
        <v>65.04</v>
      </c>
      <c r="L21" s="6">
        <v>60.125</v>
      </c>
      <c r="M21" s="6">
        <v>65.37</v>
      </c>
      <c r="N21" s="6">
        <v>66.36</v>
      </c>
      <c r="O21" s="6">
        <v>66.76</v>
      </c>
      <c r="P21" s="6">
        <v>64.94</v>
      </c>
      <c r="Q21" s="6">
        <v>59.26</v>
      </c>
    </row>
    <row r="22" spans="1:17">
      <c r="A22" s="5">
        <v>20251028</v>
      </c>
      <c r="B22" s="6">
        <v>60.15</v>
      </c>
      <c r="C22" s="6">
        <v>64.4</v>
      </c>
      <c r="D22" s="6">
        <v>65.35</v>
      </c>
      <c r="E22" s="6">
        <v>465</v>
      </c>
      <c r="F22" s="6">
        <v>64.96</v>
      </c>
      <c r="G22" s="6">
        <v>65.3</v>
      </c>
      <c r="H22" s="6">
        <v>64.195</v>
      </c>
      <c r="I22" s="6">
        <v>60.65</v>
      </c>
      <c r="J22" s="6">
        <v>67.85</v>
      </c>
      <c r="K22" s="6">
        <v>64.1</v>
      </c>
      <c r="L22" s="6">
        <v>58.715</v>
      </c>
      <c r="M22" s="6">
        <v>63.74</v>
      </c>
      <c r="N22" s="6">
        <v>65.3</v>
      </c>
      <c r="O22" s="6">
        <v>65.7</v>
      </c>
      <c r="P22" s="6">
        <v>64.05</v>
      </c>
      <c r="Q22" s="6">
        <v>58.1</v>
      </c>
    </row>
    <row r="23" spans="1:17">
      <c r="A23" s="5">
        <v>20251029</v>
      </c>
      <c r="B23" s="6">
        <v>60.48</v>
      </c>
      <c r="C23" s="6">
        <v>64.92</v>
      </c>
      <c r="D23" s="6">
        <v>65.05</v>
      </c>
      <c r="E23" s="6">
        <v>455.5</v>
      </c>
      <c r="F23" s="6">
        <v>64.16</v>
      </c>
      <c r="G23" s="6">
        <v>64.5</v>
      </c>
      <c r="H23" s="6">
        <v>65.37</v>
      </c>
      <c r="I23" s="6">
        <v>60.405</v>
      </c>
      <c r="J23" s="6">
        <v>67.39</v>
      </c>
      <c r="K23" s="6">
        <v>63.69</v>
      </c>
      <c r="L23" s="6">
        <v>58.665</v>
      </c>
      <c r="M23" s="6">
        <v>64.78</v>
      </c>
      <c r="N23" s="6">
        <v>65.14</v>
      </c>
      <c r="O23" s="6">
        <v>65.54</v>
      </c>
      <c r="P23" s="6">
        <v>63.74</v>
      </c>
      <c r="Q23" s="6">
        <v>57.64</v>
      </c>
    </row>
    <row r="24" spans="1:17">
      <c r="A24" s="5">
        <v>20251030</v>
      </c>
      <c r="B24" s="6">
        <v>60.57</v>
      </c>
      <c r="C24" s="6">
        <v>65</v>
      </c>
      <c r="D24" s="6">
        <v>66.62</v>
      </c>
      <c r="E24" s="6">
        <v>455.8</v>
      </c>
      <c r="F24" s="6">
        <v>66.42</v>
      </c>
      <c r="G24" s="6">
        <v>66.42</v>
      </c>
      <c r="H24" s="6">
        <v>65.245</v>
      </c>
      <c r="I24" s="6">
        <v>61.305</v>
      </c>
      <c r="J24" s="6">
        <v>67.69</v>
      </c>
      <c r="K24" s="6">
        <v>63.99</v>
      </c>
      <c r="L24" s="6">
        <v>59.54</v>
      </c>
      <c r="M24" s="6">
        <v>64.6</v>
      </c>
      <c r="N24" s="6">
        <v>65.7</v>
      </c>
      <c r="O24" s="6">
        <v>66.1</v>
      </c>
      <c r="P24" s="6">
        <v>63.99</v>
      </c>
      <c r="Q24" s="6">
        <v>58.3</v>
      </c>
    </row>
    <row r="25" spans="1:17">
      <c r="A25" s="5">
        <v>20251031</v>
      </c>
      <c r="B25" s="6">
        <v>60.98</v>
      </c>
      <c r="C25" s="6">
        <v>65.07</v>
      </c>
      <c r="D25" s="6">
        <v>66.41</v>
      </c>
      <c r="E25" s="6">
        <v>450.8</v>
      </c>
      <c r="F25" s="6">
        <v>67.65</v>
      </c>
      <c r="G25" s="6">
        <v>67.65</v>
      </c>
      <c r="H25" s="6">
        <v>65.27</v>
      </c>
      <c r="I25" s="6">
        <v>62.05</v>
      </c>
      <c r="J25" s="6">
        <v>68.06</v>
      </c>
      <c r="K25" s="6">
        <v>64.36</v>
      </c>
      <c r="L25" s="6">
        <v>60.15</v>
      </c>
      <c r="M25" s="6">
        <v>64.57</v>
      </c>
      <c r="N25" s="6">
        <v>66.36</v>
      </c>
      <c r="O25" s="6">
        <v>66.76</v>
      </c>
      <c r="P25" s="6">
        <v>64.36</v>
      </c>
      <c r="Q25" s="6">
        <v>58.91</v>
      </c>
    </row>
    <row r="26" spans="1:17">
      <c r="A26" s="7" t="s">
        <v>17</v>
      </c>
      <c r="B26" s="8">
        <f>AVERAGE(B21:B25)</f>
        <v>60.698</v>
      </c>
      <c r="C26" s="8">
        <f t="shared" ref="C26:Q26" si="0">AVERAGE(C21:C25)</f>
        <v>65.002</v>
      </c>
      <c r="D26" s="8">
        <f t="shared" si="0"/>
        <v>66.254</v>
      </c>
      <c r="E26" s="8">
        <f t="shared" si="0"/>
        <v>457.7</v>
      </c>
      <c r="F26" s="8">
        <f t="shared" si="0"/>
        <v>66.17</v>
      </c>
      <c r="G26" s="8">
        <f t="shared" si="0"/>
        <v>66.306</v>
      </c>
      <c r="H26" s="8">
        <f t="shared" si="0"/>
        <v>65.216</v>
      </c>
      <c r="I26" s="8">
        <f t="shared" si="0"/>
        <v>61.299</v>
      </c>
      <c r="J26" s="8">
        <f t="shared" si="0"/>
        <v>67.946</v>
      </c>
      <c r="K26" s="8">
        <f t="shared" si="0"/>
        <v>64.236</v>
      </c>
      <c r="L26" s="8">
        <f t="shared" si="0"/>
        <v>59.439</v>
      </c>
      <c r="M26" s="8">
        <f t="shared" si="0"/>
        <v>64.612</v>
      </c>
      <c r="N26" s="8">
        <f t="shared" si="0"/>
        <v>65.772</v>
      </c>
      <c r="O26" s="8">
        <f t="shared" si="0"/>
        <v>66.172</v>
      </c>
      <c r="P26" s="8">
        <f t="shared" si="0"/>
        <v>64.216</v>
      </c>
      <c r="Q26" s="8">
        <f t="shared" si="0"/>
        <v>58.442</v>
      </c>
    </row>
    <row r="27" ht="22.5" spans="1:17">
      <c r="A27" s="3" t="s">
        <v>27</v>
      </c>
      <c r="B27" s="9">
        <f>AVERAGE(B3:B25)</f>
        <v>60.0695652173913</v>
      </c>
      <c r="C27" s="9">
        <f t="shared" ref="C27:Q27" si="1">AVERAGE(C3:C25)</f>
        <v>63.9539130434783</v>
      </c>
      <c r="D27" s="9">
        <f t="shared" si="1"/>
        <v>65.0586956521739</v>
      </c>
      <c r="E27" s="9">
        <f t="shared" si="1"/>
        <v>451.288235294118</v>
      </c>
      <c r="F27" s="9">
        <f t="shared" si="1"/>
        <v>64.9990909090909</v>
      </c>
      <c r="G27" s="9">
        <f t="shared" si="1"/>
        <v>65.2295454545455</v>
      </c>
      <c r="H27" s="9">
        <f t="shared" si="1"/>
        <v>64.7508695652174</v>
      </c>
      <c r="I27" s="9">
        <f t="shared" si="1"/>
        <v>62.1552272727273</v>
      </c>
      <c r="J27" s="9">
        <f t="shared" si="1"/>
        <v>67.3322727272727</v>
      </c>
      <c r="K27" s="9">
        <f t="shared" si="1"/>
        <v>64.3572727272727</v>
      </c>
      <c r="L27" s="9">
        <f t="shared" si="1"/>
        <v>60.5684090909091</v>
      </c>
      <c r="M27" s="9">
        <f t="shared" si="1"/>
        <v>63.7113636363636</v>
      </c>
      <c r="N27" s="9">
        <f t="shared" si="1"/>
        <v>65.1368181818182</v>
      </c>
      <c r="O27" s="9">
        <f t="shared" si="1"/>
        <v>65.555</v>
      </c>
      <c r="P27" s="9">
        <f t="shared" si="1"/>
        <v>63.5731818181818</v>
      </c>
      <c r="Q27" s="9">
        <f t="shared" si="1"/>
        <v>59.2845454545455</v>
      </c>
    </row>
    <row r="28" ht="23.25" spans="1:17">
      <c r="A28" s="10" t="s">
        <v>19</v>
      </c>
      <c r="B28" s="23">
        <f>(B27-B2)/B2</f>
        <v>-0.0545259969830704</v>
      </c>
      <c r="C28" s="23">
        <f t="shared" ref="C28:Q28" si="2">(C27-C2)/C2</f>
        <v>-0.0535989244711189</v>
      </c>
      <c r="D28" s="23">
        <f t="shared" si="2"/>
        <v>-0.0707167825505447</v>
      </c>
      <c r="E28" s="23">
        <f t="shared" si="2"/>
        <v>-0.0717793236347276</v>
      </c>
      <c r="F28" s="23">
        <f t="shared" si="2"/>
        <v>-0.0715892601501706</v>
      </c>
      <c r="G28" s="23">
        <f t="shared" si="2"/>
        <v>-0.069234236717592</v>
      </c>
      <c r="H28" s="23">
        <f t="shared" si="2"/>
        <v>-0.0480263231489339</v>
      </c>
      <c r="I28" s="23">
        <f t="shared" si="2"/>
        <v>-0.0690669326316578</v>
      </c>
      <c r="J28" s="23">
        <f t="shared" si="2"/>
        <v>-0.048007403551391</v>
      </c>
      <c r="K28" s="23">
        <f t="shared" si="2"/>
        <v>-0.0562254617686856</v>
      </c>
      <c r="L28" s="23">
        <f t="shared" si="2"/>
        <v>-0.075929528188378</v>
      </c>
      <c r="M28" s="23">
        <f t="shared" si="2"/>
        <v>-0.0403798360981221</v>
      </c>
      <c r="N28" s="23">
        <f t="shared" si="2"/>
        <v>-0.0438057998478643</v>
      </c>
      <c r="O28" s="23">
        <f t="shared" si="2"/>
        <v>-0.0446789343295843</v>
      </c>
      <c r="P28" s="23">
        <f t="shared" si="2"/>
        <v>-0.0409377978619087</v>
      </c>
      <c r="Q28" s="23">
        <f t="shared" si="2"/>
        <v>-0.0635092732873316</v>
      </c>
    </row>
    <row r="29" ht="15"/>
  </sheetData>
  <conditionalFormatting sqref="B28:Q28">
    <cfRule type="cellIs" dxfId="3" priority="1" operator="equal">
      <formula>0</formula>
    </cfRule>
    <cfRule type="cellIs" dxfId="4" priority="2" operator="lessThan">
      <formula>0</formula>
    </cfRule>
    <cfRule type="cellIs" dxfId="5" priority="3" operator="greaterThan">
      <formula>0</formula>
    </cfRule>
  </conditionalFormatting>
  <pageMargins left="0.75" right="0.75" top="1" bottom="1" header="0.5" footer="0.5"/>
  <pageSetup paperSize="9" orientation="portrait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Q28"/>
  <sheetViews>
    <sheetView workbookViewId="0">
      <selection activeCell="H24" sqref="H24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ht="22.5" spans="1:17">
      <c r="A2" s="3" t="s">
        <v>30</v>
      </c>
      <c r="B2" s="9">
        <v>64.0190476190476</v>
      </c>
      <c r="C2" s="9">
        <v>67.2614285714286</v>
      </c>
      <c r="D2" s="9">
        <v>69.3266666666667</v>
      </c>
      <c r="E2" s="9">
        <v>491.147619047619</v>
      </c>
      <c r="F2" s="9">
        <v>69.385</v>
      </c>
      <c r="G2" s="9">
        <v>69.392619047619</v>
      </c>
      <c r="H2" s="9">
        <v>68.2055</v>
      </c>
      <c r="I2" s="9">
        <v>66.2140476190476</v>
      </c>
      <c r="J2" s="9">
        <v>69.9585714285714</v>
      </c>
      <c r="K2" s="9">
        <v>68.4728571428571</v>
      </c>
      <c r="L2" s="9">
        <v>65.4469047619048</v>
      </c>
      <c r="M2" s="9">
        <v>64.695</v>
      </c>
      <c r="N2" s="9">
        <v>67.0585</v>
      </c>
      <c r="O2" s="9">
        <v>67.4935</v>
      </c>
      <c r="P2" s="9">
        <v>64.5365</v>
      </c>
      <c r="Q2" s="9">
        <v>62.897619047619</v>
      </c>
    </row>
    <row r="3" spans="1:17">
      <c r="A3" s="5">
        <v>20250901</v>
      </c>
      <c r="B3" s="6"/>
      <c r="C3" s="6">
        <v>68.15</v>
      </c>
      <c r="D3" s="6">
        <v>70.52</v>
      </c>
      <c r="E3" s="6">
        <v>483.6</v>
      </c>
      <c r="F3" s="6">
        <v>70.71</v>
      </c>
      <c r="G3" s="6">
        <v>70.71</v>
      </c>
      <c r="H3" s="6">
        <v>68.91</v>
      </c>
      <c r="I3" s="6">
        <v>66.805</v>
      </c>
      <c r="J3" s="6">
        <v>70.19</v>
      </c>
      <c r="K3" s="6">
        <v>68.49</v>
      </c>
      <c r="L3" s="6">
        <v>66.005</v>
      </c>
      <c r="M3" s="6">
        <v>66.13</v>
      </c>
      <c r="N3" s="6">
        <v>67.51</v>
      </c>
      <c r="O3" s="6">
        <v>68.01</v>
      </c>
      <c r="P3" s="6">
        <v>65.04</v>
      </c>
      <c r="Q3" s="6">
        <v>63.26</v>
      </c>
    </row>
    <row r="4" spans="1:17">
      <c r="A4" s="5">
        <v>20250902</v>
      </c>
      <c r="B4" s="6">
        <v>65.59</v>
      </c>
      <c r="C4" s="6">
        <v>69.14</v>
      </c>
      <c r="D4" s="6">
        <v>71.64</v>
      </c>
      <c r="E4" s="6">
        <v>489.8</v>
      </c>
      <c r="F4" s="6">
        <v>71.71</v>
      </c>
      <c r="G4" s="6">
        <v>71.71</v>
      </c>
      <c r="H4" s="6">
        <v>69.43</v>
      </c>
      <c r="I4" s="6">
        <v>67.785</v>
      </c>
      <c r="J4" s="6">
        <v>71.43</v>
      </c>
      <c r="K4" s="6">
        <v>69.58</v>
      </c>
      <c r="L4" s="6">
        <v>66.94</v>
      </c>
      <c r="M4" s="6">
        <v>67.12</v>
      </c>
      <c r="N4" s="6">
        <v>68.7</v>
      </c>
      <c r="O4" s="6">
        <v>69.2</v>
      </c>
      <c r="P4" s="6">
        <v>66.43</v>
      </c>
      <c r="Q4" s="6">
        <v>64.6</v>
      </c>
    </row>
    <row r="5" spans="1:17">
      <c r="A5" s="5">
        <v>20250903</v>
      </c>
      <c r="B5" s="6">
        <v>63.97</v>
      </c>
      <c r="C5" s="6">
        <v>67.6</v>
      </c>
      <c r="D5" s="6">
        <v>71.48</v>
      </c>
      <c r="E5" s="6">
        <v>491.8</v>
      </c>
      <c r="F5" s="6">
        <v>71.525</v>
      </c>
      <c r="G5" s="6">
        <v>71.525</v>
      </c>
      <c r="H5" s="6">
        <v>67.71</v>
      </c>
      <c r="I5" s="6">
        <v>67.87</v>
      </c>
      <c r="J5" s="6">
        <v>71.89</v>
      </c>
      <c r="K5" s="6">
        <v>69.79</v>
      </c>
      <c r="L5" s="6">
        <v>66.79</v>
      </c>
      <c r="M5" s="6">
        <v>65.75</v>
      </c>
      <c r="N5" s="6">
        <v>68.77</v>
      </c>
      <c r="O5" s="6">
        <v>69.27</v>
      </c>
      <c r="P5" s="6">
        <v>66.74</v>
      </c>
      <c r="Q5" s="6">
        <v>64.82</v>
      </c>
    </row>
    <row r="6" spans="1:17">
      <c r="A6" s="5">
        <v>20250904</v>
      </c>
      <c r="B6" s="6">
        <v>63.48</v>
      </c>
      <c r="C6" s="6">
        <v>66.99</v>
      </c>
      <c r="D6" s="6">
        <v>69.42</v>
      </c>
      <c r="E6" s="6">
        <v>483.6</v>
      </c>
      <c r="F6" s="6">
        <v>69.48</v>
      </c>
      <c r="G6" s="6">
        <v>69.48</v>
      </c>
      <c r="H6" s="6">
        <v>67.32</v>
      </c>
      <c r="I6" s="6">
        <v>66.005</v>
      </c>
      <c r="J6" s="6">
        <v>70.17</v>
      </c>
      <c r="K6" s="6">
        <v>68.07</v>
      </c>
      <c r="L6" s="6">
        <v>64.905</v>
      </c>
      <c r="M6" s="6">
        <v>65.52</v>
      </c>
      <c r="N6" s="6">
        <v>66.93</v>
      </c>
      <c r="O6" s="6">
        <v>67.43</v>
      </c>
      <c r="P6" s="6">
        <v>65.07</v>
      </c>
      <c r="Q6" s="6">
        <v>62.93</v>
      </c>
    </row>
    <row r="7" spans="1:17">
      <c r="A7" s="5">
        <v>20250905</v>
      </c>
      <c r="B7" s="6">
        <v>61.87</v>
      </c>
      <c r="C7" s="6">
        <v>65.5</v>
      </c>
      <c r="D7" s="6">
        <v>69.18</v>
      </c>
      <c r="E7" s="6">
        <v>482.3</v>
      </c>
      <c r="F7" s="6">
        <v>69.2</v>
      </c>
      <c r="G7" s="6">
        <v>69.22</v>
      </c>
      <c r="H7" s="6">
        <v>65.36</v>
      </c>
      <c r="I7" s="6">
        <v>65.865</v>
      </c>
      <c r="J7" s="6">
        <v>69.96</v>
      </c>
      <c r="K7" s="6">
        <v>67.66</v>
      </c>
      <c r="L7" s="6">
        <v>64.72</v>
      </c>
      <c r="M7" s="6">
        <v>63.86</v>
      </c>
      <c r="N7" s="6">
        <v>66.89</v>
      </c>
      <c r="O7" s="6">
        <v>67.39</v>
      </c>
      <c r="P7" s="6">
        <v>65.06</v>
      </c>
      <c r="Q7" s="6">
        <v>62.69</v>
      </c>
    </row>
    <row r="8" spans="1:17">
      <c r="A8" s="5">
        <v>20250908</v>
      </c>
      <c r="B8" s="6">
        <v>62.26</v>
      </c>
      <c r="C8" s="6">
        <v>66.02</v>
      </c>
      <c r="D8" s="6">
        <v>69.23</v>
      </c>
      <c r="E8" s="6">
        <v>476.2</v>
      </c>
      <c r="F8" s="6">
        <v>69.2</v>
      </c>
      <c r="G8" s="6">
        <v>69.34</v>
      </c>
      <c r="H8" s="6">
        <v>66.42</v>
      </c>
      <c r="I8" s="6">
        <v>65.765</v>
      </c>
      <c r="J8" s="6">
        <v>69.58</v>
      </c>
      <c r="K8" s="6">
        <v>67.38</v>
      </c>
      <c r="L8" s="6">
        <v>64.63</v>
      </c>
      <c r="M8" s="6">
        <v>65.05</v>
      </c>
      <c r="N8" s="6">
        <v>66.76</v>
      </c>
      <c r="O8" s="6">
        <v>67.26</v>
      </c>
      <c r="P8" s="6">
        <v>64.88</v>
      </c>
      <c r="Q8" s="6">
        <v>62.66</v>
      </c>
    </row>
    <row r="9" spans="1:17">
      <c r="A9" s="5">
        <v>20250909</v>
      </c>
      <c r="B9" s="6">
        <v>62.63</v>
      </c>
      <c r="C9" s="6">
        <v>66.39</v>
      </c>
      <c r="D9" s="6">
        <v>69.76</v>
      </c>
      <c r="E9" s="6">
        <v>483.4</v>
      </c>
      <c r="F9" s="6">
        <v>69.72</v>
      </c>
      <c r="G9" s="6">
        <v>69.78</v>
      </c>
      <c r="H9" s="6">
        <v>66.695</v>
      </c>
      <c r="I9" s="6">
        <v>66.06</v>
      </c>
      <c r="J9" s="6">
        <v>70</v>
      </c>
      <c r="K9" s="6">
        <v>67.7</v>
      </c>
      <c r="L9" s="6">
        <v>64.83</v>
      </c>
      <c r="M9" s="6">
        <v>65.67</v>
      </c>
      <c r="N9" s="6">
        <v>67.25</v>
      </c>
      <c r="O9" s="6">
        <v>67.75</v>
      </c>
      <c r="P9" s="6">
        <v>65.6</v>
      </c>
      <c r="Q9" s="6">
        <v>63.05</v>
      </c>
    </row>
    <row r="10" spans="1:17">
      <c r="A10" s="5">
        <v>20250910</v>
      </c>
      <c r="B10" s="6">
        <v>63.67</v>
      </c>
      <c r="C10" s="6">
        <v>67.49</v>
      </c>
      <c r="D10" s="6">
        <v>70.49</v>
      </c>
      <c r="E10" s="6">
        <v>486.1</v>
      </c>
      <c r="F10" s="6">
        <v>70.4</v>
      </c>
      <c r="G10" s="6">
        <v>70.43</v>
      </c>
      <c r="H10" s="6">
        <v>67.135</v>
      </c>
      <c r="I10" s="6">
        <v>66.225</v>
      </c>
      <c r="J10" s="6">
        <v>70.09</v>
      </c>
      <c r="K10" s="6">
        <v>67.69</v>
      </c>
      <c r="L10" s="6">
        <v>64.93</v>
      </c>
      <c r="M10" s="6">
        <v>66.09</v>
      </c>
      <c r="N10" s="6">
        <v>67.62</v>
      </c>
      <c r="O10" s="6">
        <v>68.12</v>
      </c>
      <c r="P10" s="6">
        <v>65.84</v>
      </c>
      <c r="Q10" s="6">
        <v>63.47</v>
      </c>
    </row>
    <row r="11" spans="1:17">
      <c r="A11" s="5">
        <v>20250911</v>
      </c>
      <c r="B11" s="6">
        <v>62.37</v>
      </c>
      <c r="C11" s="6">
        <v>66.37</v>
      </c>
      <c r="D11" s="6">
        <v>70.93</v>
      </c>
      <c r="E11" s="6">
        <v>488.7</v>
      </c>
      <c r="F11" s="6">
        <v>70.7</v>
      </c>
      <c r="G11" s="6">
        <v>70.77</v>
      </c>
      <c r="H11" s="6">
        <v>66.295</v>
      </c>
      <c r="I11" s="6">
        <v>66.475</v>
      </c>
      <c r="J11" s="6">
        <v>70.3</v>
      </c>
      <c r="K11" s="6">
        <v>67.8</v>
      </c>
      <c r="L11" s="6">
        <v>65.11</v>
      </c>
      <c r="M11" s="6">
        <v>65.09</v>
      </c>
      <c r="N11" s="6">
        <v>67.87</v>
      </c>
      <c r="O11" s="6">
        <v>68.37</v>
      </c>
      <c r="P11" s="6">
        <v>65.95</v>
      </c>
      <c r="Q11" s="6">
        <v>63.67</v>
      </c>
    </row>
    <row r="12" spans="1:17">
      <c r="A12" s="5">
        <v>20250912</v>
      </c>
      <c r="B12" s="6">
        <v>62.69</v>
      </c>
      <c r="C12" s="6">
        <v>66.99</v>
      </c>
      <c r="D12" s="6">
        <v>69.59</v>
      </c>
      <c r="E12" s="6">
        <v>479.2</v>
      </c>
      <c r="F12" s="6">
        <v>69.51</v>
      </c>
      <c r="G12" s="6">
        <v>69.61</v>
      </c>
      <c r="H12" s="6">
        <v>67.74</v>
      </c>
      <c r="I12" s="6">
        <v>65.975</v>
      </c>
      <c r="J12" s="6">
        <v>69.35</v>
      </c>
      <c r="K12" s="6">
        <v>66.75</v>
      </c>
      <c r="L12" s="6">
        <v>64.695</v>
      </c>
      <c r="M12" s="6">
        <v>66.45</v>
      </c>
      <c r="N12" s="6">
        <v>66.86</v>
      </c>
      <c r="O12" s="6">
        <v>67.36</v>
      </c>
      <c r="P12" s="6">
        <v>65.3</v>
      </c>
      <c r="Q12" s="6">
        <v>62.61</v>
      </c>
    </row>
    <row r="13" spans="1:17">
      <c r="A13" s="5">
        <v>20250915</v>
      </c>
      <c r="B13" s="6">
        <v>63.3</v>
      </c>
      <c r="C13" s="6">
        <v>67.44</v>
      </c>
      <c r="D13" s="6">
        <v>70.97</v>
      </c>
      <c r="E13" s="6">
        <v>488</v>
      </c>
      <c r="F13" s="6">
        <v>70.89</v>
      </c>
      <c r="G13" s="6">
        <v>70.93</v>
      </c>
      <c r="H13" s="6">
        <v>67.6</v>
      </c>
      <c r="I13" s="6">
        <v>67.065</v>
      </c>
      <c r="J13" s="6">
        <v>70.34</v>
      </c>
      <c r="K13" s="6">
        <v>67.84</v>
      </c>
      <c r="L13" s="6">
        <v>65.94</v>
      </c>
      <c r="M13" s="6">
        <v>66.34</v>
      </c>
      <c r="N13" s="6">
        <v>67.98</v>
      </c>
      <c r="O13" s="6">
        <v>68.48</v>
      </c>
      <c r="P13" s="6">
        <v>66.29</v>
      </c>
      <c r="Q13" s="6">
        <v>63.68</v>
      </c>
    </row>
    <row r="14" spans="1:17">
      <c r="A14" s="5">
        <v>20250916</v>
      </c>
      <c r="B14" s="6">
        <v>64.52</v>
      </c>
      <c r="C14" s="6">
        <v>68.47</v>
      </c>
      <c r="D14" s="6">
        <v>70.36</v>
      </c>
      <c r="E14" s="6">
        <v>492.1</v>
      </c>
      <c r="F14" s="6">
        <v>70.25</v>
      </c>
      <c r="G14" s="6">
        <v>70.44</v>
      </c>
      <c r="H14" s="6">
        <v>68.555</v>
      </c>
      <c r="I14" s="6">
        <v>67.13</v>
      </c>
      <c r="J14" s="6">
        <v>70.57</v>
      </c>
      <c r="K14" s="6">
        <v>68.07</v>
      </c>
      <c r="L14" s="6">
        <v>66.07</v>
      </c>
      <c r="M14" s="6">
        <v>67.38</v>
      </c>
      <c r="N14" s="6">
        <v>67.89</v>
      </c>
      <c r="O14" s="6">
        <v>68.39</v>
      </c>
      <c r="P14" s="6">
        <v>66.52</v>
      </c>
      <c r="Q14" s="6">
        <v>63.54</v>
      </c>
    </row>
    <row r="15" spans="1:17">
      <c r="A15" s="5">
        <v>20250917</v>
      </c>
      <c r="B15" s="6">
        <v>64.05</v>
      </c>
      <c r="C15" s="6">
        <v>67.95</v>
      </c>
      <c r="D15" s="6">
        <v>70.98</v>
      </c>
      <c r="E15" s="6">
        <v>498.4</v>
      </c>
      <c r="F15" s="6">
        <v>70.69</v>
      </c>
      <c r="G15" s="6">
        <v>70.95</v>
      </c>
      <c r="H15" s="6">
        <v>68.31</v>
      </c>
      <c r="I15" s="6">
        <v>67.645</v>
      </c>
      <c r="J15" s="6">
        <v>71.54</v>
      </c>
      <c r="K15" s="6">
        <v>68.74</v>
      </c>
      <c r="L15" s="6">
        <v>66.425</v>
      </c>
      <c r="M15" s="6">
        <v>67.1</v>
      </c>
      <c r="N15" s="6">
        <v>68.6</v>
      </c>
      <c r="O15" s="6">
        <v>69.1</v>
      </c>
      <c r="P15" s="6">
        <v>67.19</v>
      </c>
      <c r="Q15" s="6">
        <v>64.05</v>
      </c>
    </row>
    <row r="16" spans="1:17">
      <c r="A16" s="5">
        <v>20250918</v>
      </c>
      <c r="B16" s="6">
        <v>63.57</v>
      </c>
      <c r="C16" s="6">
        <v>67.44</v>
      </c>
      <c r="D16" s="6">
        <v>70.58</v>
      </c>
      <c r="E16" s="6">
        <v>495.5</v>
      </c>
      <c r="F16" s="6">
        <v>70.44</v>
      </c>
      <c r="G16" s="6">
        <v>70.51</v>
      </c>
      <c r="H16" s="6">
        <v>67.76</v>
      </c>
      <c r="I16" s="6">
        <v>67.355</v>
      </c>
      <c r="J16" s="6">
        <v>71.25</v>
      </c>
      <c r="K16" s="6">
        <v>68.45</v>
      </c>
      <c r="L16" s="6">
        <v>66.16</v>
      </c>
      <c r="M16" s="6">
        <v>66.56</v>
      </c>
      <c r="N16" s="6">
        <v>68.81</v>
      </c>
      <c r="O16" s="6">
        <v>69.31</v>
      </c>
      <c r="P16" s="6">
        <v>66.9</v>
      </c>
      <c r="Q16" s="6">
        <v>63.66</v>
      </c>
    </row>
    <row r="17" spans="1:17">
      <c r="A17" s="5">
        <v>20250919</v>
      </c>
      <c r="B17" s="6">
        <v>62.68</v>
      </c>
      <c r="C17" s="6">
        <v>66.68</v>
      </c>
      <c r="D17" s="6">
        <v>69.43</v>
      </c>
      <c r="E17" s="6">
        <v>492.1</v>
      </c>
      <c r="F17" s="6">
        <v>69.33</v>
      </c>
      <c r="G17" s="6">
        <v>69.43</v>
      </c>
      <c r="H17" s="6">
        <v>66.95</v>
      </c>
      <c r="I17" s="6">
        <v>66.62</v>
      </c>
      <c r="J17" s="6">
        <v>70.53</v>
      </c>
      <c r="K17" s="6">
        <v>67.63</v>
      </c>
      <c r="L17" s="6">
        <v>65.355</v>
      </c>
      <c r="M17" s="6">
        <v>65.68</v>
      </c>
      <c r="N17" s="6">
        <v>68.14</v>
      </c>
      <c r="O17" s="6">
        <v>68.64</v>
      </c>
      <c r="P17" s="6">
        <v>66.18</v>
      </c>
      <c r="Q17" s="6">
        <v>62.74</v>
      </c>
    </row>
    <row r="18" spans="1:17">
      <c r="A18" s="5">
        <v>20250922</v>
      </c>
      <c r="B18" s="6">
        <v>62.64</v>
      </c>
      <c r="C18" s="6">
        <v>66.57</v>
      </c>
      <c r="D18" s="6">
        <v>68.93</v>
      </c>
      <c r="E18" s="6">
        <v>485.5</v>
      </c>
      <c r="F18" s="6">
        <v>68.6</v>
      </c>
      <c r="G18" s="6">
        <v>68.91</v>
      </c>
      <c r="H18" s="6">
        <v>66.75</v>
      </c>
      <c r="I18" s="6">
        <v>66.32</v>
      </c>
      <c r="J18" s="6">
        <v>70.2</v>
      </c>
      <c r="K18" s="6">
        <v>67.4</v>
      </c>
      <c r="L18" s="6">
        <v>65.015</v>
      </c>
      <c r="M18" s="6">
        <v>65.48</v>
      </c>
      <c r="N18" s="6">
        <v>67.96</v>
      </c>
      <c r="O18" s="6">
        <v>68.46</v>
      </c>
      <c r="P18" s="6">
        <v>65.95</v>
      </c>
      <c r="Q18" s="6">
        <v>62.46</v>
      </c>
    </row>
    <row r="19" spans="1:17">
      <c r="A19" s="5">
        <v>20250923</v>
      </c>
      <c r="B19" s="6">
        <v>63.41</v>
      </c>
      <c r="C19" s="6">
        <v>67.63</v>
      </c>
      <c r="D19" s="6">
        <v>68.36</v>
      </c>
      <c r="E19" s="6">
        <v>477.6</v>
      </c>
      <c r="F19" s="6">
        <v>68.24</v>
      </c>
      <c r="G19" s="6">
        <v>68.35</v>
      </c>
      <c r="H19" s="6">
        <v>68.41</v>
      </c>
      <c r="I19" s="6">
        <v>65.58</v>
      </c>
      <c r="J19" s="6">
        <v>69.8</v>
      </c>
      <c r="K19" s="6">
        <v>66.95</v>
      </c>
      <c r="L19" s="6">
        <v>64.26</v>
      </c>
      <c r="M19" s="6">
        <v>67.02</v>
      </c>
      <c r="N19" s="6">
        <v>67.42</v>
      </c>
      <c r="O19" s="6">
        <v>67.92</v>
      </c>
      <c r="P19" s="6">
        <v>65.45</v>
      </c>
      <c r="Q19" s="6">
        <v>61.82</v>
      </c>
    </row>
    <row r="20" spans="1:17">
      <c r="A20" s="5">
        <v>20250924</v>
      </c>
      <c r="B20" s="6">
        <v>64.99</v>
      </c>
      <c r="C20" s="6">
        <v>69.31</v>
      </c>
      <c r="D20" s="6">
        <v>69.89</v>
      </c>
      <c r="E20" s="6">
        <v>479.3</v>
      </c>
      <c r="F20" s="6">
        <v>69.87</v>
      </c>
      <c r="G20" s="6">
        <v>69.87</v>
      </c>
      <c r="H20" s="6">
        <v>69.78</v>
      </c>
      <c r="I20" s="6">
        <v>66.72</v>
      </c>
      <c r="J20" s="6">
        <v>71.02</v>
      </c>
      <c r="K20" s="6">
        <v>68.02</v>
      </c>
      <c r="L20" s="6">
        <v>65.265</v>
      </c>
      <c r="M20" s="6">
        <v>67.75</v>
      </c>
      <c r="N20" s="6">
        <v>68.73</v>
      </c>
      <c r="O20" s="6">
        <v>69.23</v>
      </c>
      <c r="P20" s="6">
        <v>66.67</v>
      </c>
      <c r="Q20" s="6">
        <v>63.03</v>
      </c>
    </row>
    <row r="21" spans="1:17">
      <c r="A21" s="5">
        <v>20250925</v>
      </c>
      <c r="B21" s="6">
        <v>64.98</v>
      </c>
      <c r="C21" s="6">
        <v>69.42</v>
      </c>
      <c r="D21" s="6">
        <v>70.61</v>
      </c>
      <c r="E21" s="6">
        <v>489.3</v>
      </c>
      <c r="F21" s="6">
        <v>70.55</v>
      </c>
      <c r="G21" s="6">
        <v>70.6</v>
      </c>
      <c r="H21" s="6">
        <v>70.54</v>
      </c>
      <c r="I21" s="6">
        <v>67.74</v>
      </c>
      <c r="J21" s="6">
        <v>72.05</v>
      </c>
      <c r="K21" s="6">
        <v>69.05</v>
      </c>
      <c r="L21" s="6">
        <v>66.32</v>
      </c>
      <c r="M21" s="6">
        <v>68.04</v>
      </c>
      <c r="N21" s="6">
        <v>69.73</v>
      </c>
      <c r="O21" s="6">
        <v>70.23</v>
      </c>
      <c r="P21" s="6">
        <v>67.8</v>
      </c>
      <c r="Q21" s="6">
        <v>63.93</v>
      </c>
    </row>
    <row r="22" spans="1:17">
      <c r="A22" s="5">
        <v>20250926</v>
      </c>
      <c r="B22" s="6">
        <v>65.72</v>
      </c>
      <c r="C22" s="6">
        <v>70.13</v>
      </c>
      <c r="D22" s="6">
        <v>70.53</v>
      </c>
      <c r="E22" s="6">
        <v>487.5</v>
      </c>
      <c r="F22" s="6">
        <v>70.64</v>
      </c>
      <c r="G22" s="6">
        <v>70.64</v>
      </c>
      <c r="H22" s="6">
        <v>71.925</v>
      </c>
      <c r="I22" s="6">
        <v>68.215</v>
      </c>
      <c r="J22" s="6">
        <v>72.8</v>
      </c>
      <c r="K22" s="6">
        <v>69.8</v>
      </c>
      <c r="L22" s="6">
        <v>66.76</v>
      </c>
      <c r="M22" s="6">
        <v>69.73</v>
      </c>
      <c r="N22" s="6">
        <v>70.42</v>
      </c>
      <c r="O22" s="6">
        <v>70.92</v>
      </c>
      <c r="P22" s="6">
        <v>68.7</v>
      </c>
      <c r="Q22" s="6">
        <v>64.52</v>
      </c>
    </row>
    <row r="23" spans="1:17">
      <c r="A23" s="5">
        <v>20250929</v>
      </c>
      <c r="B23" s="6">
        <v>63.45</v>
      </c>
      <c r="C23" s="6">
        <v>67.97</v>
      </c>
      <c r="D23" s="6">
        <v>69.22</v>
      </c>
      <c r="E23" s="6">
        <v>486.4</v>
      </c>
      <c r="F23" s="6">
        <v>69.25</v>
      </c>
      <c r="G23" s="6">
        <v>69.25</v>
      </c>
      <c r="H23" s="6">
        <v>68.85</v>
      </c>
      <c r="I23" s="6">
        <v>67.88</v>
      </c>
      <c r="J23" s="6">
        <v>72.68</v>
      </c>
      <c r="K23" s="6">
        <v>69.68</v>
      </c>
      <c r="L23" s="6">
        <v>66.465</v>
      </c>
      <c r="M23" s="6">
        <v>66.86</v>
      </c>
      <c r="N23" s="6">
        <v>69.96</v>
      </c>
      <c r="O23" s="6">
        <v>70.46</v>
      </c>
      <c r="P23" s="6">
        <v>68.48</v>
      </c>
      <c r="Q23" s="6">
        <v>63.76</v>
      </c>
    </row>
    <row r="24" spans="1:17">
      <c r="A24" s="5">
        <v>20250930</v>
      </c>
      <c r="B24" s="6">
        <v>62.37</v>
      </c>
      <c r="C24" s="6">
        <v>67.02</v>
      </c>
      <c r="D24" s="6">
        <v>68.11</v>
      </c>
      <c r="E24" s="6">
        <v>479.7</v>
      </c>
      <c r="F24" s="6">
        <v>69.34</v>
      </c>
      <c r="G24" s="6">
        <v>69.34</v>
      </c>
      <c r="H24" s="6">
        <v>67.94</v>
      </c>
      <c r="I24" s="6">
        <v>65.765</v>
      </c>
      <c r="J24" s="6">
        <v>70.27</v>
      </c>
      <c r="K24" s="6">
        <v>67.67</v>
      </c>
      <c r="L24" s="6">
        <v>64.405</v>
      </c>
      <c r="M24" s="6">
        <v>65.96</v>
      </c>
      <c r="N24" s="6">
        <v>67.86</v>
      </c>
      <c r="O24" s="6">
        <v>68.36</v>
      </c>
      <c r="P24" s="6">
        <v>66.27</v>
      </c>
      <c r="Q24" s="6">
        <v>61.76</v>
      </c>
    </row>
    <row r="25" spans="1:17">
      <c r="A25" s="7" t="s">
        <v>17</v>
      </c>
      <c r="B25" s="8">
        <f>AVERAGE(B23:B24)</f>
        <v>62.91</v>
      </c>
      <c r="C25" s="8">
        <f t="shared" ref="C25:Q25" si="0">AVERAGE(C23:C24)</f>
        <v>67.495</v>
      </c>
      <c r="D25" s="8">
        <f t="shared" si="0"/>
        <v>68.665</v>
      </c>
      <c r="E25" s="8">
        <f t="shared" si="0"/>
        <v>483.05</v>
      </c>
      <c r="F25" s="8">
        <f t="shared" si="0"/>
        <v>69.295</v>
      </c>
      <c r="G25" s="8">
        <f t="shared" si="0"/>
        <v>69.295</v>
      </c>
      <c r="H25" s="8">
        <f t="shared" si="0"/>
        <v>68.395</v>
      </c>
      <c r="I25" s="8">
        <f t="shared" si="0"/>
        <v>66.8225</v>
      </c>
      <c r="J25" s="8">
        <f t="shared" si="0"/>
        <v>71.475</v>
      </c>
      <c r="K25" s="8">
        <f t="shared" si="0"/>
        <v>68.675</v>
      </c>
      <c r="L25" s="8">
        <f t="shared" si="0"/>
        <v>65.435</v>
      </c>
      <c r="M25" s="8">
        <f t="shared" si="0"/>
        <v>66.41</v>
      </c>
      <c r="N25" s="8">
        <f t="shared" si="0"/>
        <v>68.91</v>
      </c>
      <c r="O25" s="8">
        <f t="shared" si="0"/>
        <v>69.41</v>
      </c>
      <c r="P25" s="8">
        <f t="shared" si="0"/>
        <v>67.375</v>
      </c>
      <c r="Q25" s="8">
        <f t="shared" si="0"/>
        <v>62.76</v>
      </c>
    </row>
    <row r="26" ht="22.5" spans="1:17">
      <c r="A26" s="3" t="s">
        <v>29</v>
      </c>
      <c r="B26" s="9">
        <f>AVERAGE(B3:B24)</f>
        <v>63.5338095238095</v>
      </c>
      <c r="C26" s="9">
        <f t="shared" ref="C26:Q26" si="1">AVERAGE(C3:C24)</f>
        <v>67.5759090909091</v>
      </c>
      <c r="D26" s="9">
        <f t="shared" si="1"/>
        <v>70.0095454545455</v>
      </c>
      <c r="E26" s="9">
        <f t="shared" si="1"/>
        <v>486.186363636364</v>
      </c>
      <c r="F26" s="9">
        <f t="shared" si="1"/>
        <v>70.0111363636364</v>
      </c>
      <c r="G26" s="9">
        <f t="shared" si="1"/>
        <v>70.0815909090909</v>
      </c>
      <c r="H26" s="9">
        <f t="shared" si="1"/>
        <v>68.0175</v>
      </c>
      <c r="I26" s="9">
        <f t="shared" si="1"/>
        <v>66.7665909090909</v>
      </c>
      <c r="J26" s="9">
        <f t="shared" si="1"/>
        <v>70.7277272727273</v>
      </c>
      <c r="K26" s="9">
        <f t="shared" si="1"/>
        <v>68.1913636363636</v>
      </c>
      <c r="L26" s="9">
        <f t="shared" si="1"/>
        <v>65.5452272727273</v>
      </c>
      <c r="M26" s="9">
        <f t="shared" si="1"/>
        <v>66.3922727272727</v>
      </c>
      <c r="N26" s="9">
        <f t="shared" si="1"/>
        <v>68.1209090909091</v>
      </c>
      <c r="O26" s="9">
        <f t="shared" si="1"/>
        <v>68.6209090909091</v>
      </c>
      <c r="P26" s="9">
        <f t="shared" si="1"/>
        <v>66.2868181818182</v>
      </c>
      <c r="Q26" s="9">
        <f t="shared" si="1"/>
        <v>63.305</v>
      </c>
    </row>
    <row r="27" ht="23.25" spans="1:17">
      <c r="A27" s="10" t="s">
        <v>19</v>
      </c>
      <c r="B27" s="23">
        <f>(B26-B2)/B2</f>
        <v>-0.00757958940791432</v>
      </c>
      <c r="C27" s="23">
        <f>(C26-C2)/C2</f>
        <v>0.0046754956913616</v>
      </c>
      <c r="D27" s="23">
        <f t="shared" ref="D27:Q27" si="2">(D26-D2)/D2</f>
        <v>0.00985016041752272</v>
      </c>
      <c r="E27" s="23">
        <f t="shared" si="2"/>
        <v>-0.0101013528699901</v>
      </c>
      <c r="F27" s="23">
        <f t="shared" si="2"/>
        <v>0.00902408825591048</v>
      </c>
      <c r="G27" s="23">
        <f t="shared" si="2"/>
        <v>0.00992860438080692</v>
      </c>
      <c r="H27" s="23">
        <f t="shared" si="2"/>
        <v>-0.00275637595208601</v>
      </c>
      <c r="I27" s="23">
        <f t="shared" si="2"/>
        <v>0.00834480461339959</v>
      </c>
      <c r="J27" s="23">
        <f t="shared" si="2"/>
        <v>0.0109944475487346</v>
      </c>
      <c r="K27" s="23">
        <f t="shared" si="2"/>
        <v>-0.00411102323225977</v>
      </c>
      <c r="L27" s="23">
        <f t="shared" si="2"/>
        <v>0.0015023248414909</v>
      </c>
      <c r="M27" s="23">
        <f t="shared" si="2"/>
        <v>0.0262349907608429</v>
      </c>
      <c r="N27" s="23">
        <f t="shared" si="2"/>
        <v>0.01584301901935</v>
      </c>
      <c r="O27" s="23">
        <f t="shared" si="2"/>
        <v>0.0167039654323618</v>
      </c>
      <c r="P27" s="23">
        <f t="shared" si="2"/>
        <v>0.0271213682461584</v>
      </c>
      <c r="Q27" s="23">
        <f t="shared" si="2"/>
        <v>0.00647688988151561</v>
      </c>
    </row>
    <row r="28" ht="15"/>
  </sheetData>
  <conditionalFormatting sqref="B27:Q27">
    <cfRule type="cellIs" dxfId="3" priority="1" operator="equal">
      <formula>0</formula>
    </cfRule>
    <cfRule type="cellIs" dxfId="4" priority="2" operator="lessThan">
      <formula>0</formula>
    </cfRule>
    <cfRule type="cellIs" dxfId="5" priority="3" operator="greaterThan">
      <formula>0</formula>
    </cfRule>
  </conditionalFormatting>
  <pageMargins left="0.75" right="0.75" top="1" bottom="1" header="0.5" footer="0.5"/>
  <pageSetup paperSize="9" orientation="portrait"/>
  <headerFooter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Q27"/>
  <sheetViews>
    <sheetView workbookViewId="0">
      <selection activeCell="Q29" sqref="Q29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ht="22.5" spans="1:17">
      <c r="A2" s="3" t="s">
        <v>31</v>
      </c>
      <c r="B2" s="9">
        <v>67.2431818181818</v>
      </c>
      <c r="C2" s="9">
        <v>69.5534782608696</v>
      </c>
      <c r="D2" s="9">
        <v>71.1960869565217</v>
      </c>
      <c r="E2" s="9">
        <v>518.24347826087</v>
      </c>
      <c r="F2" s="9">
        <v>70.8660869565217</v>
      </c>
      <c r="G2" s="9">
        <v>71.0104347826087</v>
      </c>
      <c r="H2" s="9">
        <v>70.9886956521739</v>
      </c>
      <c r="I2" s="9">
        <v>68.2191304347826</v>
      </c>
      <c r="J2" s="9">
        <v>72.6526086956522</v>
      </c>
      <c r="K2" s="9">
        <v>70.7352173913043</v>
      </c>
      <c r="L2" s="9">
        <v>67.4017391304348</v>
      </c>
      <c r="M2" s="9">
        <v>66.2617391304348</v>
      </c>
      <c r="N2" s="9">
        <v>67.9786956521739</v>
      </c>
      <c r="O2" s="9">
        <v>68.3786956521739</v>
      </c>
      <c r="P2" s="9">
        <v>65.9004347826087</v>
      </c>
      <c r="Q2" s="9">
        <v>64.7069565217391</v>
      </c>
    </row>
    <row r="3" spans="1:17">
      <c r="A3" s="5">
        <v>20250801</v>
      </c>
      <c r="B3" s="6">
        <v>67.33</v>
      </c>
      <c r="C3" s="6">
        <v>69.67</v>
      </c>
      <c r="D3" s="6">
        <v>73.71</v>
      </c>
      <c r="E3" s="6">
        <v>528.1</v>
      </c>
      <c r="F3" s="6">
        <v>73.74</v>
      </c>
      <c r="G3" s="6">
        <v>73.74</v>
      </c>
      <c r="H3" s="6">
        <v>71.39</v>
      </c>
      <c r="I3" s="6">
        <v>70.29</v>
      </c>
      <c r="J3" s="6">
        <v>74.37</v>
      </c>
      <c r="K3" s="6">
        <v>72.62</v>
      </c>
      <c r="L3" s="6">
        <v>69.295</v>
      </c>
      <c r="M3" s="6">
        <v>67.33</v>
      </c>
      <c r="N3" s="6">
        <v>70.54</v>
      </c>
      <c r="O3" s="6">
        <v>70.94</v>
      </c>
      <c r="P3" s="6">
        <v>68.27</v>
      </c>
      <c r="Q3" s="6">
        <v>67.04</v>
      </c>
    </row>
    <row r="4" spans="1:17">
      <c r="A4" s="5">
        <v>20250804</v>
      </c>
      <c r="B4" s="6">
        <v>66.29</v>
      </c>
      <c r="C4" s="6">
        <v>68.76</v>
      </c>
      <c r="D4" s="6">
        <v>71.16</v>
      </c>
      <c r="E4" s="6">
        <v>516.8</v>
      </c>
      <c r="F4" s="6">
        <v>71.17</v>
      </c>
      <c r="G4" s="6">
        <v>71.17</v>
      </c>
      <c r="H4" s="6">
        <v>70.84</v>
      </c>
      <c r="I4" s="6">
        <v>68.475</v>
      </c>
      <c r="J4" s="6">
        <v>72.08</v>
      </c>
      <c r="K4" s="6">
        <v>70.53</v>
      </c>
      <c r="L4" s="6">
        <v>67.745</v>
      </c>
      <c r="M4" s="6">
        <v>66.94</v>
      </c>
      <c r="N4" s="6">
        <v>68.08</v>
      </c>
      <c r="O4" s="6">
        <v>68.48</v>
      </c>
      <c r="P4" s="6">
        <v>66.18</v>
      </c>
      <c r="Q4" s="6">
        <v>64.58</v>
      </c>
    </row>
    <row r="5" spans="1:17">
      <c r="A5" s="5">
        <v>20250805</v>
      </c>
      <c r="B5" s="6">
        <v>65.16</v>
      </c>
      <c r="C5" s="6">
        <v>67.64</v>
      </c>
      <c r="D5" s="6">
        <v>70.36</v>
      </c>
      <c r="E5" s="6">
        <v>509.1</v>
      </c>
      <c r="F5" s="6">
        <v>70.33</v>
      </c>
      <c r="G5" s="6">
        <v>70.33</v>
      </c>
      <c r="H5" s="6">
        <v>69.48</v>
      </c>
      <c r="I5" s="6">
        <v>67.705</v>
      </c>
      <c r="J5" s="6">
        <v>71.6</v>
      </c>
      <c r="K5" s="6">
        <v>70.1</v>
      </c>
      <c r="L5" s="6">
        <v>66.93</v>
      </c>
      <c r="M5" s="6">
        <v>65.66</v>
      </c>
      <c r="N5" s="6">
        <v>67.64</v>
      </c>
      <c r="O5" s="6">
        <v>68.04</v>
      </c>
      <c r="P5" s="6">
        <v>65.7</v>
      </c>
      <c r="Q5" s="6">
        <v>63.99</v>
      </c>
    </row>
    <row r="6" spans="1:17">
      <c r="A6" s="5">
        <v>20250806</v>
      </c>
      <c r="B6" s="6">
        <v>64.35</v>
      </c>
      <c r="C6" s="6">
        <v>66.89</v>
      </c>
      <c r="D6" s="6">
        <v>70.26</v>
      </c>
      <c r="E6" s="6">
        <v>504.2</v>
      </c>
      <c r="F6" s="6">
        <v>70.35</v>
      </c>
      <c r="G6" s="6">
        <v>70.39</v>
      </c>
      <c r="H6" s="6">
        <v>69.475</v>
      </c>
      <c r="I6" s="6">
        <v>67.23</v>
      </c>
      <c r="J6" s="6">
        <v>71.1</v>
      </c>
      <c r="K6" s="6">
        <v>69.6</v>
      </c>
      <c r="L6" s="6">
        <v>66.555</v>
      </c>
      <c r="M6" s="6">
        <v>66</v>
      </c>
      <c r="N6" s="6">
        <v>67.49</v>
      </c>
      <c r="O6" s="6">
        <v>67.89</v>
      </c>
      <c r="P6" s="6">
        <v>65.3</v>
      </c>
      <c r="Q6" s="6">
        <v>63.89</v>
      </c>
    </row>
    <row r="7" spans="1:17">
      <c r="A7" s="5">
        <v>20250807</v>
      </c>
      <c r="B7" s="6">
        <v>63.88</v>
      </c>
      <c r="C7" s="6">
        <v>66.43</v>
      </c>
      <c r="D7" s="6">
        <v>69.31</v>
      </c>
      <c r="E7" s="6">
        <v>504.3</v>
      </c>
      <c r="F7" s="6">
        <v>69.33</v>
      </c>
      <c r="G7" s="6">
        <v>69.33</v>
      </c>
      <c r="H7" s="6">
        <v>67.73</v>
      </c>
      <c r="I7" s="6">
        <v>65.98</v>
      </c>
      <c r="J7" s="6">
        <v>69.85</v>
      </c>
      <c r="K7" s="6">
        <v>68.35</v>
      </c>
      <c r="L7" s="6">
        <v>65.29</v>
      </c>
      <c r="M7" s="6">
        <v>64.54</v>
      </c>
      <c r="N7" s="6">
        <v>66.52</v>
      </c>
      <c r="O7" s="6">
        <v>66.92</v>
      </c>
      <c r="P7" s="6">
        <v>64.15</v>
      </c>
      <c r="Q7" s="6">
        <v>62.72</v>
      </c>
    </row>
    <row r="8" spans="1:17">
      <c r="A8" s="5">
        <v>20250808</v>
      </c>
      <c r="B8" s="6">
        <v>63.88</v>
      </c>
      <c r="C8" s="6">
        <v>66.59</v>
      </c>
      <c r="D8" s="6">
        <v>68.51</v>
      </c>
      <c r="E8" s="6">
        <v>496.4</v>
      </c>
      <c r="F8" s="6">
        <v>68.5</v>
      </c>
      <c r="G8" s="6">
        <v>68.54</v>
      </c>
      <c r="H8" s="6">
        <v>67.86</v>
      </c>
      <c r="I8" s="6">
        <v>65.465</v>
      </c>
      <c r="J8" s="6">
        <v>69.26</v>
      </c>
      <c r="K8" s="6">
        <v>67.76</v>
      </c>
      <c r="L8" s="6">
        <v>64.74</v>
      </c>
      <c r="M8" s="6">
        <v>64.48</v>
      </c>
      <c r="N8" s="6">
        <v>66.05</v>
      </c>
      <c r="O8" s="6">
        <v>66.45</v>
      </c>
      <c r="P8" s="6">
        <v>63.46</v>
      </c>
      <c r="Q8" s="6">
        <v>62.2</v>
      </c>
    </row>
    <row r="9" spans="1:17">
      <c r="A9" s="5">
        <v>20250811</v>
      </c>
      <c r="B9" s="6">
        <v>63.96</v>
      </c>
      <c r="C9" s="6">
        <v>66.63</v>
      </c>
      <c r="D9" s="6">
        <v>67.98</v>
      </c>
      <c r="E9" s="6">
        <v>492.5</v>
      </c>
      <c r="F9" s="6">
        <v>68.03</v>
      </c>
      <c r="G9" s="6">
        <v>68.03</v>
      </c>
      <c r="H9" s="6">
        <v>68.07</v>
      </c>
      <c r="I9" s="6">
        <v>65.35</v>
      </c>
      <c r="J9" s="6">
        <v>68.9</v>
      </c>
      <c r="K9" s="6">
        <v>67.5</v>
      </c>
      <c r="L9" s="6">
        <v>64.75</v>
      </c>
      <c r="M9" s="6">
        <v>63.84</v>
      </c>
      <c r="N9" s="6">
        <v>65.77</v>
      </c>
      <c r="O9" s="6">
        <v>66.17</v>
      </c>
      <c r="P9" s="6">
        <v>63.35</v>
      </c>
      <c r="Q9" s="6">
        <v>61.72</v>
      </c>
    </row>
    <row r="10" spans="1:17">
      <c r="A10" s="5">
        <v>20250812</v>
      </c>
      <c r="B10" s="6">
        <v>63.17</v>
      </c>
      <c r="C10" s="6">
        <v>66.12</v>
      </c>
      <c r="D10" s="6">
        <v>68.46</v>
      </c>
      <c r="E10" s="6">
        <v>494.3</v>
      </c>
      <c r="F10" s="6">
        <v>68.5</v>
      </c>
      <c r="G10" s="6">
        <v>68.5</v>
      </c>
      <c r="H10" s="6">
        <v>67.58</v>
      </c>
      <c r="I10" s="6">
        <v>65.735</v>
      </c>
      <c r="J10" s="6">
        <v>69.33</v>
      </c>
      <c r="K10" s="6">
        <v>68.03</v>
      </c>
      <c r="L10" s="6">
        <v>65.075</v>
      </c>
      <c r="M10" s="6">
        <v>63.53</v>
      </c>
      <c r="N10" s="6">
        <v>66.37</v>
      </c>
      <c r="O10" s="6">
        <v>66.77</v>
      </c>
      <c r="P10" s="6">
        <v>63.98</v>
      </c>
      <c r="Q10" s="6">
        <v>62.22</v>
      </c>
    </row>
    <row r="11" spans="1:17">
      <c r="A11" s="5">
        <v>20250813</v>
      </c>
      <c r="B11" s="6">
        <v>62.65</v>
      </c>
      <c r="C11" s="6">
        <v>65.63</v>
      </c>
      <c r="D11" s="6">
        <v>67.36</v>
      </c>
      <c r="E11" s="6">
        <v>490.5</v>
      </c>
      <c r="F11" s="6">
        <v>67.39</v>
      </c>
      <c r="G11" s="6">
        <v>67.39</v>
      </c>
      <c r="H11" s="6">
        <v>66.91</v>
      </c>
      <c r="I11" s="6">
        <v>64.51</v>
      </c>
      <c r="J11" s="6">
        <v>68.2</v>
      </c>
      <c r="K11" s="6">
        <v>67.05</v>
      </c>
      <c r="L11" s="6">
        <v>63.895</v>
      </c>
      <c r="M11" s="6">
        <v>62.74</v>
      </c>
      <c r="N11" s="6">
        <v>65.34</v>
      </c>
      <c r="O11" s="6">
        <v>65.74</v>
      </c>
      <c r="P11" s="6">
        <v>63</v>
      </c>
      <c r="Q11" s="6">
        <v>61.19</v>
      </c>
    </row>
    <row r="12" spans="1:17">
      <c r="A12" s="5">
        <v>20250814</v>
      </c>
      <c r="B12" s="6">
        <v>63.96</v>
      </c>
      <c r="C12" s="6">
        <v>66.84</v>
      </c>
      <c r="D12" s="6">
        <v>67.66</v>
      </c>
      <c r="E12" s="6">
        <v>483.6</v>
      </c>
      <c r="F12" s="6">
        <v>67.7</v>
      </c>
      <c r="G12" s="6">
        <v>67.7</v>
      </c>
      <c r="H12" s="6">
        <v>68.285</v>
      </c>
      <c r="I12" s="6">
        <v>64.535</v>
      </c>
      <c r="J12" s="6">
        <v>68.15</v>
      </c>
      <c r="K12" s="6">
        <v>67</v>
      </c>
      <c r="L12" s="6">
        <v>63.92</v>
      </c>
      <c r="M12" s="6">
        <v>63.95</v>
      </c>
      <c r="N12" s="6">
        <v>65.6</v>
      </c>
      <c r="O12" s="6">
        <v>66</v>
      </c>
      <c r="P12" s="6">
        <v>63.15</v>
      </c>
      <c r="Q12" s="6">
        <v>61.5</v>
      </c>
    </row>
    <row r="13" spans="1:17">
      <c r="A13" s="5">
        <v>20250815</v>
      </c>
      <c r="B13" s="6">
        <v>62.8</v>
      </c>
      <c r="C13" s="6">
        <v>65.85</v>
      </c>
      <c r="D13" s="6">
        <v>68.19</v>
      </c>
      <c r="E13" s="6">
        <v>487</v>
      </c>
      <c r="F13" s="6">
        <v>68.195</v>
      </c>
      <c r="G13" s="6">
        <v>68.195</v>
      </c>
      <c r="H13" s="6">
        <v>67.905</v>
      </c>
      <c r="I13" s="6">
        <v>65.01</v>
      </c>
      <c r="J13" s="6">
        <v>68.51</v>
      </c>
      <c r="K13" s="6">
        <v>67.41</v>
      </c>
      <c r="L13" s="6">
        <v>64.47</v>
      </c>
      <c r="M13" s="6">
        <v>63.68</v>
      </c>
      <c r="N13" s="6">
        <v>66.01</v>
      </c>
      <c r="O13" s="6">
        <v>66.41</v>
      </c>
      <c r="P13" s="6">
        <v>63.56</v>
      </c>
      <c r="Q13" s="6">
        <v>61.96</v>
      </c>
    </row>
    <row r="14" spans="1:17">
      <c r="A14" s="5">
        <v>20250818</v>
      </c>
      <c r="B14" s="6">
        <v>63.42</v>
      </c>
      <c r="C14" s="6">
        <v>66.6</v>
      </c>
      <c r="D14" s="6">
        <v>67.64</v>
      </c>
      <c r="E14" s="6">
        <v>483</v>
      </c>
      <c r="F14" s="6">
        <v>67.65</v>
      </c>
      <c r="G14" s="6">
        <v>67.65</v>
      </c>
      <c r="H14" s="6">
        <v>67.345</v>
      </c>
      <c r="I14" s="6">
        <v>64.605</v>
      </c>
      <c r="J14" s="6">
        <v>68.2</v>
      </c>
      <c r="K14" s="6">
        <v>67.15</v>
      </c>
      <c r="L14" s="6">
        <v>63.94</v>
      </c>
      <c r="M14" s="6">
        <v>63.43</v>
      </c>
      <c r="N14" s="6">
        <v>65.79</v>
      </c>
      <c r="O14" s="6">
        <v>66.19</v>
      </c>
      <c r="P14" s="6">
        <v>63.2</v>
      </c>
      <c r="Q14" s="6">
        <v>61.54</v>
      </c>
    </row>
    <row r="15" spans="1:17">
      <c r="A15" s="5">
        <v>20250819</v>
      </c>
      <c r="B15" s="6">
        <v>62.35</v>
      </c>
      <c r="C15" s="6">
        <v>65.79</v>
      </c>
      <c r="D15" s="6">
        <v>68.1</v>
      </c>
      <c r="E15" s="6">
        <v>479.8</v>
      </c>
      <c r="F15" s="6">
        <v>68.04</v>
      </c>
      <c r="G15" s="6">
        <v>68.04</v>
      </c>
      <c r="H15" s="6">
        <v>67.32</v>
      </c>
      <c r="I15" s="6">
        <v>64.775</v>
      </c>
      <c r="J15" s="6">
        <v>68.42</v>
      </c>
      <c r="K15" s="6">
        <v>67.17</v>
      </c>
      <c r="L15" s="6">
        <v>64.035</v>
      </c>
      <c r="M15" s="6">
        <v>63.58</v>
      </c>
      <c r="N15" s="6">
        <v>65.91</v>
      </c>
      <c r="O15" s="6">
        <v>66.31</v>
      </c>
      <c r="P15" s="6">
        <v>63.42</v>
      </c>
      <c r="Q15" s="6">
        <v>61.56</v>
      </c>
    </row>
    <row r="16" spans="1:17">
      <c r="A16" s="5">
        <v>20250820</v>
      </c>
      <c r="B16" s="6">
        <v>63.21</v>
      </c>
      <c r="C16" s="6">
        <v>66.84</v>
      </c>
      <c r="D16" s="6">
        <v>68.74</v>
      </c>
      <c r="E16" s="6">
        <v>475.3</v>
      </c>
      <c r="F16" s="6">
        <v>68.8</v>
      </c>
      <c r="G16" s="6">
        <v>68.8</v>
      </c>
      <c r="H16" s="6">
        <v>67.555</v>
      </c>
      <c r="I16" s="6">
        <v>65.29</v>
      </c>
      <c r="J16" s="6">
        <v>69.14</v>
      </c>
      <c r="K16" s="6">
        <v>67.44</v>
      </c>
      <c r="L16" s="6">
        <v>64.415</v>
      </c>
      <c r="M16" s="6">
        <v>64.19</v>
      </c>
      <c r="N16" s="6">
        <v>66.53</v>
      </c>
      <c r="O16" s="6">
        <v>67.03</v>
      </c>
      <c r="P16" s="6">
        <v>63.84</v>
      </c>
      <c r="Q16" s="6">
        <v>62.08</v>
      </c>
    </row>
    <row r="17" spans="1:17">
      <c r="A17" s="5">
        <v>20250821</v>
      </c>
      <c r="B17" s="6">
        <v>63.52</v>
      </c>
      <c r="C17" s="6">
        <v>67.67</v>
      </c>
      <c r="D17" s="6">
        <v>69.72</v>
      </c>
      <c r="E17" s="6">
        <v>479.9</v>
      </c>
      <c r="F17" s="6">
        <v>69.66</v>
      </c>
      <c r="G17" s="6">
        <v>69.69</v>
      </c>
      <c r="H17" s="6">
        <v>68.125</v>
      </c>
      <c r="I17" s="6">
        <v>66.185</v>
      </c>
      <c r="J17" s="6">
        <v>69.96</v>
      </c>
      <c r="K17" s="6">
        <v>68.21</v>
      </c>
      <c r="L17" s="6">
        <v>65.325</v>
      </c>
      <c r="M17" s="6">
        <v>64.73</v>
      </c>
      <c r="N17" s="6">
        <v>67.44</v>
      </c>
      <c r="O17" s="6">
        <v>67.94</v>
      </c>
      <c r="P17" s="6">
        <v>64.66</v>
      </c>
      <c r="Q17" s="6">
        <v>62.99</v>
      </c>
    </row>
    <row r="18" spans="1:17">
      <c r="A18" s="5">
        <v>20250822</v>
      </c>
      <c r="B18" s="6">
        <v>63.66</v>
      </c>
      <c r="C18" s="6">
        <v>67.73</v>
      </c>
      <c r="D18" s="6">
        <v>69.98</v>
      </c>
      <c r="E18" s="6">
        <v>485.6</v>
      </c>
      <c r="F18" s="6">
        <v>69.9</v>
      </c>
      <c r="G18" s="6">
        <v>69.93</v>
      </c>
      <c r="H18" s="6">
        <v>68.23</v>
      </c>
      <c r="I18" s="6">
        <v>66.445</v>
      </c>
      <c r="J18" s="6">
        <v>70.43</v>
      </c>
      <c r="K18" s="6">
        <v>68.58</v>
      </c>
      <c r="L18" s="6">
        <v>65.56</v>
      </c>
      <c r="M18" s="6">
        <v>65.04</v>
      </c>
      <c r="N18" s="6">
        <v>67.88</v>
      </c>
      <c r="O18" s="6">
        <v>68.38</v>
      </c>
      <c r="P18" s="6">
        <v>64.93</v>
      </c>
      <c r="Q18" s="6">
        <v>63.33</v>
      </c>
    </row>
    <row r="19" spans="1:17">
      <c r="A19" s="5">
        <v>20250825</v>
      </c>
      <c r="B19" s="6">
        <v>64.8</v>
      </c>
      <c r="C19" s="6">
        <v>68.8</v>
      </c>
      <c r="D19" s="6">
        <v>70.05</v>
      </c>
      <c r="E19" s="6">
        <v>486.8</v>
      </c>
      <c r="F19" s="6">
        <v>70</v>
      </c>
      <c r="G19" s="6">
        <v>70</v>
      </c>
      <c r="H19" s="6"/>
      <c r="I19" s="6">
        <v>66.765</v>
      </c>
      <c r="J19" s="6">
        <v>70.65</v>
      </c>
      <c r="K19" s="6">
        <v>68.9</v>
      </c>
      <c r="L19" s="6">
        <v>65.88</v>
      </c>
      <c r="M19" s="6"/>
      <c r="N19" s="6"/>
      <c r="O19" s="6"/>
      <c r="P19" s="6"/>
      <c r="Q19" s="6">
        <v>63.43</v>
      </c>
    </row>
    <row r="20" spans="1:17">
      <c r="A20" s="5">
        <v>20250826</v>
      </c>
      <c r="B20" s="6">
        <v>63.25</v>
      </c>
      <c r="C20" s="6">
        <v>67.22</v>
      </c>
      <c r="D20" s="6">
        <v>70.38</v>
      </c>
      <c r="E20" s="6">
        <v>488.7</v>
      </c>
      <c r="F20" s="6">
        <v>70.35</v>
      </c>
      <c r="G20" s="6">
        <v>70.37</v>
      </c>
      <c r="H20" s="6">
        <v>67.44</v>
      </c>
      <c r="I20" s="6">
        <v>67.135</v>
      </c>
      <c r="J20" s="6">
        <v>70.68</v>
      </c>
      <c r="K20" s="6">
        <v>69.13</v>
      </c>
      <c r="L20" s="6">
        <v>66.23</v>
      </c>
      <c r="M20" s="6">
        <v>64.88</v>
      </c>
      <c r="N20" s="6">
        <v>68.55</v>
      </c>
      <c r="O20" s="6">
        <v>69.05</v>
      </c>
      <c r="P20" s="6">
        <v>65.58</v>
      </c>
      <c r="Q20" s="6">
        <v>63.7</v>
      </c>
    </row>
    <row r="21" spans="1:17">
      <c r="A21" s="5">
        <v>20250827</v>
      </c>
      <c r="B21" s="6">
        <v>64.15</v>
      </c>
      <c r="C21" s="6">
        <v>68.05</v>
      </c>
      <c r="D21" s="6">
        <v>69.45</v>
      </c>
      <c r="E21" s="6">
        <v>479.4</v>
      </c>
      <c r="F21" s="6">
        <v>69.25</v>
      </c>
      <c r="G21" s="6">
        <v>69.25</v>
      </c>
      <c r="H21" s="6">
        <v>67.27</v>
      </c>
      <c r="I21" s="6">
        <v>65.91</v>
      </c>
      <c r="J21" s="6">
        <v>69.61</v>
      </c>
      <c r="K21" s="6">
        <v>68.06</v>
      </c>
      <c r="L21" s="6">
        <v>65.01</v>
      </c>
      <c r="M21" s="6">
        <v>64.83</v>
      </c>
      <c r="N21" s="6">
        <v>67.51</v>
      </c>
      <c r="O21" s="6">
        <v>68.01</v>
      </c>
      <c r="P21" s="6">
        <v>64.51</v>
      </c>
      <c r="Q21" s="6">
        <v>62.61</v>
      </c>
    </row>
    <row r="22" spans="1:17">
      <c r="A22" s="5">
        <v>20250828</v>
      </c>
      <c r="B22" s="6">
        <v>64.6</v>
      </c>
      <c r="C22" s="6">
        <v>68.62</v>
      </c>
      <c r="D22" s="6">
        <v>68.53</v>
      </c>
      <c r="E22" s="6">
        <v>473</v>
      </c>
      <c r="F22" s="6">
        <v>69.7</v>
      </c>
      <c r="G22" s="6">
        <v>69.7</v>
      </c>
      <c r="H22" s="6">
        <v>67.45</v>
      </c>
      <c r="I22" s="6">
        <v>66.25</v>
      </c>
      <c r="J22" s="6">
        <v>69.94</v>
      </c>
      <c r="K22" s="6">
        <v>68.29</v>
      </c>
      <c r="L22" s="6">
        <v>65.355</v>
      </c>
      <c r="M22" s="6">
        <v>65.08</v>
      </c>
      <c r="N22" s="6">
        <v>67.78</v>
      </c>
      <c r="O22" s="6">
        <v>68.28</v>
      </c>
      <c r="P22" s="6">
        <v>64.84</v>
      </c>
      <c r="Q22" s="6">
        <v>62.98</v>
      </c>
    </row>
    <row r="23" spans="1:17">
      <c r="A23" s="5">
        <v>20250829</v>
      </c>
      <c r="B23" s="6">
        <v>64.01</v>
      </c>
      <c r="C23" s="6">
        <v>68.12</v>
      </c>
      <c r="D23" s="6">
        <v>70.31</v>
      </c>
      <c r="E23" s="6">
        <v>475.8</v>
      </c>
      <c r="F23" s="6">
        <v>70.5</v>
      </c>
      <c r="G23" s="6">
        <v>70.5</v>
      </c>
      <c r="H23" s="6">
        <v>67.85</v>
      </c>
      <c r="I23" s="6">
        <v>66.85</v>
      </c>
      <c r="J23" s="6">
        <v>70.75</v>
      </c>
      <c r="K23" s="6">
        <v>69.05</v>
      </c>
      <c r="L23" s="6">
        <v>65.97</v>
      </c>
      <c r="M23" s="6">
        <v>65.45</v>
      </c>
      <c r="N23" s="6">
        <v>68.37</v>
      </c>
      <c r="O23" s="6">
        <v>68.87</v>
      </c>
      <c r="P23" s="6">
        <v>65.65</v>
      </c>
      <c r="Q23" s="6">
        <v>63.62</v>
      </c>
    </row>
    <row r="24" spans="1:17">
      <c r="A24" s="7" t="s">
        <v>17</v>
      </c>
      <c r="B24" s="8">
        <f>AVERAGE(B19:B23)</f>
        <v>64.162</v>
      </c>
      <c r="C24" s="8">
        <f t="shared" ref="C24:Q24" si="0">AVERAGE(C19:C23)</f>
        <v>68.162</v>
      </c>
      <c r="D24" s="8">
        <f t="shared" si="0"/>
        <v>69.744</v>
      </c>
      <c r="E24" s="8">
        <f t="shared" si="0"/>
        <v>480.74</v>
      </c>
      <c r="F24" s="8">
        <f t="shared" si="0"/>
        <v>69.96</v>
      </c>
      <c r="G24" s="8">
        <f t="shared" si="0"/>
        <v>69.964</v>
      </c>
      <c r="H24" s="8">
        <f t="shared" si="0"/>
        <v>67.5025</v>
      </c>
      <c r="I24" s="8">
        <f t="shared" si="0"/>
        <v>66.582</v>
      </c>
      <c r="J24" s="8">
        <f t="shared" si="0"/>
        <v>70.326</v>
      </c>
      <c r="K24" s="8">
        <f t="shared" si="0"/>
        <v>68.686</v>
      </c>
      <c r="L24" s="8">
        <f t="shared" si="0"/>
        <v>65.689</v>
      </c>
      <c r="M24" s="8">
        <f t="shared" si="0"/>
        <v>65.06</v>
      </c>
      <c r="N24" s="8">
        <f t="shared" si="0"/>
        <v>68.0525</v>
      </c>
      <c r="O24" s="8">
        <f t="shared" si="0"/>
        <v>68.5525</v>
      </c>
      <c r="P24" s="8">
        <f t="shared" si="0"/>
        <v>65.145</v>
      </c>
      <c r="Q24" s="8">
        <f t="shared" si="0"/>
        <v>63.268</v>
      </c>
    </row>
    <row r="25" ht="22.5" spans="1:17">
      <c r="A25" s="3" t="s">
        <v>32</v>
      </c>
      <c r="B25" s="9">
        <f>AVERAGE(B3:B23)</f>
        <v>64.0190476190476</v>
      </c>
      <c r="C25" s="9">
        <f t="shared" ref="C25:Q25" si="1">AVERAGE(C3:C23)</f>
        <v>67.2614285714286</v>
      </c>
      <c r="D25" s="9">
        <f t="shared" si="1"/>
        <v>69.3266666666667</v>
      </c>
      <c r="E25" s="9">
        <f t="shared" si="1"/>
        <v>491.147619047619</v>
      </c>
      <c r="F25" s="9">
        <f t="shared" si="1"/>
        <v>69.385</v>
      </c>
      <c r="G25" s="9">
        <f t="shared" si="1"/>
        <v>69.392619047619</v>
      </c>
      <c r="H25" s="9">
        <f t="shared" si="1"/>
        <v>68.2055</v>
      </c>
      <c r="I25" s="9">
        <f t="shared" si="1"/>
        <v>66.2140476190476</v>
      </c>
      <c r="J25" s="9">
        <f t="shared" si="1"/>
        <v>69.9585714285714</v>
      </c>
      <c r="K25" s="9">
        <f t="shared" si="1"/>
        <v>68.4728571428571</v>
      </c>
      <c r="L25" s="9">
        <f t="shared" si="1"/>
        <v>65.4469047619048</v>
      </c>
      <c r="M25" s="9">
        <f t="shared" si="1"/>
        <v>64.695</v>
      </c>
      <c r="N25" s="9">
        <f t="shared" si="1"/>
        <v>67.0585</v>
      </c>
      <c r="O25" s="9">
        <f t="shared" si="1"/>
        <v>67.4935</v>
      </c>
      <c r="P25" s="9">
        <f t="shared" si="1"/>
        <v>64.5365</v>
      </c>
      <c r="Q25" s="9">
        <f t="shared" si="1"/>
        <v>62.897619047619</v>
      </c>
    </row>
    <row r="26" ht="23.25" spans="1:17">
      <c r="A26" s="10" t="s">
        <v>19</v>
      </c>
      <c r="B26" s="23">
        <f>(B25-B2)/B2</f>
        <v>-0.0479473771460119</v>
      </c>
      <c r="C26" s="23">
        <f t="shared" ref="B26:Q26" si="2">(C25-C2)/C2</f>
        <v>-0.0329537752352853</v>
      </c>
      <c r="D26" s="23">
        <f t="shared" si="2"/>
        <v>-0.0262573460111183</v>
      </c>
      <c r="E26" s="23">
        <f t="shared" si="2"/>
        <v>-0.0522840331810433</v>
      </c>
      <c r="F26" s="23">
        <f t="shared" si="2"/>
        <v>-0.0208997987631294</v>
      </c>
      <c r="G26" s="23">
        <f t="shared" si="2"/>
        <v>-0.0227827887541094</v>
      </c>
      <c r="H26" s="23">
        <f t="shared" si="2"/>
        <v>-0.0392061810208609</v>
      </c>
      <c r="I26" s="23">
        <f t="shared" si="2"/>
        <v>-0.0293917967431709</v>
      </c>
      <c r="J26" s="23">
        <f t="shared" si="2"/>
        <v>-0.0370810809886578</v>
      </c>
      <c r="K26" s="23">
        <f t="shared" si="2"/>
        <v>-0.0319835059802239</v>
      </c>
      <c r="L26" s="23">
        <f t="shared" si="2"/>
        <v>-0.0290027289169357</v>
      </c>
      <c r="M26" s="23">
        <f t="shared" si="2"/>
        <v>-0.0236447028254227</v>
      </c>
      <c r="N26" s="23">
        <f t="shared" si="2"/>
        <v>-0.0135365299870162</v>
      </c>
      <c r="O26" s="23">
        <f t="shared" si="2"/>
        <v>-0.0129454889967003</v>
      </c>
      <c r="P26" s="23">
        <f t="shared" si="2"/>
        <v>-0.0206969011222468</v>
      </c>
      <c r="Q26" s="23">
        <f t="shared" si="2"/>
        <v>-0.0279620240446978</v>
      </c>
    </row>
    <row r="27" ht="15" spans="1:1">
      <c r="A27" s="25"/>
    </row>
  </sheetData>
  <conditionalFormatting sqref="B26:Q26">
    <cfRule type="cellIs" dxfId="3" priority="1" operator="equal">
      <formula>0</formula>
    </cfRule>
    <cfRule type="cellIs" dxfId="4" priority="2" operator="lessThan">
      <formula>0</formula>
    </cfRule>
    <cfRule type="cellIs" dxfId="5" priority="3" operator="greaterThan">
      <formula>0</formula>
    </cfRule>
  </conditionalFormatting>
  <pageMargins left="0.75" right="0.75" top="1" bottom="1" header="0.5" footer="0.5"/>
  <pageSetup paperSize="9" orientation="portrait"/>
  <headerFooter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Q29"/>
  <sheetViews>
    <sheetView workbookViewId="0">
      <selection activeCell="C24" sqref="C24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ht="22.5" spans="1:17">
      <c r="A2" s="3" t="s">
        <v>33</v>
      </c>
      <c r="B2" s="9">
        <v>67.326</v>
      </c>
      <c r="C2" s="9">
        <v>69.802380952381</v>
      </c>
      <c r="D2" s="9">
        <v>69.3666666666667</v>
      </c>
      <c r="E2" s="9">
        <v>509.175</v>
      </c>
      <c r="F2" s="9">
        <v>69.2683333333333</v>
      </c>
      <c r="G2" s="9">
        <v>69.3542857142857</v>
      </c>
      <c r="H2" s="9">
        <v>71.4635714285714</v>
      </c>
      <c r="I2" s="9">
        <v>67.4076190476191</v>
      </c>
      <c r="J2" s="9">
        <v>72.7914285714286</v>
      </c>
      <c r="K2" s="9">
        <v>70.4223809523809</v>
      </c>
      <c r="L2" s="9">
        <v>66.932380952381</v>
      </c>
      <c r="M2" s="9">
        <v>66.4533333333333</v>
      </c>
      <c r="N2" s="9">
        <v>67.2214285714286</v>
      </c>
      <c r="O2" s="9">
        <v>67.6190476190476</v>
      </c>
      <c r="P2" s="9">
        <v>66.0747619047619</v>
      </c>
      <c r="Q2" s="9">
        <v>64.2952380952381</v>
      </c>
    </row>
    <row r="3" spans="1:17">
      <c r="A3" s="5">
        <v>20250701</v>
      </c>
      <c r="B3" s="6">
        <v>65.45</v>
      </c>
      <c r="C3" s="6">
        <v>67.11</v>
      </c>
      <c r="D3" s="6">
        <v>68.22</v>
      </c>
      <c r="E3" s="6">
        <v>497</v>
      </c>
      <c r="F3" s="6">
        <v>68.15</v>
      </c>
      <c r="G3" s="6">
        <v>68.16</v>
      </c>
      <c r="H3" s="6">
        <v>68.71</v>
      </c>
      <c r="I3" s="6">
        <v>65.49</v>
      </c>
      <c r="J3" s="6">
        <v>70.43</v>
      </c>
      <c r="K3" s="6">
        <v>68.38</v>
      </c>
      <c r="L3" s="6">
        <v>65.03</v>
      </c>
      <c r="M3" s="6">
        <v>64.56</v>
      </c>
      <c r="N3" s="6">
        <v>65.24</v>
      </c>
      <c r="O3" s="6">
        <v>65.64</v>
      </c>
      <c r="P3" s="6">
        <v>63.38</v>
      </c>
      <c r="Q3" s="6">
        <v>61.99</v>
      </c>
    </row>
    <row r="4" spans="1:17">
      <c r="A4" s="5">
        <v>20250702</v>
      </c>
      <c r="B4" s="6">
        <v>67.45</v>
      </c>
      <c r="C4" s="6">
        <v>69.11</v>
      </c>
      <c r="D4" s="6">
        <v>68.7</v>
      </c>
      <c r="E4" s="6">
        <v>498.5</v>
      </c>
      <c r="F4" s="6">
        <v>68.6</v>
      </c>
      <c r="G4" s="6">
        <v>68.62</v>
      </c>
      <c r="H4" s="6">
        <v>69.85</v>
      </c>
      <c r="I4" s="6">
        <v>66.095</v>
      </c>
      <c r="J4" s="6">
        <v>70.91</v>
      </c>
      <c r="K4" s="6">
        <v>68.86</v>
      </c>
      <c r="L4" s="6">
        <v>65.575</v>
      </c>
      <c r="M4" s="6">
        <v>65.46</v>
      </c>
      <c r="N4" s="6">
        <v>65.57</v>
      </c>
      <c r="O4" s="6">
        <v>65.97</v>
      </c>
      <c r="P4" s="6">
        <v>63.86</v>
      </c>
      <c r="Q4" s="6">
        <v>62.32</v>
      </c>
    </row>
    <row r="5" spans="1:17">
      <c r="A5" s="5">
        <v>20250703</v>
      </c>
      <c r="B5" s="6">
        <v>67</v>
      </c>
      <c r="C5" s="6">
        <v>68.8</v>
      </c>
      <c r="D5" s="6">
        <v>69.78</v>
      </c>
      <c r="E5" s="6">
        <v>503.7</v>
      </c>
      <c r="F5" s="6">
        <v>69.61</v>
      </c>
      <c r="G5" s="6">
        <v>69.75</v>
      </c>
      <c r="H5" s="6">
        <v>71.14</v>
      </c>
      <c r="I5" s="6">
        <v>67.42</v>
      </c>
      <c r="J5" s="6">
        <v>71.77</v>
      </c>
      <c r="K5" s="6">
        <v>69.82</v>
      </c>
      <c r="L5" s="6">
        <v>66.9</v>
      </c>
      <c r="M5" s="6">
        <v>66.25</v>
      </c>
      <c r="N5" s="6">
        <v>66.45</v>
      </c>
      <c r="O5" s="6">
        <v>66.85</v>
      </c>
      <c r="P5" s="6">
        <v>64.72</v>
      </c>
      <c r="Q5" s="6">
        <v>63.4</v>
      </c>
    </row>
    <row r="6" spans="1:17">
      <c r="A6" s="5">
        <v>20250704</v>
      </c>
      <c r="B6" s="6"/>
      <c r="C6" s="6">
        <v>68.3</v>
      </c>
      <c r="D6" s="6">
        <v>69.77</v>
      </c>
      <c r="E6" s="6">
        <v>506.4</v>
      </c>
      <c r="F6" s="6">
        <v>69.56</v>
      </c>
      <c r="G6" s="6">
        <v>69.75</v>
      </c>
      <c r="H6" s="6">
        <v>70.73</v>
      </c>
      <c r="I6" s="6">
        <v>67.33</v>
      </c>
      <c r="J6" s="6">
        <v>72.05</v>
      </c>
      <c r="K6" s="6">
        <v>70.1</v>
      </c>
      <c r="L6" s="6">
        <v>66.835</v>
      </c>
      <c r="M6" s="6">
        <v>66.14</v>
      </c>
      <c r="N6" s="6">
        <v>66.58</v>
      </c>
      <c r="O6" s="6">
        <v>66.98</v>
      </c>
      <c r="P6" s="6">
        <v>65</v>
      </c>
      <c r="Q6" s="6">
        <v>63.53</v>
      </c>
    </row>
    <row r="7" spans="1:17">
      <c r="A7" s="5">
        <v>20250707</v>
      </c>
      <c r="B7" s="6">
        <v>67.93</v>
      </c>
      <c r="C7" s="6">
        <v>69.58</v>
      </c>
      <c r="D7" s="6">
        <v>69.71</v>
      </c>
      <c r="E7" s="6">
        <v>501.3</v>
      </c>
      <c r="F7" s="6">
        <v>69.44</v>
      </c>
      <c r="G7" s="6">
        <v>69.73</v>
      </c>
      <c r="H7" s="6">
        <v>71.3</v>
      </c>
      <c r="I7" s="6">
        <v>67.245</v>
      </c>
      <c r="J7" s="6">
        <v>71.66</v>
      </c>
      <c r="K7" s="6">
        <v>69.66</v>
      </c>
      <c r="L7" s="6">
        <v>66.56</v>
      </c>
      <c r="M7" s="6">
        <v>66.87</v>
      </c>
      <c r="N7" s="6">
        <v>66.48</v>
      </c>
      <c r="O7" s="6">
        <v>66.88</v>
      </c>
      <c r="P7" s="6">
        <v>64.66</v>
      </c>
      <c r="Q7" s="6">
        <v>63.43</v>
      </c>
    </row>
    <row r="8" spans="1:17">
      <c r="A8" s="5">
        <v>20250708</v>
      </c>
      <c r="B8" s="6">
        <v>68.33</v>
      </c>
      <c r="C8" s="6">
        <v>70.15</v>
      </c>
      <c r="D8" s="6">
        <v>70.89</v>
      </c>
      <c r="E8" s="6">
        <v>509.9</v>
      </c>
      <c r="F8" s="6">
        <v>70.46</v>
      </c>
      <c r="G8" s="6">
        <v>70.61</v>
      </c>
      <c r="H8" s="6">
        <v>72.045</v>
      </c>
      <c r="I8" s="6">
        <v>68.13</v>
      </c>
      <c r="J8" s="6">
        <v>72.62</v>
      </c>
      <c r="K8" s="6">
        <v>70.67</v>
      </c>
      <c r="L8" s="6">
        <v>67.505</v>
      </c>
      <c r="M8" s="6">
        <v>67.79</v>
      </c>
      <c r="N8" s="6">
        <v>67.43</v>
      </c>
      <c r="O8" s="6">
        <v>67.83</v>
      </c>
      <c r="P8" s="6">
        <v>65.67</v>
      </c>
      <c r="Q8" s="6">
        <v>64.38</v>
      </c>
    </row>
    <row r="9" spans="1:17">
      <c r="A9" s="5">
        <v>20250709</v>
      </c>
      <c r="B9" s="6">
        <v>68.38</v>
      </c>
      <c r="C9" s="6">
        <v>70.19</v>
      </c>
      <c r="D9" s="6">
        <v>72.17</v>
      </c>
      <c r="E9" s="6">
        <v>515.7</v>
      </c>
      <c r="F9" s="6">
        <v>71.8</v>
      </c>
      <c r="G9" s="6">
        <v>71.88</v>
      </c>
      <c r="H9" s="6">
        <v>72.54</v>
      </c>
      <c r="I9" s="6">
        <v>69.48</v>
      </c>
      <c r="J9" s="6">
        <v>73.87</v>
      </c>
      <c r="K9" s="6">
        <v>71.87</v>
      </c>
      <c r="L9" s="6">
        <v>68.745</v>
      </c>
      <c r="M9" s="6">
        <v>66.8</v>
      </c>
      <c r="N9" s="6">
        <v>68.73</v>
      </c>
      <c r="O9" s="6">
        <v>69.13</v>
      </c>
      <c r="P9" s="6">
        <v>66.92</v>
      </c>
      <c r="Q9" s="6">
        <v>65.73</v>
      </c>
    </row>
    <row r="10" spans="1:17">
      <c r="A10" s="5">
        <v>20250710</v>
      </c>
      <c r="B10" s="6">
        <v>66.57</v>
      </c>
      <c r="C10" s="6">
        <v>68.64</v>
      </c>
      <c r="D10" s="6">
        <v>71.88</v>
      </c>
      <c r="E10" s="6">
        <v>520.3</v>
      </c>
      <c r="F10" s="6">
        <v>71.25</v>
      </c>
      <c r="G10" s="6">
        <v>71.41</v>
      </c>
      <c r="H10" s="6">
        <v>70.585</v>
      </c>
      <c r="I10" s="6">
        <v>69.01</v>
      </c>
      <c r="J10" s="6">
        <v>73.45</v>
      </c>
      <c r="K10" s="6">
        <v>71.55</v>
      </c>
      <c r="L10" s="6">
        <v>68.345</v>
      </c>
      <c r="M10" s="6">
        <v>65.28</v>
      </c>
      <c r="N10" s="6">
        <v>68.19</v>
      </c>
      <c r="O10" s="6">
        <v>68.59</v>
      </c>
      <c r="P10" s="6">
        <v>66.5</v>
      </c>
      <c r="Q10" s="6">
        <v>65.24</v>
      </c>
    </row>
    <row r="11" spans="1:17">
      <c r="A11" s="5">
        <v>20250711</v>
      </c>
      <c r="B11" s="6">
        <v>68.45</v>
      </c>
      <c r="C11" s="6">
        <v>70.36</v>
      </c>
      <c r="D11" s="6">
        <v>70.36</v>
      </c>
      <c r="E11" s="6">
        <v>514.1</v>
      </c>
      <c r="F11" s="6">
        <v>70.05</v>
      </c>
      <c r="G11" s="6">
        <v>70.25</v>
      </c>
      <c r="H11" s="6">
        <v>72.63</v>
      </c>
      <c r="I11" s="6">
        <v>68.07</v>
      </c>
      <c r="J11" s="6">
        <v>72.34</v>
      </c>
      <c r="K11" s="6">
        <v>70.49</v>
      </c>
      <c r="L11" s="6">
        <v>67.45</v>
      </c>
      <c r="M11" s="6">
        <v>66.71</v>
      </c>
      <c r="N11" s="6">
        <v>67.1</v>
      </c>
      <c r="O11" s="6">
        <v>67.5</v>
      </c>
      <c r="P11" s="6">
        <v>65.44</v>
      </c>
      <c r="Q11" s="6">
        <v>64.15</v>
      </c>
    </row>
    <row r="12" spans="1:17">
      <c r="A12" s="5">
        <v>20250714</v>
      </c>
      <c r="B12" s="6">
        <v>66.98</v>
      </c>
      <c r="C12" s="6">
        <v>69.21</v>
      </c>
      <c r="D12" s="6">
        <v>72.59</v>
      </c>
      <c r="E12" s="6">
        <v>523</v>
      </c>
      <c r="F12" s="6">
        <v>72.19</v>
      </c>
      <c r="G12" s="6">
        <v>72.25</v>
      </c>
      <c r="H12" s="6">
        <v>71.455</v>
      </c>
      <c r="I12" s="6">
        <v>70.15</v>
      </c>
      <c r="J12" s="6">
        <v>74.21</v>
      </c>
      <c r="K12" s="6">
        <v>72.36</v>
      </c>
      <c r="L12" s="6">
        <v>69.445</v>
      </c>
      <c r="M12" s="6">
        <v>65.81</v>
      </c>
      <c r="N12" s="6">
        <v>68.9</v>
      </c>
      <c r="O12" s="6">
        <v>69.3</v>
      </c>
      <c r="P12" s="6">
        <v>67.31</v>
      </c>
      <c r="Q12" s="6">
        <v>66.05</v>
      </c>
    </row>
    <row r="13" spans="1:17">
      <c r="A13" s="5">
        <v>20250715</v>
      </c>
      <c r="B13" s="6">
        <v>66.52</v>
      </c>
      <c r="C13" s="6">
        <v>68.71</v>
      </c>
      <c r="D13" s="6">
        <v>70.35</v>
      </c>
      <c r="E13" s="6">
        <v>522.2</v>
      </c>
      <c r="F13" s="6">
        <v>70.1</v>
      </c>
      <c r="G13" s="6">
        <v>70.22</v>
      </c>
      <c r="H13" s="6">
        <v>71.1</v>
      </c>
      <c r="I13" s="6">
        <v>67.895</v>
      </c>
      <c r="J13" s="6">
        <v>72.48</v>
      </c>
      <c r="K13" s="6">
        <v>70.63</v>
      </c>
      <c r="L13" s="6">
        <v>67.21</v>
      </c>
      <c r="M13" s="6">
        <v>65.71</v>
      </c>
      <c r="N13" s="6">
        <v>67.16</v>
      </c>
      <c r="O13" s="6">
        <v>67.56</v>
      </c>
      <c r="P13" s="6">
        <v>65.58</v>
      </c>
      <c r="Q13" s="6">
        <v>63.96</v>
      </c>
    </row>
    <row r="14" spans="1:17">
      <c r="A14" s="5">
        <v>20250716</v>
      </c>
      <c r="B14" s="6">
        <v>66.38</v>
      </c>
      <c r="C14" s="6">
        <v>68.52</v>
      </c>
      <c r="D14" s="6">
        <v>70.06</v>
      </c>
      <c r="E14" s="6">
        <v>517.2</v>
      </c>
      <c r="F14" s="6">
        <v>69.89</v>
      </c>
      <c r="G14" s="6">
        <v>69.94</v>
      </c>
      <c r="H14" s="6">
        <v>70.01</v>
      </c>
      <c r="I14" s="6">
        <v>67.745</v>
      </c>
      <c r="J14" s="6">
        <v>72.2</v>
      </c>
      <c r="K14" s="6">
        <v>70.3</v>
      </c>
      <c r="L14" s="6">
        <v>67.03</v>
      </c>
      <c r="M14" s="6">
        <v>64.77</v>
      </c>
      <c r="N14" s="6">
        <v>67.09</v>
      </c>
      <c r="O14" s="6">
        <v>67.49</v>
      </c>
      <c r="P14" s="6">
        <v>65.3</v>
      </c>
      <c r="Q14" s="6">
        <v>63.74</v>
      </c>
    </row>
    <row r="15" spans="1:17">
      <c r="A15" s="5">
        <v>20250717</v>
      </c>
      <c r="B15" s="6">
        <v>67.54</v>
      </c>
      <c r="C15" s="6">
        <v>69.52</v>
      </c>
      <c r="D15" s="6">
        <v>69.89</v>
      </c>
      <c r="E15" s="6">
        <v>513.6</v>
      </c>
      <c r="F15" s="6">
        <v>69.555</v>
      </c>
      <c r="G15" s="6">
        <v>69.64</v>
      </c>
      <c r="H15" s="6">
        <v>70.955</v>
      </c>
      <c r="I15" s="6">
        <v>67.48</v>
      </c>
      <c r="J15" s="6">
        <v>71.93</v>
      </c>
      <c r="K15" s="6">
        <v>69.98</v>
      </c>
      <c r="L15" s="6">
        <v>66.68</v>
      </c>
      <c r="M15" s="6">
        <v>65.68</v>
      </c>
      <c r="N15" s="6">
        <v>66.97</v>
      </c>
      <c r="O15" s="6">
        <v>67.37</v>
      </c>
      <c r="P15" s="6">
        <v>65.03</v>
      </c>
      <c r="Q15" s="6">
        <v>63.47</v>
      </c>
    </row>
    <row r="16" spans="1:17">
      <c r="A16" s="5">
        <v>20250718</v>
      </c>
      <c r="B16" s="6">
        <v>67.34</v>
      </c>
      <c r="C16" s="6">
        <v>69.28</v>
      </c>
      <c r="D16" s="6">
        <v>71.25</v>
      </c>
      <c r="E16" s="6">
        <v>523.5</v>
      </c>
      <c r="F16" s="6">
        <v>70.78</v>
      </c>
      <c r="G16" s="6">
        <v>70.86</v>
      </c>
      <c r="H16" s="6">
        <v>71.28</v>
      </c>
      <c r="I16" s="6">
        <v>68.6</v>
      </c>
      <c r="J16" s="6">
        <v>73.04</v>
      </c>
      <c r="K16" s="6">
        <v>70.99</v>
      </c>
      <c r="L16" s="6">
        <v>67.515</v>
      </c>
      <c r="M16" s="6">
        <v>66.2</v>
      </c>
      <c r="N16" s="6">
        <v>68.19</v>
      </c>
      <c r="O16" s="6">
        <v>68.59</v>
      </c>
      <c r="P16" s="6">
        <v>66.09</v>
      </c>
      <c r="Q16" s="6">
        <v>64.69</v>
      </c>
    </row>
    <row r="17" spans="1:17">
      <c r="A17" s="5">
        <v>20250721</v>
      </c>
      <c r="B17" s="6">
        <v>67.2</v>
      </c>
      <c r="C17" s="6">
        <v>69.21</v>
      </c>
      <c r="D17" s="6">
        <v>70.98</v>
      </c>
      <c r="E17" s="6">
        <v>534.6</v>
      </c>
      <c r="F17" s="6">
        <v>70.8</v>
      </c>
      <c r="G17" s="6">
        <v>70.86</v>
      </c>
      <c r="H17" s="6">
        <v>70.525</v>
      </c>
      <c r="I17" s="6">
        <v>68.145</v>
      </c>
      <c r="J17" s="6">
        <v>72.68</v>
      </c>
      <c r="K17" s="6">
        <v>70.63</v>
      </c>
      <c r="L17" s="6">
        <v>67.09</v>
      </c>
      <c r="M17" s="6">
        <v>65.71</v>
      </c>
      <c r="N17" s="6">
        <v>68</v>
      </c>
      <c r="O17" s="6">
        <v>68.4</v>
      </c>
      <c r="P17" s="6">
        <v>65.83</v>
      </c>
      <c r="Q17" s="6">
        <v>64.6</v>
      </c>
    </row>
    <row r="18" spans="1:17">
      <c r="A18" s="5">
        <v>20250722</v>
      </c>
      <c r="B18" s="6">
        <v>66.21</v>
      </c>
      <c r="C18" s="6">
        <v>68.59</v>
      </c>
      <c r="D18" s="6">
        <v>70.7</v>
      </c>
      <c r="E18" s="6">
        <v>523.5</v>
      </c>
      <c r="F18" s="6">
        <v>70.52</v>
      </c>
      <c r="G18" s="6">
        <v>70.73</v>
      </c>
      <c r="H18" s="6">
        <v>69.79</v>
      </c>
      <c r="I18" s="6">
        <v>67.725</v>
      </c>
      <c r="J18" s="6">
        <v>72.21</v>
      </c>
      <c r="K18" s="6">
        <v>70.16</v>
      </c>
      <c r="L18" s="6">
        <v>66.565</v>
      </c>
      <c r="M18" s="6">
        <v>65.04</v>
      </c>
      <c r="N18" s="6">
        <v>67.81</v>
      </c>
      <c r="O18" s="6">
        <v>68.21</v>
      </c>
      <c r="P18" s="6">
        <v>65.36</v>
      </c>
      <c r="Q18" s="6">
        <v>64.41</v>
      </c>
    </row>
    <row r="19" spans="1:17">
      <c r="A19" s="5">
        <v>20250723</v>
      </c>
      <c r="B19" s="6">
        <v>65.25</v>
      </c>
      <c r="C19" s="6">
        <v>68.51</v>
      </c>
      <c r="D19" s="6">
        <v>70.52</v>
      </c>
      <c r="E19" s="6">
        <v>519.2</v>
      </c>
      <c r="F19" s="6">
        <v>70.4</v>
      </c>
      <c r="G19" s="6">
        <v>70.52</v>
      </c>
      <c r="H19" s="6">
        <v>69.7</v>
      </c>
      <c r="I19" s="6">
        <v>67.49</v>
      </c>
      <c r="J19" s="6">
        <v>71.84</v>
      </c>
      <c r="K19" s="6">
        <v>69.99</v>
      </c>
      <c r="L19" s="6">
        <v>66.42</v>
      </c>
      <c r="M19" s="6">
        <v>64.95</v>
      </c>
      <c r="N19" s="6">
        <v>67.77</v>
      </c>
      <c r="O19" s="6">
        <v>68.17</v>
      </c>
      <c r="P19" s="6">
        <v>65.19</v>
      </c>
      <c r="Q19" s="6">
        <v>64.37</v>
      </c>
    </row>
    <row r="20" spans="1:17">
      <c r="A20" s="5">
        <v>20250724</v>
      </c>
      <c r="B20" s="6">
        <v>66.03</v>
      </c>
      <c r="C20" s="6">
        <v>69.18</v>
      </c>
      <c r="D20" s="6">
        <v>71.33</v>
      </c>
      <c r="E20" s="6">
        <v>518.7</v>
      </c>
      <c r="F20" s="6">
        <v>71.17</v>
      </c>
      <c r="G20" s="6">
        <v>71.23</v>
      </c>
      <c r="H20" s="6">
        <v>70.795</v>
      </c>
      <c r="I20" s="6">
        <v>68.03</v>
      </c>
      <c r="J20" s="6">
        <v>72.24</v>
      </c>
      <c r="K20" s="6">
        <v>70.29</v>
      </c>
      <c r="L20" s="6">
        <v>66.88</v>
      </c>
      <c r="M20" s="6">
        <v>66.17</v>
      </c>
      <c r="N20" s="6">
        <v>68.47</v>
      </c>
      <c r="O20" s="6">
        <v>68.87</v>
      </c>
      <c r="P20" s="6">
        <v>65.74</v>
      </c>
      <c r="Q20" s="6">
        <v>65.07</v>
      </c>
    </row>
    <row r="21" spans="1:17">
      <c r="A21" s="5">
        <v>20250725</v>
      </c>
      <c r="B21" s="6">
        <v>65.16</v>
      </c>
      <c r="C21" s="6">
        <v>68.44</v>
      </c>
      <c r="D21" s="6">
        <v>71.91</v>
      </c>
      <c r="E21" s="6">
        <v>526.8</v>
      </c>
      <c r="F21" s="6">
        <v>71.79</v>
      </c>
      <c r="G21" s="6">
        <v>71.86</v>
      </c>
      <c r="H21" s="6">
        <v>69.56</v>
      </c>
      <c r="I21" s="6">
        <v>68.51</v>
      </c>
      <c r="J21" s="6">
        <v>72.57</v>
      </c>
      <c r="K21" s="6">
        <v>70.72</v>
      </c>
      <c r="L21" s="6">
        <v>67.42</v>
      </c>
      <c r="M21" s="6">
        <v>65.48</v>
      </c>
      <c r="N21" s="6">
        <v>69</v>
      </c>
      <c r="O21" s="6">
        <v>69.4</v>
      </c>
      <c r="P21" s="6">
        <v>66.22</v>
      </c>
      <c r="Q21" s="6">
        <v>65.65</v>
      </c>
    </row>
    <row r="22" spans="1:17">
      <c r="A22" s="5">
        <v>20250728</v>
      </c>
      <c r="B22" s="6">
        <v>66.71</v>
      </c>
      <c r="C22" s="6">
        <v>70.04</v>
      </c>
      <c r="D22" s="6">
        <v>71.28</v>
      </c>
      <c r="E22" s="6">
        <v>532.6</v>
      </c>
      <c r="F22" s="6">
        <v>71.105</v>
      </c>
      <c r="G22" s="6">
        <v>71.4</v>
      </c>
      <c r="H22" s="6">
        <v>70.305</v>
      </c>
      <c r="I22" s="6">
        <v>67.56</v>
      </c>
      <c r="J22" s="6">
        <v>71.91</v>
      </c>
      <c r="K22" s="6">
        <v>70.16</v>
      </c>
      <c r="L22" s="6">
        <v>66.515</v>
      </c>
      <c r="M22" s="6">
        <v>66.54</v>
      </c>
      <c r="N22" s="6">
        <v>68.33</v>
      </c>
      <c r="O22" s="6">
        <v>68.73</v>
      </c>
      <c r="P22" s="6">
        <v>65.66</v>
      </c>
      <c r="Q22" s="6">
        <v>64.83</v>
      </c>
    </row>
    <row r="23" spans="1:17">
      <c r="A23" s="5">
        <v>20250729</v>
      </c>
      <c r="B23" s="6">
        <v>69.21</v>
      </c>
      <c r="C23" s="6">
        <v>72.51</v>
      </c>
      <c r="D23" s="6">
        <v>73</v>
      </c>
      <c r="E23" s="6">
        <v>540.2</v>
      </c>
      <c r="F23" s="6">
        <v>72.5</v>
      </c>
      <c r="G23" s="6">
        <v>72.79</v>
      </c>
      <c r="H23" s="6">
        <v>71.48</v>
      </c>
      <c r="I23" s="6">
        <v>68.69</v>
      </c>
      <c r="J23" s="6">
        <v>73.22</v>
      </c>
      <c r="K23" s="6">
        <v>71.52</v>
      </c>
      <c r="L23" s="6">
        <v>67.69</v>
      </c>
      <c r="M23" s="6">
        <v>67.68</v>
      </c>
      <c r="N23" s="6">
        <v>69.73</v>
      </c>
      <c r="O23" s="6">
        <v>70.13</v>
      </c>
      <c r="P23" s="6">
        <v>67.07</v>
      </c>
      <c r="Q23" s="6">
        <v>66.23</v>
      </c>
    </row>
    <row r="24" spans="1:17">
      <c r="A24" s="5">
        <v>20250730</v>
      </c>
      <c r="B24" s="6">
        <v>70</v>
      </c>
      <c r="C24" s="6">
        <v>73.24</v>
      </c>
      <c r="D24" s="6">
        <v>75.84</v>
      </c>
      <c r="E24" s="6">
        <v>531</v>
      </c>
      <c r="F24" s="6">
        <v>74.95</v>
      </c>
      <c r="G24" s="6">
        <v>75.24</v>
      </c>
      <c r="H24" s="6">
        <v>73.555</v>
      </c>
      <c r="I24" s="6">
        <v>71.14</v>
      </c>
      <c r="J24" s="6">
        <v>75.32</v>
      </c>
      <c r="K24" s="6">
        <v>73.57</v>
      </c>
      <c r="L24" s="6">
        <v>70.225</v>
      </c>
      <c r="M24" s="6">
        <v>69.67</v>
      </c>
      <c r="N24" s="6">
        <v>71.81</v>
      </c>
      <c r="O24" s="6">
        <v>72.21</v>
      </c>
      <c r="P24" s="6">
        <v>69.22</v>
      </c>
      <c r="Q24" s="6">
        <v>68.41</v>
      </c>
    </row>
    <row r="25" spans="1:17">
      <c r="A25" s="5">
        <v>20250731</v>
      </c>
      <c r="B25" s="6">
        <v>69.26</v>
      </c>
      <c r="C25" s="6">
        <v>72.53</v>
      </c>
      <c r="D25" s="6">
        <v>76.33</v>
      </c>
      <c r="E25" s="6">
        <v>526.6</v>
      </c>
      <c r="F25" s="6">
        <v>75.25</v>
      </c>
      <c r="G25" s="6">
        <v>75.54</v>
      </c>
      <c r="H25" s="6">
        <v>72.7</v>
      </c>
      <c r="I25" s="6">
        <v>71.61</v>
      </c>
      <c r="J25" s="6">
        <v>76.06</v>
      </c>
      <c r="K25" s="6">
        <v>74.21</v>
      </c>
      <c r="L25" s="6">
        <v>70.61</v>
      </c>
      <c r="M25" s="6">
        <v>68.75</v>
      </c>
      <c r="N25" s="6">
        <v>72.51</v>
      </c>
      <c r="O25" s="6">
        <v>72.91</v>
      </c>
      <c r="P25" s="6">
        <v>69.96</v>
      </c>
      <c r="Q25" s="6">
        <v>68.61</v>
      </c>
    </row>
    <row r="26" spans="1:17">
      <c r="A26" s="7" t="s">
        <v>17</v>
      </c>
      <c r="B26" s="8">
        <f>AVERAGE(B22:B25)</f>
        <v>68.795</v>
      </c>
      <c r="C26" s="8">
        <f t="shared" ref="C26:Q26" si="0">AVERAGE(C22:C25)</f>
        <v>72.08</v>
      </c>
      <c r="D26" s="8">
        <f t="shared" si="0"/>
        <v>74.1125</v>
      </c>
      <c r="E26" s="8">
        <f t="shared" si="0"/>
        <v>532.6</v>
      </c>
      <c r="F26" s="8">
        <f t="shared" si="0"/>
        <v>73.45125</v>
      </c>
      <c r="G26" s="8">
        <f t="shared" si="0"/>
        <v>73.7425</v>
      </c>
      <c r="H26" s="8">
        <f t="shared" si="0"/>
        <v>72.01</v>
      </c>
      <c r="I26" s="8">
        <f t="shared" si="0"/>
        <v>69.75</v>
      </c>
      <c r="J26" s="8">
        <f t="shared" si="0"/>
        <v>74.1275</v>
      </c>
      <c r="K26" s="8">
        <f t="shared" si="0"/>
        <v>72.365</v>
      </c>
      <c r="L26" s="8">
        <f t="shared" si="0"/>
        <v>68.76</v>
      </c>
      <c r="M26" s="8">
        <f t="shared" si="0"/>
        <v>68.16</v>
      </c>
      <c r="N26" s="8">
        <f t="shared" si="0"/>
        <v>70.595</v>
      </c>
      <c r="O26" s="8">
        <f t="shared" si="0"/>
        <v>70.995</v>
      </c>
      <c r="P26" s="8">
        <f t="shared" si="0"/>
        <v>67.9775</v>
      </c>
      <c r="Q26" s="8">
        <f t="shared" si="0"/>
        <v>67.02</v>
      </c>
    </row>
    <row r="27" ht="22.5" spans="1:17">
      <c r="A27" s="3" t="s">
        <v>31</v>
      </c>
      <c r="B27" s="9">
        <f>AVERAGE(B3:B25)</f>
        <v>67.2431818181818</v>
      </c>
      <c r="C27" s="9">
        <f t="shared" ref="C27:Q27" si="1">AVERAGE(C3:C25)</f>
        <v>69.5534782608696</v>
      </c>
      <c r="D27" s="9">
        <f t="shared" si="1"/>
        <v>71.1960869565217</v>
      </c>
      <c r="E27" s="9">
        <f t="shared" si="1"/>
        <v>518.24347826087</v>
      </c>
      <c r="F27" s="9">
        <f t="shared" si="1"/>
        <v>70.8660869565217</v>
      </c>
      <c r="G27" s="9">
        <f t="shared" si="1"/>
        <v>71.0104347826087</v>
      </c>
      <c r="H27" s="9">
        <f t="shared" si="1"/>
        <v>70.9886956521739</v>
      </c>
      <c r="I27" s="9">
        <f t="shared" si="1"/>
        <v>68.2191304347826</v>
      </c>
      <c r="J27" s="9">
        <f t="shared" si="1"/>
        <v>72.6526086956522</v>
      </c>
      <c r="K27" s="9">
        <f t="shared" si="1"/>
        <v>70.7352173913043</v>
      </c>
      <c r="L27" s="9">
        <f t="shared" si="1"/>
        <v>67.4017391304348</v>
      </c>
      <c r="M27" s="9">
        <f t="shared" si="1"/>
        <v>66.2617391304348</v>
      </c>
      <c r="N27" s="9">
        <f t="shared" si="1"/>
        <v>67.9786956521739</v>
      </c>
      <c r="O27" s="9">
        <f t="shared" si="1"/>
        <v>68.3786956521739</v>
      </c>
      <c r="P27" s="9">
        <f t="shared" si="1"/>
        <v>65.9004347826087</v>
      </c>
      <c r="Q27" s="9">
        <f t="shared" si="1"/>
        <v>64.7069565217391</v>
      </c>
    </row>
    <row r="28" ht="23.25" spans="1:17">
      <c r="A28" s="10" t="s">
        <v>19</v>
      </c>
      <c r="B28" s="23">
        <f>(B27-B2)/B2</f>
        <v>-0.00123010696934571</v>
      </c>
      <c r="C28" s="23">
        <f t="shared" ref="C28:Q28" si="2">(C27-C2)/C2</f>
        <v>-0.00356581950522869</v>
      </c>
      <c r="D28" s="23">
        <f t="shared" si="2"/>
        <v>0.0263731901468774</v>
      </c>
      <c r="E28" s="23">
        <f t="shared" si="2"/>
        <v>0.0178101404445812</v>
      </c>
      <c r="F28" s="23">
        <f t="shared" si="2"/>
        <v>0.0230661479250508</v>
      </c>
      <c r="G28" s="23">
        <f t="shared" si="2"/>
        <v>0.0238795490612605</v>
      </c>
      <c r="H28" s="23">
        <f t="shared" si="2"/>
        <v>-0.00664500481720452</v>
      </c>
      <c r="I28" s="23">
        <f t="shared" si="2"/>
        <v>0.012038867395543</v>
      </c>
      <c r="J28" s="23">
        <f t="shared" si="2"/>
        <v>-0.00190709096525266</v>
      </c>
      <c r="K28" s="23">
        <f t="shared" si="2"/>
        <v>0.00444228716343651</v>
      </c>
      <c r="L28" s="23">
        <f t="shared" si="2"/>
        <v>0.00701242315565859</v>
      </c>
      <c r="M28" s="23">
        <f t="shared" si="2"/>
        <v>-0.00288313908856154</v>
      </c>
      <c r="N28" s="23">
        <f t="shared" si="2"/>
        <v>0.0112652631287161</v>
      </c>
      <c r="O28" s="23">
        <f t="shared" si="2"/>
        <v>0.0112342314758119</v>
      </c>
      <c r="P28" s="23">
        <f t="shared" si="2"/>
        <v>-0.00263833144649778</v>
      </c>
      <c r="Q28" s="23">
        <f t="shared" si="2"/>
        <v>0.00640356018110045</v>
      </c>
    </row>
    <row r="29" ht="15"/>
  </sheetData>
  <conditionalFormatting sqref="B28:Q28">
    <cfRule type="cellIs" dxfId="3" priority="1" operator="equal">
      <formula>0</formula>
    </cfRule>
    <cfRule type="cellIs" dxfId="4" priority="2" operator="lessThan">
      <formula>0</formula>
    </cfRule>
    <cfRule type="cellIs" dxfId="5" priority="3" operator="greaterThan">
      <formula>0</formula>
    </cfRule>
  </conditionalFormatting>
  <pageMargins left="0.75" right="0.75" top="1" bottom="1" header="0.5" footer="0.5"/>
  <pageSetup paperSize="9" orientation="portrait"/>
  <headerFooter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Q27"/>
  <sheetViews>
    <sheetView topLeftCell="A2" workbookViewId="0">
      <selection activeCell="B8" sqref="B8:Q8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ht="22.5" spans="1:17">
      <c r="A2" s="3" t="s">
        <v>34</v>
      </c>
      <c r="B2" s="9">
        <v>60.9352380952381</v>
      </c>
      <c r="C2" s="9">
        <v>64.0054545454546</v>
      </c>
      <c r="D2" s="9">
        <v>63.6231818181818</v>
      </c>
      <c r="E2" s="9">
        <v>464.905263157895</v>
      </c>
      <c r="F2" s="9">
        <v>63.73275</v>
      </c>
      <c r="G2" s="9">
        <v>63.73275</v>
      </c>
      <c r="H2" s="9">
        <v>64.22375</v>
      </c>
      <c r="I2" s="9">
        <v>61.82275</v>
      </c>
      <c r="J2" s="9">
        <v>66.286</v>
      </c>
      <c r="K2" s="9">
        <v>64.921</v>
      </c>
      <c r="L2" s="9">
        <v>61.696</v>
      </c>
      <c r="M2" s="9">
        <v>60.59</v>
      </c>
      <c r="N2" s="9">
        <v>62.45</v>
      </c>
      <c r="O2" s="9">
        <v>62.8</v>
      </c>
      <c r="P2" s="9">
        <v>60.5272222222222</v>
      </c>
      <c r="Q2" s="9">
        <v>60.1385</v>
      </c>
    </row>
    <row r="3" spans="1:17">
      <c r="A3" s="5">
        <v>20250602</v>
      </c>
      <c r="B3" s="6">
        <v>62.52</v>
      </c>
      <c r="C3" s="6">
        <v>64.63</v>
      </c>
      <c r="D3" s="6">
        <v>64.06</v>
      </c>
      <c r="E3" s="6"/>
      <c r="F3" s="6">
        <v>63.96</v>
      </c>
      <c r="G3" s="6">
        <v>63.96</v>
      </c>
      <c r="H3" s="6">
        <v>66.83</v>
      </c>
      <c r="I3" s="6">
        <v>62.38</v>
      </c>
      <c r="J3" s="6">
        <v>67.14</v>
      </c>
      <c r="K3" s="6">
        <v>65.19</v>
      </c>
      <c r="L3" s="6">
        <v>62.105</v>
      </c>
      <c r="M3" s="6">
        <v>61.7</v>
      </c>
      <c r="N3" s="6">
        <v>62.4</v>
      </c>
      <c r="O3" s="6">
        <v>62.75</v>
      </c>
      <c r="P3" s="6">
        <v>60.49</v>
      </c>
      <c r="Q3" s="6">
        <v>60.3</v>
      </c>
    </row>
    <row r="4" spans="1:17">
      <c r="A4" s="5">
        <v>20250603</v>
      </c>
      <c r="B4" s="6">
        <v>63.41</v>
      </c>
      <c r="C4" s="6">
        <v>65.63</v>
      </c>
      <c r="D4" s="6">
        <v>64.52</v>
      </c>
      <c r="E4" s="6">
        <v>465</v>
      </c>
      <c r="F4" s="6">
        <v>64.24</v>
      </c>
      <c r="G4" s="6">
        <v>64.24</v>
      </c>
      <c r="H4" s="6">
        <v>67.92</v>
      </c>
      <c r="I4" s="6">
        <v>62.73</v>
      </c>
      <c r="J4" s="6">
        <v>67.67</v>
      </c>
      <c r="K4" s="6">
        <v>65.72</v>
      </c>
      <c r="L4" s="6">
        <v>62.455</v>
      </c>
      <c r="M4" s="6">
        <v>62.66</v>
      </c>
      <c r="N4" s="6">
        <v>62.75</v>
      </c>
      <c r="O4" s="6">
        <v>63.15</v>
      </c>
      <c r="P4" s="6">
        <v>60.82</v>
      </c>
      <c r="Q4" s="6">
        <v>60.6</v>
      </c>
    </row>
    <row r="5" spans="1:17">
      <c r="A5" s="5">
        <v>20250604</v>
      </c>
      <c r="B5" s="6">
        <v>62.85</v>
      </c>
      <c r="C5" s="6">
        <v>64.86</v>
      </c>
      <c r="D5" s="6">
        <v>64.74</v>
      </c>
      <c r="E5" s="6">
        <v>467.6</v>
      </c>
      <c r="F5" s="6">
        <v>64.64</v>
      </c>
      <c r="G5" s="6">
        <v>64.69</v>
      </c>
      <c r="H5" s="6">
        <v>66.52</v>
      </c>
      <c r="I5" s="6">
        <v>63.43</v>
      </c>
      <c r="J5" s="6">
        <v>68.56</v>
      </c>
      <c r="K5" s="6">
        <v>66.61</v>
      </c>
      <c r="L5" s="6">
        <v>63.14</v>
      </c>
      <c r="M5" s="6">
        <v>61.37</v>
      </c>
      <c r="N5" s="6">
        <v>63.49</v>
      </c>
      <c r="O5" s="6">
        <v>63.89</v>
      </c>
      <c r="P5" s="6">
        <v>61.71</v>
      </c>
      <c r="Q5" s="6">
        <v>61.24</v>
      </c>
    </row>
    <row r="6" spans="1:17">
      <c r="A6" s="5">
        <v>20250605</v>
      </c>
      <c r="B6" s="6">
        <v>63.37</v>
      </c>
      <c r="C6" s="6">
        <v>65.34</v>
      </c>
      <c r="D6" s="6">
        <v>64.16</v>
      </c>
      <c r="E6" s="6">
        <v>464.7</v>
      </c>
      <c r="F6" s="6">
        <v>64.05</v>
      </c>
      <c r="G6" s="6">
        <v>64.14</v>
      </c>
      <c r="H6" s="6">
        <v>67.235</v>
      </c>
      <c r="I6" s="6">
        <v>62.54</v>
      </c>
      <c r="J6" s="6">
        <v>67.72</v>
      </c>
      <c r="K6" s="6">
        <v>65.87</v>
      </c>
      <c r="L6" s="6">
        <v>62.235</v>
      </c>
      <c r="M6" s="6">
        <v>62.34</v>
      </c>
      <c r="N6" s="6">
        <v>62.81</v>
      </c>
      <c r="O6" s="6">
        <v>63.21</v>
      </c>
      <c r="P6" s="6">
        <v>60.97</v>
      </c>
      <c r="Q6" s="6">
        <v>60.66</v>
      </c>
    </row>
    <row r="7" spans="1:17">
      <c r="A7" s="5">
        <v>20250606</v>
      </c>
      <c r="B7" s="6">
        <v>64.58</v>
      </c>
      <c r="C7" s="6">
        <v>66.47</v>
      </c>
      <c r="D7" s="6">
        <v>64.43</v>
      </c>
      <c r="E7" s="6">
        <v>467.9</v>
      </c>
      <c r="F7" s="6">
        <v>64.44</v>
      </c>
      <c r="G7" s="6">
        <v>64.44</v>
      </c>
      <c r="H7" s="6">
        <v>68.11</v>
      </c>
      <c r="I7" s="6">
        <v>62.755</v>
      </c>
      <c r="J7" s="6">
        <v>67.98</v>
      </c>
      <c r="K7" s="6">
        <v>65.93</v>
      </c>
      <c r="L7" s="6">
        <v>62.415</v>
      </c>
      <c r="M7" s="6">
        <v>63.11</v>
      </c>
      <c r="N7" s="6">
        <v>63.15</v>
      </c>
      <c r="O7" s="6">
        <v>63.55</v>
      </c>
      <c r="P7" s="6">
        <v>61.23</v>
      </c>
      <c r="Q7" s="6">
        <v>60.95</v>
      </c>
    </row>
    <row r="8" spans="1:17">
      <c r="A8" s="5">
        <v>20250609</v>
      </c>
      <c r="B8" s="6">
        <v>65.29</v>
      </c>
      <c r="C8" s="6">
        <v>67.04</v>
      </c>
      <c r="D8" s="6">
        <v>65.79</v>
      </c>
      <c r="E8" s="6">
        <v>473.8</v>
      </c>
      <c r="F8" s="6">
        <v>65.8</v>
      </c>
      <c r="G8" s="6">
        <v>65.87</v>
      </c>
      <c r="H8" s="6">
        <v>68.845</v>
      </c>
      <c r="I8" s="6">
        <v>63.91</v>
      </c>
      <c r="J8" s="6">
        <v>69.14</v>
      </c>
      <c r="K8" s="6">
        <v>66.89</v>
      </c>
      <c r="L8" s="6">
        <v>63.51</v>
      </c>
      <c r="M8" s="6">
        <v>62.81</v>
      </c>
      <c r="N8" s="6">
        <v>64.22</v>
      </c>
      <c r="O8" s="6">
        <v>64.62</v>
      </c>
      <c r="P8" s="6">
        <v>62.19</v>
      </c>
      <c r="Q8" s="6">
        <v>62.07</v>
      </c>
    </row>
    <row r="9" spans="1:17">
      <c r="A9" s="5">
        <v>20250610</v>
      </c>
      <c r="B9" s="6">
        <v>64.98</v>
      </c>
      <c r="C9" s="6">
        <v>66.87</v>
      </c>
      <c r="D9" s="6">
        <v>66.82</v>
      </c>
      <c r="E9" s="6">
        <v>478.9</v>
      </c>
      <c r="F9" s="6">
        <v>66.85</v>
      </c>
      <c r="G9" s="6">
        <v>66.85</v>
      </c>
      <c r="H9" s="6">
        <v>69.6</v>
      </c>
      <c r="I9" s="6">
        <v>64.96</v>
      </c>
      <c r="J9" s="6">
        <v>69.88</v>
      </c>
      <c r="K9" s="6">
        <v>67.73</v>
      </c>
      <c r="L9" s="6">
        <v>64.62</v>
      </c>
      <c r="M9" s="6">
        <v>63.79</v>
      </c>
      <c r="N9" s="6">
        <v>65.09</v>
      </c>
      <c r="O9" s="6">
        <v>65.49</v>
      </c>
      <c r="P9" s="6">
        <v>63.03</v>
      </c>
      <c r="Q9" s="6">
        <v>63.04</v>
      </c>
    </row>
    <row r="10" spans="1:17">
      <c r="A10" s="5">
        <v>20250611</v>
      </c>
      <c r="B10" s="6">
        <v>68.15</v>
      </c>
      <c r="C10" s="6">
        <v>69.77</v>
      </c>
      <c r="D10" s="6">
        <v>66.61</v>
      </c>
      <c r="E10" s="6">
        <v>481.2</v>
      </c>
      <c r="F10" s="6">
        <v>66.62</v>
      </c>
      <c r="G10" s="6">
        <v>66.78</v>
      </c>
      <c r="H10" s="6">
        <v>69.67</v>
      </c>
      <c r="I10" s="6">
        <v>65.125</v>
      </c>
      <c r="J10" s="6">
        <v>69.8</v>
      </c>
      <c r="K10" s="6">
        <v>67.85</v>
      </c>
      <c r="L10" s="6">
        <v>64.88</v>
      </c>
      <c r="M10" s="6">
        <v>64.35</v>
      </c>
      <c r="N10" s="6">
        <v>65.05</v>
      </c>
      <c r="O10" s="6">
        <v>65.45</v>
      </c>
      <c r="P10" s="6">
        <v>63.25</v>
      </c>
      <c r="Q10" s="6">
        <v>63.05</v>
      </c>
    </row>
    <row r="11" spans="1:17">
      <c r="A11" s="5">
        <v>20250612</v>
      </c>
      <c r="B11" s="6">
        <v>68.04</v>
      </c>
      <c r="C11" s="6">
        <v>69.36</v>
      </c>
      <c r="D11" s="6">
        <v>68.73</v>
      </c>
      <c r="E11" s="6">
        <v>491.1</v>
      </c>
      <c r="F11" s="6">
        <v>68.59</v>
      </c>
      <c r="G11" s="6">
        <v>68.59</v>
      </c>
      <c r="H11" s="6">
        <v>70.85</v>
      </c>
      <c r="I11" s="6">
        <v>66.935</v>
      </c>
      <c r="J11" s="6">
        <v>71.59</v>
      </c>
      <c r="K11" s="6">
        <v>69.64</v>
      </c>
      <c r="L11" s="6">
        <v>66.675</v>
      </c>
      <c r="M11" s="6">
        <v>65.97</v>
      </c>
      <c r="N11" s="6">
        <v>66.69</v>
      </c>
      <c r="O11" s="6">
        <v>67.09</v>
      </c>
      <c r="P11" s="6">
        <v>65.44</v>
      </c>
      <c r="Q11" s="6">
        <v>64.04</v>
      </c>
    </row>
    <row r="12" spans="1:17">
      <c r="A12" s="5">
        <v>20250613</v>
      </c>
      <c r="B12" s="6">
        <v>72.98</v>
      </c>
      <c r="C12" s="6">
        <v>74.23</v>
      </c>
      <c r="D12" s="6">
        <v>72.78</v>
      </c>
      <c r="E12" s="6">
        <v>513.7</v>
      </c>
      <c r="F12" s="6">
        <v>72.5</v>
      </c>
      <c r="G12" s="6">
        <v>72.61</v>
      </c>
      <c r="H12" s="6">
        <v>75.19</v>
      </c>
      <c r="I12" s="6">
        <v>71.23</v>
      </c>
      <c r="J12" s="6">
        <v>75.46</v>
      </c>
      <c r="K12" s="6">
        <v>73.41</v>
      </c>
      <c r="L12" s="6">
        <v>70.99</v>
      </c>
      <c r="M12" s="6">
        <v>69.93</v>
      </c>
      <c r="N12" s="6">
        <v>70.46</v>
      </c>
      <c r="O12" s="6">
        <v>70.86</v>
      </c>
      <c r="P12" s="6">
        <v>69.81</v>
      </c>
      <c r="Q12" s="6">
        <v>67.56</v>
      </c>
    </row>
    <row r="13" spans="1:17">
      <c r="A13" s="5">
        <v>20250616</v>
      </c>
      <c r="B13" s="6">
        <v>71.77</v>
      </c>
      <c r="C13" s="6">
        <v>73.23</v>
      </c>
      <c r="D13" s="6">
        <v>73.15</v>
      </c>
      <c r="E13" s="6">
        <v>540.9</v>
      </c>
      <c r="F13" s="6">
        <v>72.89</v>
      </c>
      <c r="G13" s="6">
        <v>72.93</v>
      </c>
      <c r="H13" s="6">
        <v>73.63</v>
      </c>
      <c r="I13" s="6">
        <v>71.285</v>
      </c>
      <c r="J13" s="6">
        <v>76.19</v>
      </c>
      <c r="K13" s="6">
        <v>73.99</v>
      </c>
      <c r="L13" s="6">
        <v>70.725</v>
      </c>
      <c r="M13" s="6">
        <v>68.72</v>
      </c>
      <c r="N13" s="6">
        <v>70.58</v>
      </c>
      <c r="O13" s="6">
        <v>70.98</v>
      </c>
      <c r="P13" s="6">
        <v>70.49</v>
      </c>
      <c r="Q13" s="6">
        <v>67.23</v>
      </c>
    </row>
    <row r="14" spans="1:17">
      <c r="A14" s="5">
        <v>20250617</v>
      </c>
      <c r="B14" s="6">
        <v>74.84</v>
      </c>
      <c r="C14" s="6">
        <v>76.45</v>
      </c>
      <c r="D14" s="6">
        <v>73.72</v>
      </c>
      <c r="E14" s="6">
        <v>525.9</v>
      </c>
      <c r="F14" s="6">
        <v>73.655</v>
      </c>
      <c r="G14" s="6">
        <v>73.655</v>
      </c>
      <c r="H14" s="6">
        <v>77.47</v>
      </c>
      <c r="I14" s="6">
        <v>71.38</v>
      </c>
      <c r="J14" s="6">
        <v>76.72</v>
      </c>
      <c r="K14" s="6">
        <v>74.32</v>
      </c>
      <c r="L14" s="6">
        <v>70.81</v>
      </c>
      <c r="M14" s="6">
        <v>72.09</v>
      </c>
      <c r="N14" s="6">
        <v>71.18</v>
      </c>
      <c r="O14" s="6">
        <v>71.58</v>
      </c>
      <c r="P14" s="6">
        <v>70.82</v>
      </c>
      <c r="Q14" s="6">
        <v>67.73</v>
      </c>
    </row>
    <row r="15" spans="1:17">
      <c r="A15" s="5">
        <v>20250618</v>
      </c>
      <c r="B15" s="6">
        <v>75.14</v>
      </c>
      <c r="C15" s="6">
        <v>76.7</v>
      </c>
      <c r="D15" s="6">
        <v>75.71</v>
      </c>
      <c r="E15" s="6">
        <v>545.1</v>
      </c>
      <c r="F15" s="6">
        <v>75.52</v>
      </c>
      <c r="G15" s="6">
        <v>75.67</v>
      </c>
      <c r="H15" s="6">
        <v>77.045</v>
      </c>
      <c r="I15" s="6">
        <v>73.355</v>
      </c>
      <c r="J15" s="6">
        <v>79.25</v>
      </c>
      <c r="K15" s="6">
        <v>75.95</v>
      </c>
      <c r="L15" s="6">
        <v>72.665</v>
      </c>
      <c r="M15" s="6">
        <v>71.86</v>
      </c>
      <c r="N15" s="6">
        <v>72.8</v>
      </c>
      <c r="O15" s="6">
        <v>73.2</v>
      </c>
      <c r="P15" s="6">
        <v>72.55</v>
      </c>
      <c r="Q15" s="6">
        <v>69.25</v>
      </c>
    </row>
    <row r="16" spans="1:17">
      <c r="A16" s="5">
        <v>20250619</v>
      </c>
      <c r="B16" s="6"/>
      <c r="C16" s="6">
        <v>78.85</v>
      </c>
      <c r="D16" s="6">
        <v>76.91</v>
      </c>
      <c r="E16" s="6">
        <v>559</v>
      </c>
      <c r="F16" s="6">
        <v>76.9</v>
      </c>
      <c r="G16" s="6">
        <v>77.05</v>
      </c>
      <c r="H16" s="6">
        <v>80.435</v>
      </c>
      <c r="I16" s="6">
        <v>74.355</v>
      </c>
      <c r="J16" s="6">
        <v>80.37</v>
      </c>
      <c r="K16" s="6">
        <v>76.87</v>
      </c>
      <c r="L16" s="6">
        <v>73.39</v>
      </c>
      <c r="M16" s="6">
        <v>74.98</v>
      </c>
      <c r="N16" s="6">
        <v>73.66</v>
      </c>
      <c r="O16" s="6">
        <v>74.06</v>
      </c>
      <c r="P16" s="6">
        <v>73.27</v>
      </c>
      <c r="Q16" s="6">
        <v>70.21</v>
      </c>
    </row>
    <row r="17" spans="1:17">
      <c r="A17" s="5">
        <v>20250620</v>
      </c>
      <c r="B17" s="6">
        <v>74.93</v>
      </c>
      <c r="C17" s="6">
        <v>77.01</v>
      </c>
      <c r="D17" s="6">
        <v>77.32</v>
      </c>
      <c r="E17" s="6">
        <v>572.8</v>
      </c>
      <c r="F17" s="6">
        <v>76.85</v>
      </c>
      <c r="G17" s="6">
        <v>77.36</v>
      </c>
      <c r="H17" s="6">
        <v>78.205</v>
      </c>
      <c r="I17" s="6">
        <v>74.455</v>
      </c>
      <c r="J17" s="6">
        <v>80.86</v>
      </c>
      <c r="K17" s="6">
        <v>77.46</v>
      </c>
      <c r="L17" s="6">
        <v>73.545</v>
      </c>
      <c r="M17" s="6">
        <v>72.96</v>
      </c>
      <c r="N17" s="6">
        <v>73.76</v>
      </c>
      <c r="O17" s="6">
        <v>74.16</v>
      </c>
      <c r="P17" s="6">
        <v>73.66</v>
      </c>
      <c r="Q17" s="6">
        <v>70.26</v>
      </c>
    </row>
    <row r="18" spans="1:17">
      <c r="A18" s="5">
        <v>20250623</v>
      </c>
      <c r="B18" s="6">
        <v>68.51</v>
      </c>
      <c r="C18" s="6">
        <v>71.48</v>
      </c>
      <c r="D18" s="6">
        <v>75.82</v>
      </c>
      <c r="E18" s="6">
        <v>569.9</v>
      </c>
      <c r="F18" s="6">
        <v>75.72</v>
      </c>
      <c r="G18" s="6">
        <v>75.72</v>
      </c>
      <c r="H18" s="6">
        <v>77.655</v>
      </c>
      <c r="I18" s="6">
        <v>74.07</v>
      </c>
      <c r="J18" s="6">
        <v>80.19</v>
      </c>
      <c r="K18" s="6">
        <v>77.14</v>
      </c>
      <c r="L18" s="6">
        <v>73.52</v>
      </c>
      <c r="M18" s="6">
        <v>72.81</v>
      </c>
      <c r="N18" s="6">
        <v>73.25</v>
      </c>
      <c r="O18" s="6">
        <v>73.65</v>
      </c>
      <c r="P18" s="6">
        <v>73.04</v>
      </c>
      <c r="Q18" s="6">
        <v>69.65</v>
      </c>
    </row>
    <row r="19" spans="1:17">
      <c r="A19" s="5">
        <v>20250624</v>
      </c>
      <c r="B19" s="6">
        <v>64.37</v>
      </c>
      <c r="C19" s="6">
        <v>67.14</v>
      </c>
      <c r="D19" s="6">
        <v>68.83</v>
      </c>
      <c r="E19" s="6">
        <v>553.6</v>
      </c>
      <c r="F19" s="6">
        <v>68.755</v>
      </c>
      <c r="G19" s="6">
        <v>68.755</v>
      </c>
      <c r="H19" s="6">
        <v>69.12</v>
      </c>
      <c r="I19" s="6">
        <v>66.735</v>
      </c>
      <c r="J19" s="6">
        <v>73.29</v>
      </c>
      <c r="K19" s="6">
        <v>70.59</v>
      </c>
      <c r="L19" s="6">
        <v>66.335</v>
      </c>
      <c r="M19" s="6">
        <v>64.87</v>
      </c>
      <c r="N19" s="6">
        <v>66.69</v>
      </c>
      <c r="O19" s="6">
        <v>67.09</v>
      </c>
      <c r="P19" s="6">
        <v>66.24</v>
      </c>
      <c r="Q19" s="6">
        <v>63.04</v>
      </c>
    </row>
    <row r="20" spans="1:17">
      <c r="A20" s="5">
        <v>20250625</v>
      </c>
      <c r="B20" s="6">
        <v>64.92</v>
      </c>
      <c r="C20" s="6">
        <v>67.68</v>
      </c>
      <c r="D20" s="6">
        <v>67.66</v>
      </c>
      <c r="E20" s="6">
        <v>508.7</v>
      </c>
      <c r="F20" s="6">
        <v>67.81</v>
      </c>
      <c r="G20" s="6">
        <v>67.81</v>
      </c>
      <c r="H20" s="6">
        <v>69.23</v>
      </c>
      <c r="I20" s="6">
        <v>66.35</v>
      </c>
      <c r="J20" s="6">
        <v>71.82</v>
      </c>
      <c r="K20" s="6">
        <v>69.32</v>
      </c>
      <c r="L20" s="6">
        <v>65.83</v>
      </c>
      <c r="M20" s="6">
        <v>64.86</v>
      </c>
      <c r="N20" s="6">
        <v>65.98</v>
      </c>
      <c r="O20" s="6">
        <v>66.38</v>
      </c>
      <c r="P20" s="6">
        <v>64.77</v>
      </c>
      <c r="Q20" s="6">
        <v>62.28</v>
      </c>
    </row>
    <row r="21" spans="1:17">
      <c r="A21" s="5">
        <v>20250626</v>
      </c>
      <c r="B21" s="6">
        <v>65.24</v>
      </c>
      <c r="C21" s="6">
        <v>67.73</v>
      </c>
      <c r="D21" s="6">
        <v>67.86</v>
      </c>
      <c r="E21" s="6">
        <v>505.4</v>
      </c>
      <c r="F21" s="6">
        <v>67.65</v>
      </c>
      <c r="G21" s="6">
        <v>67.65</v>
      </c>
      <c r="H21" s="6">
        <v>69.85</v>
      </c>
      <c r="I21" s="6">
        <v>65.69</v>
      </c>
      <c r="J21" s="6">
        <v>71.26</v>
      </c>
      <c r="K21" s="6">
        <v>68.96</v>
      </c>
      <c r="L21" s="6">
        <v>65.135</v>
      </c>
      <c r="M21" s="6">
        <v>65.39</v>
      </c>
      <c r="N21" s="6">
        <v>65.45</v>
      </c>
      <c r="O21" s="6">
        <v>65.85</v>
      </c>
      <c r="P21" s="6">
        <v>64.26</v>
      </c>
      <c r="Q21" s="6">
        <v>61.8</v>
      </c>
    </row>
    <row r="22" spans="1:17">
      <c r="A22" s="5">
        <v>20250627</v>
      </c>
      <c r="B22" s="6">
        <v>65.52</v>
      </c>
      <c r="C22" s="6">
        <v>67.77</v>
      </c>
      <c r="D22" s="6">
        <v>68.47</v>
      </c>
      <c r="E22" s="6">
        <v>502.2</v>
      </c>
      <c r="F22" s="6">
        <v>68.44</v>
      </c>
      <c r="G22" s="6">
        <v>68.46</v>
      </c>
      <c r="H22" s="6">
        <v>69.165</v>
      </c>
      <c r="I22" s="6">
        <v>65.96</v>
      </c>
      <c r="J22" s="6">
        <v>71.91</v>
      </c>
      <c r="K22" s="6">
        <v>69.66</v>
      </c>
      <c r="L22" s="6">
        <v>65.295</v>
      </c>
      <c r="M22" s="6">
        <v>64.91</v>
      </c>
      <c r="N22" s="6">
        <v>66.09</v>
      </c>
      <c r="O22" s="6">
        <v>66.49</v>
      </c>
      <c r="P22" s="6">
        <v>64.86</v>
      </c>
      <c r="Q22" s="6">
        <v>62.49</v>
      </c>
    </row>
    <row r="23" spans="1:17">
      <c r="A23" s="5">
        <v>20250630</v>
      </c>
      <c r="B23" s="6">
        <v>65.11</v>
      </c>
      <c r="C23" s="6">
        <v>67.61</v>
      </c>
      <c r="D23" s="6">
        <v>68.61</v>
      </c>
      <c r="E23" s="6">
        <v>496.1</v>
      </c>
      <c r="F23" s="6">
        <v>68.755</v>
      </c>
      <c r="G23" s="6">
        <v>69.21</v>
      </c>
      <c r="H23" s="6">
        <v>68.16</v>
      </c>
      <c r="I23" s="6">
        <v>65.93</v>
      </c>
      <c r="J23" s="6">
        <v>71.82</v>
      </c>
      <c r="K23" s="6">
        <v>69.77</v>
      </c>
      <c r="L23" s="6">
        <v>65.305</v>
      </c>
      <c r="M23" s="6">
        <v>64.04</v>
      </c>
      <c r="N23" s="6">
        <v>66.1</v>
      </c>
      <c r="O23" s="6">
        <v>66.5</v>
      </c>
      <c r="P23" s="6">
        <v>64.67</v>
      </c>
      <c r="Q23" s="6">
        <v>62.75</v>
      </c>
    </row>
    <row r="24" spans="1:17">
      <c r="A24" s="7" t="s">
        <v>17</v>
      </c>
      <c r="B24" s="8">
        <f>AVERAGE(B23)</f>
        <v>65.11</v>
      </c>
      <c r="C24" s="8">
        <f t="shared" ref="C24:Q24" si="0">AVERAGE(C23)</f>
        <v>67.61</v>
      </c>
      <c r="D24" s="8">
        <f t="shared" si="0"/>
        <v>68.61</v>
      </c>
      <c r="E24" s="8">
        <f t="shared" si="0"/>
        <v>496.1</v>
      </c>
      <c r="F24" s="8">
        <f t="shared" si="0"/>
        <v>68.755</v>
      </c>
      <c r="G24" s="8">
        <f t="shared" si="0"/>
        <v>69.21</v>
      </c>
      <c r="H24" s="8">
        <f t="shared" si="0"/>
        <v>68.16</v>
      </c>
      <c r="I24" s="8">
        <f t="shared" si="0"/>
        <v>65.93</v>
      </c>
      <c r="J24" s="8">
        <f t="shared" si="0"/>
        <v>71.82</v>
      </c>
      <c r="K24" s="8">
        <f t="shared" si="0"/>
        <v>69.77</v>
      </c>
      <c r="L24" s="8">
        <f t="shared" si="0"/>
        <v>65.305</v>
      </c>
      <c r="M24" s="8">
        <f t="shared" si="0"/>
        <v>64.04</v>
      </c>
      <c r="N24" s="8">
        <f t="shared" si="0"/>
        <v>66.1</v>
      </c>
      <c r="O24" s="8">
        <f t="shared" si="0"/>
        <v>66.5</v>
      </c>
      <c r="P24" s="8">
        <f t="shared" si="0"/>
        <v>64.67</v>
      </c>
      <c r="Q24" s="8">
        <f t="shared" si="0"/>
        <v>62.75</v>
      </c>
    </row>
    <row r="25" ht="22.5" spans="1:17">
      <c r="A25" s="3" t="s">
        <v>33</v>
      </c>
      <c r="B25" s="9">
        <f>AVERAGE(B3:B23)</f>
        <v>67.326</v>
      </c>
      <c r="C25" s="9">
        <f t="shared" ref="C25:Q25" si="1">AVERAGE(C3:C23)</f>
        <v>69.802380952381</v>
      </c>
      <c r="D25" s="9">
        <f t="shared" si="1"/>
        <v>69.3666666666667</v>
      </c>
      <c r="E25" s="9">
        <f t="shared" si="1"/>
        <v>509.175</v>
      </c>
      <c r="F25" s="9">
        <f t="shared" si="1"/>
        <v>69.2683333333333</v>
      </c>
      <c r="G25" s="9">
        <f t="shared" si="1"/>
        <v>69.3542857142857</v>
      </c>
      <c r="H25" s="9">
        <f t="shared" si="1"/>
        <v>71.4635714285714</v>
      </c>
      <c r="I25" s="9">
        <f t="shared" si="1"/>
        <v>67.4076190476191</v>
      </c>
      <c r="J25" s="9">
        <f t="shared" si="1"/>
        <v>72.7914285714286</v>
      </c>
      <c r="K25" s="9">
        <f t="shared" si="1"/>
        <v>70.4223809523809</v>
      </c>
      <c r="L25" s="9">
        <f t="shared" si="1"/>
        <v>66.932380952381</v>
      </c>
      <c r="M25" s="9">
        <f t="shared" si="1"/>
        <v>66.4533333333333</v>
      </c>
      <c r="N25" s="9">
        <f t="shared" si="1"/>
        <v>67.2214285714286</v>
      </c>
      <c r="O25" s="9">
        <f t="shared" si="1"/>
        <v>67.6190476190476</v>
      </c>
      <c r="P25" s="9">
        <f t="shared" si="1"/>
        <v>66.0747619047619</v>
      </c>
      <c r="Q25" s="9">
        <f t="shared" si="1"/>
        <v>64.2952380952381</v>
      </c>
    </row>
    <row r="26" ht="23.25" spans="1:17">
      <c r="A26" s="10" t="s">
        <v>19</v>
      </c>
      <c r="B26" s="23">
        <f>(B25-B2)/B2</f>
        <v>0.104877934419055</v>
      </c>
      <c r="C26" s="23">
        <f t="shared" ref="C26:Q26" si="2">(C25-C2)/C2</f>
        <v>0.0905692561375317</v>
      </c>
      <c r="D26" s="23">
        <f t="shared" si="2"/>
        <v>0.0902734614074819</v>
      </c>
      <c r="E26" s="23">
        <f t="shared" si="2"/>
        <v>0.095223135443554</v>
      </c>
      <c r="F26" s="23">
        <f t="shared" si="2"/>
        <v>0.086856181999574</v>
      </c>
      <c r="G26" s="23">
        <f t="shared" si="2"/>
        <v>0.0882048195674238</v>
      </c>
      <c r="H26" s="23">
        <f t="shared" si="2"/>
        <v>0.112728101809244</v>
      </c>
      <c r="I26" s="23">
        <f t="shared" si="2"/>
        <v>0.0903367942645555</v>
      </c>
      <c r="J26" s="23">
        <f t="shared" si="2"/>
        <v>0.0981418183542314</v>
      </c>
      <c r="K26" s="23">
        <f t="shared" si="2"/>
        <v>0.0847396212686333</v>
      </c>
      <c r="L26" s="23">
        <f t="shared" si="2"/>
        <v>0.0848739132582493</v>
      </c>
      <c r="M26" s="23">
        <f t="shared" si="2"/>
        <v>0.0967706442207187</v>
      </c>
      <c r="N26" s="23">
        <f t="shared" si="2"/>
        <v>0.0764039803271187</v>
      </c>
      <c r="O26" s="23">
        <f t="shared" si="2"/>
        <v>0.0767364270548982</v>
      </c>
      <c r="P26" s="23">
        <f t="shared" si="2"/>
        <v>0.0916536308600487</v>
      </c>
      <c r="Q26" s="23">
        <f t="shared" si="2"/>
        <v>0.0691194175983453</v>
      </c>
    </row>
    <row r="27" ht="15"/>
  </sheetData>
  <conditionalFormatting sqref="B26:Q26">
    <cfRule type="cellIs" dxfId="3" priority="1" operator="equal">
      <formula>0</formula>
    </cfRule>
    <cfRule type="cellIs" dxfId="4" priority="2" operator="lessThan">
      <formula>0</formula>
    </cfRule>
    <cfRule type="cellIs" dxfId="5" priority="3" operator="greaterThan">
      <formula>0</formula>
    </cfRule>
  </conditionalFormatting>
  <pageMargins left="0.75" right="0.75" top="1" bottom="1" header="0.5" footer="0.5"/>
  <pageSetup paperSize="9" orientation="portrait"/>
  <headerFooter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Q28"/>
  <sheetViews>
    <sheetView topLeftCell="A17" workbookViewId="0">
      <selection activeCell="L10" sqref="L10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ht="22.5" spans="1:17">
      <c r="A2" s="3" t="s">
        <v>20</v>
      </c>
      <c r="B2" s="9">
        <v>62.962380952381</v>
      </c>
      <c r="C2" s="9">
        <v>66.4566666666667</v>
      </c>
      <c r="D2" s="9">
        <v>67.8690476190476</v>
      </c>
      <c r="E2" s="9">
        <v>492.571428571429</v>
      </c>
      <c r="F2" s="9">
        <v>67.7378571428572</v>
      </c>
      <c r="G2" s="9">
        <v>67.7478571428572</v>
      </c>
      <c r="H2" s="9">
        <v>67.78575</v>
      </c>
      <c r="I2" s="9">
        <v>65.0273809523809</v>
      </c>
      <c r="J2" s="9">
        <v>67.9428571428572</v>
      </c>
      <c r="K2" s="9">
        <v>66.3880952380952</v>
      </c>
      <c r="L2" s="9">
        <v>64.6385714285714</v>
      </c>
      <c r="M2" s="9">
        <v>62.8845</v>
      </c>
      <c r="N2" s="9">
        <v>66.191</v>
      </c>
      <c r="O2" s="9">
        <v>66.466</v>
      </c>
      <c r="P2" s="9">
        <v>63.1695</v>
      </c>
      <c r="Q2" s="9">
        <v>61.9671428571428</v>
      </c>
    </row>
    <row r="3" spans="1:17">
      <c r="A3" s="5">
        <v>20250501</v>
      </c>
      <c r="B3" s="6">
        <v>59.24</v>
      </c>
      <c r="C3" s="6">
        <v>62.13</v>
      </c>
      <c r="D3" s="6">
        <v>60.63</v>
      </c>
      <c r="E3" s="6"/>
      <c r="F3" s="6"/>
      <c r="G3" s="6"/>
      <c r="H3" s="6">
        <v>61.535</v>
      </c>
      <c r="I3" s="6"/>
      <c r="J3" s="6"/>
      <c r="K3" s="6"/>
      <c r="L3" s="6"/>
      <c r="M3" s="6"/>
      <c r="N3" s="6"/>
      <c r="O3" s="6"/>
      <c r="P3" s="6"/>
      <c r="Q3" s="6"/>
    </row>
    <row r="4" spans="1:17">
      <c r="A4" s="5">
        <v>20250502</v>
      </c>
      <c r="B4" s="6">
        <v>58.29</v>
      </c>
      <c r="C4" s="6">
        <v>61.29</v>
      </c>
      <c r="D4" s="6">
        <v>62.1</v>
      </c>
      <c r="E4" s="6"/>
      <c r="F4" s="6">
        <v>62.02</v>
      </c>
      <c r="G4" s="6">
        <v>62.02</v>
      </c>
      <c r="H4" s="6">
        <v>61.405</v>
      </c>
      <c r="I4" s="6">
        <v>60.47</v>
      </c>
      <c r="J4" s="6">
        <v>63.54</v>
      </c>
      <c r="K4" s="6">
        <v>62.34</v>
      </c>
      <c r="L4" s="6">
        <v>60.36</v>
      </c>
      <c r="M4" s="6">
        <v>58.01</v>
      </c>
      <c r="N4" s="6">
        <v>60.82</v>
      </c>
      <c r="O4" s="6">
        <v>61.17</v>
      </c>
      <c r="P4" s="6">
        <v>58.24</v>
      </c>
      <c r="Q4" s="6">
        <v>57.82</v>
      </c>
    </row>
    <row r="5" spans="1:17">
      <c r="A5" s="5">
        <v>20250505</v>
      </c>
      <c r="B5" s="6">
        <v>57.13</v>
      </c>
      <c r="C5" s="6">
        <v>60.23</v>
      </c>
      <c r="D5" s="6">
        <v>59.62</v>
      </c>
      <c r="E5" s="6"/>
      <c r="F5" s="6">
        <v>59.55</v>
      </c>
      <c r="G5" s="6">
        <v>59.55</v>
      </c>
      <c r="H5" s="6"/>
      <c r="I5" s="6">
        <v>58.4</v>
      </c>
      <c r="J5" s="6">
        <v>61.96</v>
      </c>
      <c r="K5" s="6">
        <v>60.81</v>
      </c>
      <c r="L5" s="6">
        <v>58.33</v>
      </c>
      <c r="M5" s="6"/>
      <c r="N5" s="6"/>
      <c r="O5" s="6"/>
      <c r="P5" s="6"/>
      <c r="Q5" s="6">
        <v>55.42</v>
      </c>
    </row>
    <row r="6" spans="1:17">
      <c r="A6" s="5">
        <v>20250506</v>
      </c>
      <c r="B6" s="6">
        <v>59.09</v>
      </c>
      <c r="C6" s="6">
        <v>62.15</v>
      </c>
      <c r="D6" s="6">
        <v>61.77</v>
      </c>
      <c r="E6" s="6">
        <v>457.8</v>
      </c>
      <c r="F6" s="6">
        <v>61.69</v>
      </c>
      <c r="G6" s="6">
        <v>61.69</v>
      </c>
      <c r="H6" s="6">
        <v>62.74</v>
      </c>
      <c r="I6" s="6">
        <v>59.785</v>
      </c>
      <c r="J6" s="6">
        <v>63.12</v>
      </c>
      <c r="K6" s="6">
        <v>62.07</v>
      </c>
      <c r="L6" s="6">
        <v>59.705</v>
      </c>
      <c r="M6" s="6">
        <v>59.2</v>
      </c>
      <c r="N6" s="6">
        <v>60.2</v>
      </c>
      <c r="O6" s="6">
        <v>60.55</v>
      </c>
      <c r="P6" s="6">
        <v>57.62</v>
      </c>
      <c r="Q6" s="6">
        <v>57.45</v>
      </c>
    </row>
    <row r="7" spans="1:17">
      <c r="A7" s="5">
        <v>20250507</v>
      </c>
      <c r="B7" s="6">
        <v>58.07</v>
      </c>
      <c r="C7" s="6">
        <v>61.12</v>
      </c>
      <c r="D7" s="6">
        <v>63.76</v>
      </c>
      <c r="E7" s="6">
        <v>466.1</v>
      </c>
      <c r="F7" s="6">
        <v>63.64</v>
      </c>
      <c r="G7" s="6">
        <v>63.64</v>
      </c>
      <c r="H7" s="6">
        <v>61.09</v>
      </c>
      <c r="I7" s="6">
        <v>61.32</v>
      </c>
      <c r="J7" s="6">
        <v>64.62</v>
      </c>
      <c r="K7" s="6">
        <v>63.52</v>
      </c>
      <c r="L7" s="6">
        <v>61.26</v>
      </c>
      <c r="M7" s="6">
        <v>57.93</v>
      </c>
      <c r="N7" s="6">
        <v>61.86</v>
      </c>
      <c r="O7" s="6">
        <v>62.21</v>
      </c>
      <c r="P7" s="6">
        <v>59.02</v>
      </c>
      <c r="Q7" s="6">
        <v>59.21</v>
      </c>
    </row>
    <row r="8" spans="1:17">
      <c r="A8" s="5">
        <v>20250508</v>
      </c>
      <c r="B8" s="6">
        <v>59.91</v>
      </c>
      <c r="C8" s="6">
        <v>62.84</v>
      </c>
      <c r="D8" s="6">
        <v>62.28</v>
      </c>
      <c r="E8" s="6">
        <v>461.8</v>
      </c>
      <c r="F8" s="6">
        <v>62.15</v>
      </c>
      <c r="G8" s="6">
        <v>62.15</v>
      </c>
      <c r="H8" s="6">
        <v>62.315</v>
      </c>
      <c r="I8" s="6">
        <v>59.665</v>
      </c>
      <c r="J8" s="6">
        <v>63.24</v>
      </c>
      <c r="K8" s="6">
        <v>62.34</v>
      </c>
      <c r="L8" s="6">
        <v>59.67</v>
      </c>
      <c r="M8" s="6">
        <v>59.01</v>
      </c>
      <c r="N8" s="6">
        <v>60.48</v>
      </c>
      <c r="O8" s="6">
        <v>60.83</v>
      </c>
      <c r="P8" s="6">
        <v>57.64</v>
      </c>
      <c r="Q8" s="6">
        <v>57.83</v>
      </c>
    </row>
    <row r="9" spans="1:17">
      <c r="A9" s="5">
        <v>20250509</v>
      </c>
      <c r="B9" s="6">
        <v>61.02</v>
      </c>
      <c r="C9" s="6">
        <v>63.91</v>
      </c>
      <c r="D9" s="6">
        <v>64.46</v>
      </c>
      <c r="E9" s="6">
        <v>468.5</v>
      </c>
      <c r="F9" s="6">
        <v>63.89</v>
      </c>
      <c r="G9" s="6">
        <v>63.89</v>
      </c>
      <c r="H9" s="6">
        <v>63.59</v>
      </c>
      <c r="I9" s="6">
        <v>61.18</v>
      </c>
      <c r="J9" s="6">
        <v>64.73</v>
      </c>
      <c r="K9" s="6">
        <v>63.83</v>
      </c>
      <c r="L9" s="6">
        <v>61.095</v>
      </c>
      <c r="M9" s="6">
        <v>59.53</v>
      </c>
      <c r="N9" s="6">
        <v>62.17</v>
      </c>
      <c r="O9" s="6">
        <v>62.52</v>
      </c>
      <c r="P9" s="6">
        <v>59.03</v>
      </c>
      <c r="Q9" s="6">
        <v>59.52</v>
      </c>
    </row>
    <row r="10" spans="1:17">
      <c r="A10" s="5">
        <v>20250512</v>
      </c>
      <c r="B10" s="6">
        <v>61.95</v>
      </c>
      <c r="C10" s="6">
        <v>64.96</v>
      </c>
      <c r="D10" s="6">
        <v>65.61</v>
      </c>
      <c r="E10" s="6">
        <v>474.4</v>
      </c>
      <c r="F10" s="6"/>
      <c r="G10" s="6"/>
      <c r="H10" s="6">
        <v>65.065</v>
      </c>
      <c r="I10" s="6"/>
      <c r="J10" s="6"/>
      <c r="K10" s="6"/>
      <c r="L10" s="6"/>
      <c r="M10" s="6"/>
      <c r="N10" s="6"/>
      <c r="O10" s="6"/>
      <c r="P10" s="6"/>
      <c r="Q10" s="6"/>
    </row>
    <row r="11" spans="1:17">
      <c r="A11" s="5">
        <v>20250513</v>
      </c>
      <c r="B11" s="6">
        <v>63.67</v>
      </c>
      <c r="C11" s="6">
        <v>66.63</v>
      </c>
      <c r="D11" s="6">
        <v>65.43</v>
      </c>
      <c r="E11" s="6">
        <v>482.8</v>
      </c>
      <c r="F11" s="6">
        <v>65.25</v>
      </c>
      <c r="G11" s="6">
        <v>65.25</v>
      </c>
      <c r="H11" s="6">
        <v>66.08</v>
      </c>
      <c r="I11" s="6">
        <v>62.665</v>
      </c>
      <c r="J11" s="6">
        <v>66.75</v>
      </c>
      <c r="K11" s="6">
        <v>65.85</v>
      </c>
      <c r="L11" s="6">
        <v>62.525</v>
      </c>
      <c r="M11" s="6">
        <v>62.33</v>
      </c>
      <c r="N11" s="6">
        <v>63.74</v>
      </c>
      <c r="O11" s="6">
        <v>64.09</v>
      </c>
      <c r="P11" s="6">
        <v>61.05</v>
      </c>
      <c r="Q11" s="6">
        <v>61.09</v>
      </c>
    </row>
    <row r="12" spans="1:17">
      <c r="A12" s="5">
        <v>20250514</v>
      </c>
      <c r="B12" s="6">
        <v>63.15</v>
      </c>
      <c r="C12" s="6">
        <v>66.09</v>
      </c>
      <c r="D12" s="6">
        <v>66.35</v>
      </c>
      <c r="E12" s="6">
        <v>487.5</v>
      </c>
      <c r="F12" s="6">
        <v>66</v>
      </c>
      <c r="G12" s="6">
        <v>66</v>
      </c>
      <c r="H12" s="6">
        <v>65.935</v>
      </c>
      <c r="I12" s="6">
        <v>64.14</v>
      </c>
      <c r="J12" s="6">
        <v>68.22</v>
      </c>
      <c r="K12" s="6">
        <v>67.32</v>
      </c>
      <c r="L12" s="6">
        <v>64.075</v>
      </c>
      <c r="M12" s="6">
        <v>62.37</v>
      </c>
      <c r="N12" s="6">
        <v>64.88</v>
      </c>
      <c r="O12" s="6">
        <v>65.23</v>
      </c>
      <c r="P12" s="6">
        <v>62.52</v>
      </c>
      <c r="Q12" s="6">
        <v>62.13</v>
      </c>
    </row>
    <row r="13" spans="1:17">
      <c r="A13" s="5">
        <v>20250515</v>
      </c>
      <c r="B13" s="6">
        <v>61.62</v>
      </c>
      <c r="C13" s="6">
        <v>64.53</v>
      </c>
      <c r="D13" s="6">
        <v>63.75</v>
      </c>
      <c r="E13" s="6">
        <v>478.5</v>
      </c>
      <c r="F13" s="6">
        <v>63.71</v>
      </c>
      <c r="G13" s="6">
        <v>63.71</v>
      </c>
      <c r="H13" s="6">
        <v>64.04</v>
      </c>
      <c r="I13" s="6">
        <v>61.99</v>
      </c>
      <c r="J13" s="6">
        <v>66.42</v>
      </c>
      <c r="K13" s="6">
        <v>65.42</v>
      </c>
      <c r="L13" s="6">
        <v>61.89</v>
      </c>
      <c r="M13" s="6">
        <v>61.06</v>
      </c>
      <c r="N13" s="6">
        <v>62.35</v>
      </c>
      <c r="O13" s="6">
        <v>62.7</v>
      </c>
      <c r="P13" s="6">
        <v>61.02</v>
      </c>
      <c r="Q13" s="6">
        <v>60.1</v>
      </c>
    </row>
    <row r="14" spans="1:17">
      <c r="A14" s="5">
        <v>20250516</v>
      </c>
      <c r="B14" s="6">
        <v>62.49</v>
      </c>
      <c r="C14" s="6">
        <v>65.41</v>
      </c>
      <c r="D14" s="6">
        <v>63.84</v>
      </c>
      <c r="E14" s="6">
        <v>462.8</v>
      </c>
      <c r="F14" s="6">
        <v>63.79</v>
      </c>
      <c r="G14" s="6">
        <v>63.79</v>
      </c>
      <c r="H14" s="6">
        <v>65.095</v>
      </c>
      <c r="I14" s="6">
        <v>62.26</v>
      </c>
      <c r="J14" s="6">
        <v>66.9</v>
      </c>
      <c r="K14" s="6">
        <v>65.4</v>
      </c>
      <c r="L14" s="6">
        <v>62.13</v>
      </c>
      <c r="M14" s="6">
        <v>61.74</v>
      </c>
      <c r="N14" s="6">
        <v>62.57</v>
      </c>
      <c r="O14" s="6">
        <v>62.92</v>
      </c>
      <c r="P14" s="6">
        <v>61</v>
      </c>
      <c r="Q14" s="6">
        <v>60.72</v>
      </c>
    </row>
    <row r="15" spans="1:17">
      <c r="A15" s="5">
        <v>20250519</v>
      </c>
      <c r="B15" s="6">
        <v>62.69</v>
      </c>
      <c r="C15" s="6">
        <v>65.54</v>
      </c>
      <c r="D15" s="6">
        <v>64.35</v>
      </c>
      <c r="E15" s="6">
        <v>461.4</v>
      </c>
      <c r="F15" s="6">
        <v>64.26</v>
      </c>
      <c r="G15" s="6">
        <v>64.26</v>
      </c>
      <c r="H15" s="6">
        <v>66</v>
      </c>
      <c r="I15" s="6">
        <v>62.7</v>
      </c>
      <c r="J15" s="6">
        <v>67.59</v>
      </c>
      <c r="K15" s="6">
        <v>65.94</v>
      </c>
      <c r="L15" s="6">
        <v>62.57</v>
      </c>
      <c r="M15" s="6">
        <v>62.05</v>
      </c>
      <c r="N15" s="6">
        <v>63.02</v>
      </c>
      <c r="O15" s="6">
        <v>63.37</v>
      </c>
      <c r="P15" s="6">
        <v>61.54</v>
      </c>
      <c r="Q15" s="6">
        <v>61.22</v>
      </c>
    </row>
    <row r="16" spans="1:17">
      <c r="A16" s="5">
        <v>20250520</v>
      </c>
      <c r="B16" s="6">
        <v>62.56</v>
      </c>
      <c r="C16" s="6">
        <v>65.38</v>
      </c>
      <c r="D16" s="6">
        <v>65.01</v>
      </c>
      <c r="E16" s="6">
        <v>464.6</v>
      </c>
      <c r="F16" s="6">
        <v>65.01</v>
      </c>
      <c r="G16" s="6">
        <v>65.01</v>
      </c>
      <c r="H16" s="6">
        <v>65.61</v>
      </c>
      <c r="I16" s="6">
        <v>63.18</v>
      </c>
      <c r="J16" s="6">
        <v>68.15</v>
      </c>
      <c r="K16" s="6">
        <v>66.5</v>
      </c>
      <c r="L16" s="6">
        <v>62.965</v>
      </c>
      <c r="M16" s="6">
        <v>61.72</v>
      </c>
      <c r="N16" s="6">
        <v>63.49</v>
      </c>
      <c r="O16" s="6">
        <v>63.84</v>
      </c>
      <c r="P16" s="6">
        <v>62</v>
      </c>
      <c r="Q16" s="6">
        <v>61.99</v>
      </c>
    </row>
    <row r="17" spans="1:17">
      <c r="A17" s="5">
        <v>20250521</v>
      </c>
      <c r="B17" s="6">
        <v>61.57</v>
      </c>
      <c r="C17" s="6">
        <v>64.91</v>
      </c>
      <c r="D17" s="6">
        <v>66.05</v>
      </c>
      <c r="E17" s="6">
        <v>468.2</v>
      </c>
      <c r="F17" s="6">
        <v>66.05</v>
      </c>
      <c r="G17" s="6">
        <v>66.05</v>
      </c>
      <c r="H17" s="6">
        <v>65.365</v>
      </c>
      <c r="I17" s="6">
        <v>63.93</v>
      </c>
      <c r="J17" s="6">
        <v>68.98</v>
      </c>
      <c r="K17" s="6">
        <v>67.33</v>
      </c>
      <c r="L17" s="6">
        <v>63.73</v>
      </c>
      <c r="M17" s="6">
        <v>61.74</v>
      </c>
      <c r="N17" s="6">
        <v>64.26</v>
      </c>
      <c r="O17" s="6">
        <v>64.61</v>
      </c>
      <c r="P17" s="6">
        <v>62.83</v>
      </c>
      <c r="Q17" s="6">
        <v>62.96</v>
      </c>
    </row>
    <row r="18" spans="1:17">
      <c r="A18" s="5">
        <v>20250522</v>
      </c>
      <c r="B18" s="6">
        <v>61.2</v>
      </c>
      <c r="C18" s="6">
        <v>64.44</v>
      </c>
      <c r="D18" s="6">
        <v>63.68</v>
      </c>
      <c r="E18" s="6">
        <v>462.5</v>
      </c>
      <c r="F18" s="6">
        <v>63.72</v>
      </c>
      <c r="G18" s="6">
        <v>63.72</v>
      </c>
      <c r="H18" s="6">
        <v>64.735</v>
      </c>
      <c r="I18" s="6">
        <v>61.97</v>
      </c>
      <c r="J18" s="6">
        <v>67.2</v>
      </c>
      <c r="K18" s="6">
        <v>65.65</v>
      </c>
      <c r="L18" s="6">
        <v>61.905</v>
      </c>
      <c r="M18" s="6">
        <v>60.9</v>
      </c>
      <c r="N18" s="6">
        <v>62.42</v>
      </c>
      <c r="O18" s="6">
        <v>62.77</v>
      </c>
      <c r="P18" s="6">
        <v>61.1</v>
      </c>
      <c r="Q18" s="6">
        <v>61.07</v>
      </c>
    </row>
    <row r="19" spans="1:17">
      <c r="A19" s="5">
        <v>20250523</v>
      </c>
      <c r="B19" s="6">
        <v>61.53</v>
      </c>
      <c r="C19" s="6">
        <v>64.78</v>
      </c>
      <c r="D19" s="6">
        <v>63.26</v>
      </c>
      <c r="E19" s="6">
        <v>454.7</v>
      </c>
      <c r="F19" s="6">
        <v>63.2</v>
      </c>
      <c r="G19" s="6">
        <v>63.2</v>
      </c>
      <c r="H19" s="6">
        <v>65.58</v>
      </c>
      <c r="I19" s="6">
        <v>61.575</v>
      </c>
      <c r="J19" s="6">
        <v>66.78</v>
      </c>
      <c r="K19" s="6">
        <v>65.23</v>
      </c>
      <c r="L19" s="6">
        <v>61.53</v>
      </c>
      <c r="M19" s="6">
        <v>61.59</v>
      </c>
      <c r="N19" s="6">
        <v>61.86</v>
      </c>
      <c r="O19" s="6">
        <v>62.21</v>
      </c>
      <c r="P19" s="6">
        <v>60.68</v>
      </c>
      <c r="Q19" s="6">
        <v>60.51</v>
      </c>
    </row>
    <row r="20" spans="1:17">
      <c r="A20" s="5">
        <v>20250526</v>
      </c>
      <c r="B20" s="6"/>
      <c r="C20" s="6">
        <v>64.74</v>
      </c>
      <c r="D20" s="6">
        <v>63.59</v>
      </c>
      <c r="E20" s="6">
        <v>456.4</v>
      </c>
      <c r="F20" s="6">
        <v>63.75</v>
      </c>
      <c r="G20" s="6">
        <v>63.75</v>
      </c>
      <c r="H20" s="6"/>
      <c r="I20" s="6">
        <v>62.535</v>
      </c>
      <c r="J20" s="6">
        <v>67.77</v>
      </c>
      <c r="K20" s="6">
        <v>66.12</v>
      </c>
      <c r="L20" s="6">
        <v>62.46</v>
      </c>
      <c r="M20" s="6"/>
      <c r="N20" s="6"/>
      <c r="O20" s="6"/>
      <c r="P20" s="6"/>
      <c r="Q20" s="6">
        <v>61.3</v>
      </c>
    </row>
    <row r="21" spans="1:17">
      <c r="A21" s="5">
        <v>20250527</v>
      </c>
      <c r="B21" s="6">
        <v>60.89</v>
      </c>
      <c r="C21" s="6">
        <v>64.09</v>
      </c>
      <c r="D21" s="6">
        <v>63.81</v>
      </c>
      <c r="E21" s="6">
        <v>457.4</v>
      </c>
      <c r="F21" s="6">
        <v>64.01</v>
      </c>
      <c r="G21" s="6">
        <v>64.01</v>
      </c>
      <c r="H21" s="6">
        <v>64.255</v>
      </c>
      <c r="I21" s="6">
        <v>62.355</v>
      </c>
      <c r="J21" s="6">
        <v>67.49</v>
      </c>
      <c r="K21" s="6">
        <v>65.74</v>
      </c>
      <c r="L21" s="6">
        <v>62.215</v>
      </c>
      <c r="M21" s="6">
        <v>60.17</v>
      </c>
      <c r="N21" s="6">
        <v>62.45</v>
      </c>
      <c r="O21" s="6">
        <v>62.8</v>
      </c>
      <c r="P21" s="6">
        <v>61.19</v>
      </c>
      <c r="Q21" s="6">
        <v>60.65</v>
      </c>
    </row>
    <row r="22" spans="1:17">
      <c r="A22" s="5">
        <v>20250528</v>
      </c>
      <c r="B22" s="6">
        <v>61.84</v>
      </c>
      <c r="C22" s="6">
        <v>64.9</v>
      </c>
      <c r="D22" s="6">
        <v>63.69</v>
      </c>
      <c r="E22" s="6">
        <v>453.6</v>
      </c>
      <c r="F22" s="6">
        <v>63.79</v>
      </c>
      <c r="G22" s="6">
        <v>63.79</v>
      </c>
      <c r="H22" s="6">
        <v>65.51</v>
      </c>
      <c r="I22" s="6">
        <v>61.65</v>
      </c>
      <c r="J22" s="6">
        <v>67</v>
      </c>
      <c r="K22" s="6">
        <v>65.25</v>
      </c>
      <c r="L22" s="6">
        <v>61.4</v>
      </c>
      <c r="M22" s="6">
        <v>61.53</v>
      </c>
      <c r="N22" s="6">
        <v>62.08</v>
      </c>
      <c r="O22" s="6">
        <v>62.43</v>
      </c>
      <c r="P22" s="6">
        <v>60.7</v>
      </c>
      <c r="Q22" s="6">
        <v>60.18</v>
      </c>
    </row>
    <row r="23" spans="1:17">
      <c r="A23" s="5">
        <v>20250529</v>
      </c>
      <c r="B23" s="6">
        <v>60.94</v>
      </c>
      <c r="C23" s="6">
        <v>64.15</v>
      </c>
      <c r="D23" s="6">
        <v>63.99</v>
      </c>
      <c r="E23" s="6">
        <v>461.6</v>
      </c>
      <c r="F23" s="6">
        <v>65.33</v>
      </c>
      <c r="G23" s="6">
        <v>65.33</v>
      </c>
      <c r="H23" s="6">
        <v>64.7</v>
      </c>
      <c r="I23" s="6">
        <v>63.04</v>
      </c>
      <c r="J23" s="6">
        <v>68.27</v>
      </c>
      <c r="K23" s="6">
        <v>66.52</v>
      </c>
      <c r="L23" s="6">
        <v>62.72</v>
      </c>
      <c r="M23" s="6">
        <v>60.32</v>
      </c>
      <c r="N23" s="6">
        <v>63.41</v>
      </c>
      <c r="O23" s="6">
        <v>63.76</v>
      </c>
      <c r="P23" s="6">
        <v>61.77</v>
      </c>
      <c r="Q23" s="6">
        <v>61.56</v>
      </c>
    </row>
    <row r="24" spans="1:17">
      <c r="A24" s="5">
        <v>20250530</v>
      </c>
      <c r="B24" s="6">
        <v>60.79</v>
      </c>
      <c r="C24" s="6">
        <v>63.9</v>
      </c>
      <c r="D24" s="6">
        <v>62.68</v>
      </c>
      <c r="E24" s="6">
        <v>452.6</v>
      </c>
      <c r="F24" s="6">
        <v>63.845</v>
      </c>
      <c r="G24" s="6">
        <v>63.845</v>
      </c>
      <c r="H24" s="6">
        <v>63.83</v>
      </c>
      <c r="I24" s="6">
        <v>61.645</v>
      </c>
      <c r="J24" s="6">
        <v>66.99</v>
      </c>
      <c r="K24" s="6">
        <v>65.24</v>
      </c>
      <c r="L24" s="6">
        <v>61.385</v>
      </c>
      <c r="M24" s="6">
        <v>59.42</v>
      </c>
      <c r="N24" s="6">
        <v>62.04</v>
      </c>
      <c r="O24" s="6">
        <v>62.39</v>
      </c>
      <c r="P24" s="6">
        <v>60.54</v>
      </c>
      <c r="Q24" s="6">
        <v>60.04</v>
      </c>
    </row>
    <row r="25" spans="1:17">
      <c r="A25" s="7" t="s">
        <v>17</v>
      </c>
      <c r="B25" s="8">
        <f>AVERAGE(B20:B24)</f>
        <v>61.115</v>
      </c>
      <c r="C25" s="8">
        <f t="shared" ref="C25:Q25" si="0">AVERAGE(C20:C24)</f>
        <v>64.356</v>
      </c>
      <c r="D25" s="8">
        <f t="shared" si="0"/>
        <v>63.552</v>
      </c>
      <c r="E25" s="8">
        <f t="shared" si="0"/>
        <v>456.32</v>
      </c>
      <c r="F25" s="8">
        <f t="shared" si="0"/>
        <v>64.145</v>
      </c>
      <c r="G25" s="8">
        <f t="shared" si="0"/>
        <v>64.145</v>
      </c>
      <c r="H25" s="8">
        <f t="shared" si="0"/>
        <v>64.57375</v>
      </c>
      <c r="I25" s="8">
        <f t="shared" si="0"/>
        <v>62.245</v>
      </c>
      <c r="J25" s="8">
        <f t="shared" si="0"/>
        <v>67.504</v>
      </c>
      <c r="K25" s="8">
        <f t="shared" si="0"/>
        <v>65.774</v>
      </c>
      <c r="L25" s="8">
        <f t="shared" si="0"/>
        <v>62.036</v>
      </c>
      <c r="M25" s="8">
        <f t="shared" si="0"/>
        <v>60.36</v>
      </c>
      <c r="N25" s="8">
        <f t="shared" si="0"/>
        <v>62.495</v>
      </c>
      <c r="O25" s="8">
        <f t="shared" si="0"/>
        <v>62.845</v>
      </c>
      <c r="P25" s="8">
        <f t="shared" si="0"/>
        <v>61.05</v>
      </c>
      <c r="Q25" s="8">
        <f t="shared" si="0"/>
        <v>60.746</v>
      </c>
    </row>
    <row r="26" ht="22.5" spans="1:17">
      <c r="A26" s="3" t="s">
        <v>34</v>
      </c>
      <c r="B26" s="9">
        <f>AVERAGE(B3:B24)</f>
        <v>60.9352380952381</v>
      </c>
      <c r="C26" s="9">
        <f t="shared" ref="C26:Q26" si="1">AVERAGE(C3:C24)</f>
        <v>64.0054545454546</v>
      </c>
      <c r="D26" s="9">
        <f t="shared" si="1"/>
        <v>63.6231818181818</v>
      </c>
      <c r="E26" s="9">
        <f t="shared" si="1"/>
        <v>464.905263157895</v>
      </c>
      <c r="F26" s="9">
        <f t="shared" si="1"/>
        <v>63.73275</v>
      </c>
      <c r="G26" s="9">
        <f t="shared" si="1"/>
        <v>63.73275</v>
      </c>
      <c r="H26" s="9">
        <f t="shared" si="1"/>
        <v>64.22375</v>
      </c>
      <c r="I26" s="9">
        <f t="shared" si="1"/>
        <v>61.82275</v>
      </c>
      <c r="J26" s="9">
        <f t="shared" si="1"/>
        <v>66.286</v>
      </c>
      <c r="K26" s="9">
        <f t="shared" si="1"/>
        <v>64.921</v>
      </c>
      <c r="L26" s="9">
        <f t="shared" si="1"/>
        <v>61.696</v>
      </c>
      <c r="M26" s="9">
        <f t="shared" si="1"/>
        <v>60.59</v>
      </c>
      <c r="N26" s="9">
        <f t="shared" si="1"/>
        <v>62.45</v>
      </c>
      <c r="O26" s="9">
        <f t="shared" si="1"/>
        <v>62.8</v>
      </c>
      <c r="P26" s="9">
        <f t="shared" si="1"/>
        <v>60.5272222222222</v>
      </c>
      <c r="Q26" s="9">
        <f t="shared" si="1"/>
        <v>60.1385</v>
      </c>
    </row>
    <row r="27" ht="23.25" spans="1:17">
      <c r="A27" s="10" t="s">
        <v>19</v>
      </c>
      <c r="B27" s="23">
        <f>(B26-B2)/B2</f>
        <v>-0.0321960959302987</v>
      </c>
      <c r="C27" s="23">
        <f t="shared" ref="C27:Q27" si="2">(C26-C2)/C2</f>
        <v>-0.0368843675760462</v>
      </c>
      <c r="D27" s="23">
        <f t="shared" si="2"/>
        <v>-0.0625596785252986</v>
      </c>
      <c r="E27" s="23">
        <f t="shared" si="2"/>
        <v>-0.0561668091342047</v>
      </c>
      <c r="F27" s="23">
        <f t="shared" si="2"/>
        <v>-0.0591265698649206</v>
      </c>
      <c r="G27" s="23">
        <f t="shared" si="2"/>
        <v>-0.0592654485645305</v>
      </c>
      <c r="H27" s="23">
        <f t="shared" si="2"/>
        <v>-0.0525479175195376</v>
      </c>
      <c r="I27" s="23">
        <f t="shared" si="2"/>
        <v>-0.0492812551489297</v>
      </c>
      <c r="J27" s="23">
        <f t="shared" si="2"/>
        <v>-0.0243860386879732</v>
      </c>
      <c r="K27" s="23">
        <f t="shared" si="2"/>
        <v>-0.022098769859771</v>
      </c>
      <c r="L27" s="23">
        <f t="shared" si="2"/>
        <v>-0.045523460118903</v>
      </c>
      <c r="M27" s="23">
        <f t="shared" si="2"/>
        <v>-0.0364875287232944</v>
      </c>
      <c r="N27" s="23">
        <f t="shared" si="2"/>
        <v>-0.056518257769183</v>
      </c>
      <c r="O27" s="23">
        <f t="shared" si="2"/>
        <v>-0.0551560196190532</v>
      </c>
      <c r="P27" s="23">
        <f t="shared" si="2"/>
        <v>-0.0418283788502014</v>
      </c>
      <c r="Q27" s="23">
        <f t="shared" si="2"/>
        <v>-0.0295098785070427</v>
      </c>
    </row>
    <row r="28" ht="15"/>
  </sheetData>
  <conditionalFormatting sqref="B27:Q27">
    <cfRule type="cellIs" dxfId="3" priority="4" operator="equal">
      <formula>0</formula>
    </cfRule>
    <cfRule type="cellIs" dxfId="4" priority="5" operator="lessThan">
      <formula>0</formula>
    </cfRule>
    <cfRule type="cellIs" dxfId="5" priority="6" operator="greaterThan">
      <formula>0</formula>
    </cfRule>
  </conditionalFormatting>
  <pageMargins left="0.75" right="0.75" top="1" bottom="1" header="0.5" footer="0.5"/>
  <pageSetup paperSize="9" orientation="portrait"/>
  <headerFooter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Q28"/>
  <sheetViews>
    <sheetView workbookViewId="0">
      <selection activeCell="N17" sqref="N17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ht="22.5" spans="1:17">
      <c r="A2" s="3" t="s">
        <v>21</v>
      </c>
      <c r="B2" s="9">
        <v>67.9395238095238</v>
      </c>
      <c r="C2" s="9">
        <v>71.4671428571429</v>
      </c>
      <c r="D2" s="9">
        <v>72.512380952381</v>
      </c>
      <c r="E2" s="9">
        <v>526.385714285714</v>
      </c>
      <c r="F2" s="9">
        <v>72.4875</v>
      </c>
      <c r="G2" s="9">
        <v>72.5</v>
      </c>
      <c r="H2" s="9">
        <v>72.6009523809524</v>
      </c>
      <c r="I2" s="9">
        <v>69.8325</v>
      </c>
      <c r="J2" s="9">
        <v>73.513</v>
      </c>
      <c r="K2" s="9">
        <v>71.878</v>
      </c>
      <c r="L2" s="9">
        <v>69.11825</v>
      </c>
      <c r="M2" s="9">
        <v>68.641</v>
      </c>
      <c r="N2" s="9">
        <v>72.3355</v>
      </c>
      <c r="O2" s="9">
        <v>72.6205</v>
      </c>
      <c r="P2" s="9">
        <v>68.653</v>
      </c>
      <c r="Q2" s="9">
        <v>65.413</v>
      </c>
    </row>
    <row r="3" spans="1:17">
      <c r="A3" s="5">
        <v>20250401</v>
      </c>
      <c r="B3" s="6">
        <v>71.2</v>
      </c>
      <c r="C3" s="6">
        <v>74.49</v>
      </c>
      <c r="D3" s="6">
        <v>76</v>
      </c>
      <c r="E3" s="6">
        <v>549</v>
      </c>
      <c r="F3" s="6">
        <v>75.95</v>
      </c>
      <c r="G3" s="6">
        <v>76</v>
      </c>
      <c r="H3" s="6">
        <v>77.68</v>
      </c>
      <c r="I3" s="6">
        <v>73.42</v>
      </c>
      <c r="J3" s="6">
        <v>76.21</v>
      </c>
      <c r="K3" s="6">
        <v>74.46</v>
      </c>
      <c r="L3" s="6">
        <v>73.035</v>
      </c>
      <c r="M3" s="6">
        <v>73.74</v>
      </c>
      <c r="N3" s="6">
        <v>75.27</v>
      </c>
      <c r="O3" s="6">
        <v>75.52</v>
      </c>
      <c r="P3" s="6">
        <v>72.36</v>
      </c>
      <c r="Q3" s="6">
        <v>69.57</v>
      </c>
    </row>
    <row r="4" spans="1:17">
      <c r="A4" s="5">
        <v>20250402</v>
      </c>
      <c r="B4" s="6">
        <v>71.71</v>
      </c>
      <c r="C4" s="6">
        <v>74.95</v>
      </c>
      <c r="D4" s="6">
        <v>76.11</v>
      </c>
      <c r="E4" s="6">
        <v>554.4</v>
      </c>
      <c r="F4" s="6">
        <v>76.14</v>
      </c>
      <c r="G4" s="6">
        <v>76.14</v>
      </c>
      <c r="H4" s="6">
        <v>77.39</v>
      </c>
      <c r="I4" s="6">
        <v>73.16</v>
      </c>
      <c r="J4" s="6">
        <v>75.98</v>
      </c>
      <c r="K4" s="6">
        <v>73.78</v>
      </c>
      <c r="L4" s="6">
        <v>72.91</v>
      </c>
      <c r="M4" s="6">
        <v>72.94</v>
      </c>
      <c r="N4" s="6">
        <v>75.04</v>
      </c>
      <c r="O4" s="6">
        <v>75.29</v>
      </c>
      <c r="P4" s="6">
        <v>71.78</v>
      </c>
      <c r="Q4" s="6">
        <v>69.54</v>
      </c>
    </row>
    <row r="5" spans="1:17">
      <c r="A5" s="5">
        <v>20250403</v>
      </c>
      <c r="B5" s="6">
        <v>66.95</v>
      </c>
      <c r="C5" s="6">
        <v>70.14</v>
      </c>
      <c r="D5" s="6">
        <v>75.04</v>
      </c>
      <c r="E5" s="6">
        <v>548.6</v>
      </c>
      <c r="F5" s="6">
        <v>75.1</v>
      </c>
      <c r="G5" s="6">
        <v>75.1</v>
      </c>
      <c r="H5" s="6">
        <v>72.49</v>
      </c>
      <c r="I5" s="6">
        <v>71.705</v>
      </c>
      <c r="J5" s="6">
        <v>74.34</v>
      </c>
      <c r="K5" s="6">
        <v>71.94</v>
      </c>
      <c r="L5" s="6">
        <v>71.4</v>
      </c>
      <c r="M5" s="6">
        <v>67.82</v>
      </c>
      <c r="N5" s="6">
        <v>73.47</v>
      </c>
      <c r="O5" s="6">
        <v>73.72</v>
      </c>
      <c r="P5" s="6">
        <v>69.94</v>
      </c>
      <c r="Q5" s="6">
        <v>68.17</v>
      </c>
    </row>
    <row r="6" spans="1:17">
      <c r="A6" s="5">
        <v>20250404</v>
      </c>
      <c r="B6" s="6">
        <v>61.99</v>
      </c>
      <c r="C6" s="6">
        <v>65.58</v>
      </c>
      <c r="D6" s="6">
        <v>70.52</v>
      </c>
      <c r="E6" s="6"/>
      <c r="F6" s="6">
        <v>70.5</v>
      </c>
      <c r="G6" s="6">
        <v>70.5</v>
      </c>
      <c r="H6" s="6">
        <v>67.895</v>
      </c>
      <c r="I6" s="6">
        <v>67.16</v>
      </c>
      <c r="J6" s="6">
        <v>69.85</v>
      </c>
      <c r="K6" s="6">
        <v>67.45</v>
      </c>
      <c r="L6" s="6">
        <v>66.82</v>
      </c>
      <c r="M6" s="6">
        <v>63.47</v>
      </c>
      <c r="N6" s="6">
        <v>69.05</v>
      </c>
      <c r="O6" s="6">
        <v>69.3</v>
      </c>
      <c r="P6" s="6">
        <v>65.55</v>
      </c>
      <c r="Q6" s="6">
        <v>63.75</v>
      </c>
    </row>
    <row r="7" spans="1:17">
      <c r="A7" s="5">
        <v>20250407</v>
      </c>
      <c r="B7" s="6">
        <v>60.7</v>
      </c>
      <c r="C7" s="6">
        <v>64.21</v>
      </c>
      <c r="D7" s="6">
        <v>64.56</v>
      </c>
      <c r="E7" s="6">
        <v>510.1</v>
      </c>
      <c r="F7" s="6">
        <v>64.55</v>
      </c>
      <c r="G7" s="6">
        <v>64.55</v>
      </c>
      <c r="H7" s="6">
        <v>66.68</v>
      </c>
      <c r="I7" s="6">
        <v>62.14</v>
      </c>
      <c r="J7" s="6">
        <v>65.19</v>
      </c>
      <c r="K7" s="6">
        <v>63.19</v>
      </c>
      <c r="L7" s="6">
        <v>61.935</v>
      </c>
      <c r="M7" s="6">
        <v>61.44</v>
      </c>
      <c r="N7" s="6">
        <v>63.48</v>
      </c>
      <c r="O7" s="6">
        <v>63.73</v>
      </c>
      <c r="P7" s="6">
        <v>60.29</v>
      </c>
      <c r="Q7" s="6">
        <v>58.68</v>
      </c>
    </row>
    <row r="8" spans="1:17">
      <c r="A8" s="5">
        <v>20250408</v>
      </c>
      <c r="B8" s="6">
        <v>59.58</v>
      </c>
      <c r="C8" s="6">
        <v>62.82</v>
      </c>
      <c r="D8" s="6">
        <v>65.08</v>
      </c>
      <c r="E8" s="6">
        <v>481.7</v>
      </c>
      <c r="F8" s="6">
        <v>65.2</v>
      </c>
      <c r="G8" s="6">
        <v>65.2</v>
      </c>
      <c r="H8" s="6">
        <v>66.185</v>
      </c>
      <c r="I8" s="6">
        <v>62.785</v>
      </c>
      <c r="J8" s="6">
        <v>65.8</v>
      </c>
      <c r="K8" s="6">
        <v>64.1</v>
      </c>
      <c r="L8" s="6">
        <v>62.47</v>
      </c>
      <c r="M8" s="6">
        <v>60.93</v>
      </c>
      <c r="N8" s="6">
        <v>64.11</v>
      </c>
      <c r="O8" s="6">
        <v>64.36</v>
      </c>
      <c r="P8" s="6">
        <v>60.6</v>
      </c>
      <c r="Q8" s="6">
        <v>59.46</v>
      </c>
    </row>
    <row r="9" spans="1:17">
      <c r="A9" s="5">
        <v>20250409</v>
      </c>
      <c r="B9" s="6">
        <v>62.35</v>
      </c>
      <c r="C9" s="6">
        <v>65.48</v>
      </c>
      <c r="D9" s="6">
        <v>61.86</v>
      </c>
      <c r="E9" s="6">
        <v>468</v>
      </c>
      <c r="F9" s="6">
        <v>61.9</v>
      </c>
      <c r="G9" s="6">
        <v>61.95</v>
      </c>
      <c r="H9" s="6">
        <v>62.685</v>
      </c>
      <c r="I9" s="6">
        <v>59.335</v>
      </c>
      <c r="J9" s="6">
        <v>62.36</v>
      </c>
      <c r="K9" s="6">
        <v>61.01</v>
      </c>
      <c r="L9" s="6">
        <v>59.02</v>
      </c>
      <c r="M9" s="6">
        <v>56.79</v>
      </c>
      <c r="N9" s="6">
        <v>60.75</v>
      </c>
      <c r="O9" s="6">
        <v>61</v>
      </c>
      <c r="P9" s="6">
        <v>57.21</v>
      </c>
      <c r="Q9" s="6">
        <v>56.35</v>
      </c>
    </row>
    <row r="10" spans="1:17">
      <c r="A10" s="5">
        <v>20250410</v>
      </c>
      <c r="B10" s="6">
        <v>60.07</v>
      </c>
      <c r="C10" s="6">
        <v>63.33</v>
      </c>
      <c r="D10" s="6">
        <v>65.33</v>
      </c>
      <c r="E10" s="6">
        <v>462.5</v>
      </c>
      <c r="F10" s="6">
        <v>65.4</v>
      </c>
      <c r="G10" s="6">
        <v>65.4</v>
      </c>
      <c r="H10" s="6">
        <v>65.435</v>
      </c>
      <c r="I10" s="6">
        <v>62.51</v>
      </c>
      <c r="J10" s="6">
        <v>65.23</v>
      </c>
      <c r="K10" s="6">
        <v>63.93</v>
      </c>
      <c r="L10" s="6">
        <v>62.105</v>
      </c>
      <c r="M10" s="6">
        <v>59.44</v>
      </c>
      <c r="N10" s="6">
        <v>63.84</v>
      </c>
      <c r="O10" s="6">
        <v>64.09</v>
      </c>
      <c r="P10" s="6">
        <v>60.03</v>
      </c>
      <c r="Q10" s="6">
        <v>59.49</v>
      </c>
    </row>
    <row r="11" spans="1:17">
      <c r="A11" s="5">
        <v>20250411</v>
      </c>
      <c r="B11" s="6">
        <v>61.5</v>
      </c>
      <c r="C11" s="6">
        <v>64.76</v>
      </c>
      <c r="D11" s="6">
        <v>64.92</v>
      </c>
      <c r="E11" s="6">
        <v>464.5</v>
      </c>
      <c r="F11" s="6">
        <v>64.9</v>
      </c>
      <c r="G11" s="6">
        <v>65.01</v>
      </c>
      <c r="H11" s="6">
        <v>65.97</v>
      </c>
      <c r="I11" s="6">
        <v>62.13</v>
      </c>
      <c r="J11" s="6">
        <v>64.9</v>
      </c>
      <c r="K11" s="6">
        <v>63.7</v>
      </c>
      <c r="L11" s="6">
        <v>61.725</v>
      </c>
      <c r="M11" s="6">
        <v>59.54</v>
      </c>
      <c r="N11" s="6">
        <v>63.46</v>
      </c>
      <c r="O11" s="6">
        <v>63.71</v>
      </c>
      <c r="P11" s="6">
        <v>59.6</v>
      </c>
      <c r="Q11" s="6">
        <v>59.16</v>
      </c>
    </row>
    <row r="12" spans="1:17">
      <c r="A12" s="5">
        <v>20250414</v>
      </c>
      <c r="B12" s="6">
        <v>61.53</v>
      </c>
      <c r="C12" s="6">
        <v>64.88</v>
      </c>
      <c r="D12" s="6">
        <v>66.22</v>
      </c>
      <c r="E12" s="6">
        <v>468.7</v>
      </c>
      <c r="F12" s="6">
        <v>66.23</v>
      </c>
      <c r="G12" s="6">
        <v>66.23</v>
      </c>
      <c r="H12" s="6">
        <v>66.845</v>
      </c>
      <c r="I12" s="6">
        <v>63.46</v>
      </c>
      <c r="J12" s="6">
        <v>66.25</v>
      </c>
      <c r="K12" s="6">
        <v>65.05</v>
      </c>
      <c r="L12" s="6">
        <v>63.035</v>
      </c>
      <c r="M12" s="6">
        <v>61.34</v>
      </c>
      <c r="N12" s="6">
        <v>64.7</v>
      </c>
      <c r="O12" s="6">
        <v>64.95</v>
      </c>
      <c r="P12" s="6">
        <v>61.45</v>
      </c>
      <c r="Q12" s="6">
        <v>60.5</v>
      </c>
    </row>
    <row r="13" spans="1:17">
      <c r="A13" s="5">
        <v>20250415</v>
      </c>
      <c r="B13" s="6">
        <v>61.33</v>
      </c>
      <c r="C13" s="6">
        <v>64.67</v>
      </c>
      <c r="D13" s="6">
        <v>66.57</v>
      </c>
      <c r="E13" s="6">
        <v>474.3</v>
      </c>
      <c r="F13" s="6">
        <v>66.59</v>
      </c>
      <c r="G13" s="6">
        <v>66.59</v>
      </c>
      <c r="H13" s="6">
        <v>66.415</v>
      </c>
      <c r="I13" s="6">
        <v>63.475</v>
      </c>
      <c r="J13" s="6">
        <v>66.61</v>
      </c>
      <c r="K13" s="6">
        <v>65.21</v>
      </c>
      <c r="L13" s="6">
        <v>62.935</v>
      </c>
      <c r="M13" s="6">
        <v>61.49</v>
      </c>
      <c r="N13" s="6">
        <v>64.89</v>
      </c>
      <c r="O13" s="6">
        <v>65.14</v>
      </c>
      <c r="P13" s="6">
        <v>62.11</v>
      </c>
      <c r="Q13" s="6">
        <v>60.69</v>
      </c>
    </row>
    <row r="14" spans="1:17">
      <c r="A14" s="5">
        <v>20250416</v>
      </c>
      <c r="B14" s="6">
        <v>62.47</v>
      </c>
      <c r="C14" s="6">
        <v>65.85</v>
      </c>
      <c r="D14" s="6">
        <v>66.72</v>
      </c>
      <c r="E14" s="6">
        <v>473.8</v>
      </c>
      <c r="F14" s="6">
        <v>66.65</v>
      </c>
      <c r="G14" s="6">
        <v>66.65</v>
      </c>
      <c r="H14" s="6">
        <v>67.635</v>
      </c>
      <c r="I14" s="6">
        <v>63.295</v>
      </c>
      <c r="J14" s="6">
        <v>66.24</v>
      </c>
      <c r="K14" s="6">
        <v>64.84</v>
      </c>
      <c r="L14" s="6">
        <v>62.805</v>
      </c>
      <c r="M14" s="6">
        <v>62.68</v>
      </c>
      <c r="N14" s="6">
        <v>64.79</v>
      </c>
      <c r="O14" s="6">
        <v>65.04</v>
      </c>
      <c r="P14" s="6">
        <v>61.74</v>
      </c>
      <c r="Q14" s="6">
        <v>60.54</v>
      </c>
    </row>
    <row r="15" spans="1:17">
      <c r="A15" s="5">
        <v>20250417</v>
      </c>
      <c r="B15" s="6">
        <v>64.68</v>
      </c>
      <c r="C15" s="6">
        <v>67.96</v>
      </c>
      <c r="D15" s="6">
        <v>68.14</v>
      </c>
      <c r="E15" s="6">
        <v>479</v>
      </c>
      <c r="F15" s="6">
        <v>68.15</v>
      </c>
      <c r="G15" s="6">
        <v>68.15</v>
      </c>
      <c r="H15" s="6">
        <v>68.45</v>
      </c>
      <c r="I15" s="6">
        <v>64.73</v>
      </c>
      <c r="J15" s="6">
        <v>67.76</v>
      </c>
      <c r="K15" s="6">
        <v>66.36</v>
      </c>
      <c r="L15" s="6">
        <v>64.175</v>
      </c>
      <c r="M15" s="6">
        <v>63.55</v>
      </c>
      <c r="N15" s="6">
        <v>66.08</v>
      </c>
      <c r="O15" s="6">
        <v>66.33</v>
      </c>
      <c r="P15" s="6">
        <v>63.46</v>
      </c>
      <c r="Q15" s="6">
        <v>62.18</v>
      </c>
    </row>
    <row r="16" spans="1:17">
      <c r="A16" s="5">
        <v>20250418</v>
      </c>
      <c r="B16" s="6"/>
      <c r="C16" s="6"/>
      <c r="D16" s="6"/>
      <c r="E16" s="6">
        <v>490.6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>
      <c r="A17" s="5">
        <v>20250421</v>
      </c>
      <c r="B17" s="6">
        <v>63.08</v>
      </c>
      <c r="C17" s="6">
        <v>66.26</v>
      </c>
      <c r="D17" s="6">
        <v>68.55</v>
      </c>
      <c r="E17" s="6">
        <v>489.5</v>
      </c>
      <c r="F17" s="6">
        <v>68.43</v>
      </c>
      <c r="G17" s="6">
        <v>68.43</v>
      </c>
      <c r="H17" s="6"/>
      <c r="I17" s="6">
        <v>65.325</v>
      </c>
      <c r="J17" s="6">
        <v>68.11</v>
      </c>
      <c r="K17" s="6">
        <v>66.71</v>
      </c>
      <c r="L17" s="6">
        <v>64.875</v>
      </c>
      <c r="M17" s="6"/>
      <c r="N17" s="6"/>
      <c r="O17" s="6"/>
      <c r="P17" s="6"/>
      <c r="Q17" s="6">
        <v>62.39</v>
      </c>
    </row>
    <row r="18" spans="1:17">
      <c r="A18" s="5">
        <v>20250422</v>
      </c>
      <c r="B18" s="6">
        <v>64.31</v>
      </c>
      <c r="C18" s="6">
        <v>67.44</v>
      </c>
      <c r="D18" s="6">
        <v>68.81</v>
      </c>
      <c r="E18" s="6">
        <v>487.5</v>
      </c>
      <c r="F18" s="6">
        <v>68.5</v>
      </c>
      <c r="G18" s="6">
        <v>68.5</v>
      </c>
      <c r="H18" s="6">
        <v>68.99</v>
      </c>
      <c r="I18" s="6">
        <v>65.54</v>
      </c>
      <c r="J18" s="6">
        <v>68.29</v>
      </c>
      <c r="K18" s="6">
        <v>66.99</v>
      </c>
      <c r="L18" s="6">
        <v>65.105</v>
      </c>
      <c r="M18" s="6">
        <v>64.06</v>
      </c>
      <c r="N18" s="6">
        <v>66.37</v>
      </c>
      <c r="O18" s="6">
        <v>66.62</v>
      </c>
      <c r="P18" s="6">
        <v>63.74</v>
      </c>
      <c r="Q18" s="6">
        <v>62.52</v>
      </c>
    </row>
    <row r="19" spans="1:17">
      <c r="A19" s="5">
        <v>20250423</v>
      </c>
      <c r="B19" s="6">
        <v>62.27</v>
      </c>
      <c r="C19" s="6">
        <v>66.12</v>
      </c>
      <c r="D19" s="6">
        <v>69.95</v>
      </c>
      <c r="E19" s="6">
        <v>498.6</v>
      </c>
      <c r="F19" s="6">
        <v>69.49</v>
      </c>
      <c r="G19" s="6">
        <v>69.49</v>
      </c>
      <c r="H19" s="6">
        <v>66.94</v>
      </c>
      <c r="I19" s="6">
        <v>66.64</v>
      </c>
      <c r="J19" s="6">
        <v>69.51</v>
      </c>
      <c r="K19" s="6">
        <v>68.06</v>
      </c>
      <c r="L19" s="6">
        <v>66.15</v>
      </c>
      <c r="M19" s="6">
        <v>62.08</v>
      </c>
      <c r="N19" s="6">
        <v>67.37</v>
      </c>
      <c r="O19" s="6">
        <v>67.62</v>
      </c>
      <c r="P19" s="6">
        <v>64.86</v>
      </c>
      <c r="Q19" s="6">
        <v>63.67</v>
      </c>
    </row>
    <row r="20" spans="1:17">
      <c r="A20" s="5">
        <v>20250424</v>
      </c>
      <c r="B20" s="6">
        <v>62.79</v>
      </c>
      <c r="C20" s="6">
        <v>66.55</v>
      </c>
      <c r="D20" s="6">
        <v>68.27</v>
      </c>
      <c r="E20" s="6">
        <v>490.5</v>
      </c>
      <c r="F20" s="6">
        <v>67.59</v>
      </c>
      <c r="G20" s="6">
        <v>67.59</v>
      </c>
      <c r="H20" s="6">
        <v>67.235</v>
      </c>
      <c r="I20" s="6">
        <v>64.745</v>
      </c>
      <c r="J20" s="6">
        <v>67.66</v>
      </c>
      <c r="K20" s="6">
        <v>66.26</v>
      </c>
      <c r="L20" s="6">
        <v>64.29</v>
      </c>
      <c r="M20" s="6">
        <v>62.35</v>
      </c>
      <c r="N20" s="6">
        <v>65.5</v>
      </c>
      <c r="O20" s="6">
        <v>65.85</v>
      </c>
      <c r="P20" s="6">
        <v>62.86</v>
      </c>
      <c r="Q20" s="6">
        <v>61.9</v>
      </c>
    </row>
    <row r="21" spans="1:17">
      <c r="A21" s="5">
        <v>20250425</v>
      </c>
      <c r="B21" s="6">
        <v>63.02</v>
      </c>
      <c r="C21" s="6">
        <v>66.87</v>
      </c>
      <c r="D21" s="6">
        <v>67.77</v>
      </c>
      <c r="E21" s="6">
        <v>493.9</v>
      </c>
      <c r="F21" s="6">
        <v>67.2</v>
      </c>
      <c r="G21" s="6">
        <v>67.2</v>
      </c>
      <c r="H21" s="6">
        <v>67.495</v>
      </c>
      <c r="I21" s="6">
        <v>64.8</v>
      </c>
      <c r="J21" s="6">
        <v>67.71</v>
      </c>
      <c r="K21" s="6">
        <v>66.31</v>
      </c>
      <c r="L21" s="6">
        <v>64.41</v>
      </c>
      <c r="M21" s="6">
        <v>62.74</v>
      </c>
      <c r="N21" s="6">
        <v>65.44</v>
      </c>
      <c r="O21" s="6">
        <v>65.79</v>
      </c>
      <c r="P21" s="6">
        <v>62.81</v>
      </c>
      <c r="Q21" s="6">
        <v>62.09</v>
      </c>
    </row>
    <row r="22" spans="1:17">
      <c r="A22" s="5">
        <v>20250428</v>
      </c>
      <c r="B22" s="6">
        <v>62.05</v>
      </c>
      <c r="C22" s="6">
        <v>65.86</v>
      </c>
      <c r="D22" s="6">
        <v>67.34</v>
      </c>
      <c r="E22" s="6">
        <v>494.2</v>
      </c>
      <c r="F22" s="6">
        <v>66.84</v>
      </c>
      <c r="G22" s="6">
        <v>66.84</v>
      </c>
      <c r="H22" s="6">
        <v>65.675</v>
      </c>
      <c r="I22" s="6">
        <v>64.955</v>
      </c>
      <c r="J22" s="6">
        <v>67.88</v>
      </c>
      <c r="K22" s="6">
        <v>66.58</v>
      </c>
      <c r="L22" s="6">
        <v>64.63</v>
      </c>
      <c r="M22" s="6">
        <v>61.32</v>
      </c>
      <c r="N22" s="6">
        <v>65.11</v>
      </c>
      <c r="O22" s="6">
        <v>65.46</v>
      </c>
      <c r="P22" s="6">
        <v>62.68</v>
      </c>
      <c r="Q22" s="6">
        <v>61.96</v>
      </c>
    </row>
    <row r="23" spans="1:17">
      <c r="A23" s="5">
        <v>20250429</v>
      </c>
      <c r="B23" s="6">
        <v>60.42</v>
      </c>
      <c r="C23" s="6">
        <v>64.25</v>
      </c>
      <c r="D23" s="6">
        <v>65.3</v>
      </c>
      <c r="E23" s="6">
        <v>488.1</v>
      </c>
      <c r="F23" s="6">
        <v>64.64</v>
      </c>
      <c r="G23" s="6">
        <v>64.64</v>
      </c>
      <c r="H23" s="6">
        <v>64.35</v>
      </c>
      <c r="I23" s="6">
        <v>63.28</v>
      </c>
      <c r="J23" s="6">
        <v>66.5</v>
      </c>
      <c r="K23" s="6">
        <v>65.2</v>
      </c>
      <c r="L23" s="6">
        <v>62.93</v>
      </c>
      <c r="M23" s="6">
        <v>60.53</v>
      </c>
      <c r="N23" s="6">
        <v>63.6</v>
      </c>
      <c r="O23" s="6">
        <v>63.95</v>
      </c>
      <c r="P23" s="6">
        <v>61.3</v>
      </c>
      <c r="Q23" s="6">
        <v>60.35</v>
      </c>
    </row>
    <row r="24" spans="1:17">
      <c r="A24" s="5">
        <v>20250430</v>
      </c>
      <c r="B24" s="6">
        <v>58.21</v>
      </c>
      <c r="C24" s="6">
        <v>63.12</v>
      </c>
      <c r="D24" s="6">
        <v>62.19</v>
      </c>
      <c r="E24" s="6">
        <v>476.5</v>
      </c>
      <c r="F24" s="6">
        <v>62.545</v>
      </c>
      <c r="G24" s="6">
        <v>62.545</v>
      </c>
      <c r="H24" s="6">
        <v>63.275</v>
      </c>
      <c r="I24" s="6">
        <v>60.985</v>
      </c>
      <c r="J24" s="6">
        <v>64.42</v>
      </c>
      <c r="K24" s="6">
        <v>63.02</v>
      </c>
      <c r="L24" s="6">
        <v>60.65</v>
      </c>
      <c r="M24" s="6">
        <v>59.44</v>
      </c>
      <c r="N24" s="6">
        <v>61.5</v>
      </c>
      <c r="O24" s="6">
        <v>61.85</v>
      </c>
      <c r="P24" s="6">
        <v>59.02</v>
      </c>
      <c r="Q24" s="6">
        <v>58.35</v>
      </c>
    </row>
    <row r="25" spans="1:17">
      <c r="A25" s="7" t="s">
        <v>17</v>
      </c>
      <c r="B25" s="8">
        <f>AVERAGE(B22:B24)</f>
        <v>60.2266666666667</v>
      </c>
      <c r="C25" s="8">
        <f t="shared" ref="C25:Q25" si="0">AVERAGE(C22:C24)</f>
        <v>64.41</v>
      </c>
      <c r="D25" s="8">
        <f t="shared" si="0"/>
        <v>64.9433333333333</v>
      </c>
      <c r="E25" s="8">
        <f t="shared" si="0"/>
        <v>486.266666666667</v>
      </c>
      <c r="F25" s="8">
        <f t="shared" si="0"/>
        <v>64.675</v>
      </c>
      <c r="G25" s="8">
        <f t="shared" si="0"/>
        <v>64.675</v>
      </c>
      <c r="H25" s="8">
        <f t="shared" si="0"/>
        <v>64.4333333333333</v>
      </c>
      <c r="I25" s="8">
        <f t="shared" si="0"/>
        <v>63.0733333333333</v>
      </c>
      <c r="J25" s="8">
        <f t="shared" si="0"/>
        <v>66.2666666666667</v>
      </c>
      <c r="K25" s="8">
        <f t="shared" si="0"/>
        <v>64.9333333333333</v>
      </c>
      <c r="L25" s="8">
        <f t="shared" si="0"/>
        <v>62.7366666666667</v>
      </c>
      <c r="M25" s="8">
        <f t="shared" si="0"/>
        <v>60.43</v>
      </c>
      <c r="N25" s="8">
        <f t="shared" si="0"/>
        <v>63.4033333333333</v>
      </c>
      <c r="O25" s="8">
        <f t="shared" si="0"/>
        <v>63.7533333333333</v>
      </c>
      <c r="P25" s="8">
        <f t="shared" si="0"/>
        <v>61</v>
      </c>
      <c r="Q25" s="8">
        <f t="shared" si="0"/>
        <v>60.22</v>
      </c>
    </row>
    <row r="26" ht="22.5" spans="1:17">
      <c r="A26" s="3" t="s">
        <v>20</v>
      </c>
      <c r="B26" s="9">
        <f>AVERAGE(B3:B24)</f>
        <v>62.962380952381</v>
      </c>
      <c r="C26" s="9">
        <f t="shared" ref="C26:Q26" si="1">AVERAGE(C3:C24)</f>
        <v>66.4566666666667</v>
      </c>
      <c r="D26" s="9">
        <f t="shared" si="1"/>
        <v>67.8690476190476</v>
      </c>
      <c r="E26" s="9">
        <f t="shared" si="1"/>
        <v>492.571428571429</v>
      </c>
      <c r="F26" s="9">
        <f t="shared" si="1"/>
        <v>67.7378571428572</v>
      </c>
      <c r="G26" s="9">
        <f t="shared" si="1"/>
        <v>67.7478571428572</v>
      </c>
      <c r="H26" s="9">
        <f t="shared" si="1"/>
        <v>67.78575</v>
      </c>
      <c r="I26" s="9">
        <f t="shared" si="1"/>
        <v>65.0273809523809</v>
      </c>
      <c r="J26" s="9">
        <f t="shared" si="1"/>
        <v>67.9428571428572</v>
      </c>
      <c r="K26" s="9">
        <f t="shared" si="1"/>
        <v>66.3880952380952</v>
      </c>
      <c r="L26" s="9">
        <f t="shared" si="1"/>
        <v>64.6385714285714</v>
      </c>
      <c r="M26" s="9">
        <f t="shared" si="1"/>
        <v>62.8845</v>
      </c>
      <c r="N26" s="9">
        <f t="shared" si="1"/>
        <v>66.191</v>
      </c>
      <c r="O26" s="9">
        <f t="shared" si="1"/>
        <v>66.466</v>
      </c>
      <c r="P26" s="9">
        <f t="shared" si="1"/>
        <v>63.1695</v>
      </c>
      <c r="Q26" s="9">
        <f t="shared" si="1"/>
        <v>61.9671428571428</v>
      </c>
    </row>
    <row r="27" ht="23.25" spans="1:17">
      <c r="A27" s="10" t="s">
        <v>19</v>
      </c>
      <c r="B27" s="23">
        <f>(B26-B2)/B2</f>
        <v>-0.0732584301164198</v>
      </c>
      <c r="C27" s="23">
        <f t="shared" ref="B27:Q27" si="2">(C26-C2)/C2</f>
        <v>-0.0701088079103951</v>
      </c>
      <c r="D27" s="23">
        <f t="shared" si="2"/>
        <v>-0.064035041634926</v>
      </c>
      <c r="E27" s="24">
        <f t="shared" si="2"/>
        <v>-0.0642386082991828</v>
      </c>
      <c r="F27" s="23">
        <f t="shared" si="2"/>
        <v>-0.0655236124454952</v>
      </c>
      <c r="G27" s="23">
        <f t="shared" si="2"/>
        <v>-0.0655467980295563</v>
      </c>
      <c r="H27" s="23">
        <f t="shared" si="2"/>
        <v>-0.0663242316118115</v>
      </c>
      <c r="I27" s="23">
        <f t="shared" si="2"/>
        <v>-0.0688092084290133</v>
      </c>
      <c r="J27" s="23">
        <f t="shared" si="2"/>
        <v>-0.0757708549119592</v>
      </c>
      <c r="K27" s="23">
        <f t="shared" si="2"/>
        <v>-0.0763780956885941</v>
      </c>
      <c r="L27" s="24">
        <f t="shared" si="2"/>
        <v>-0.0648118054410894</v>
      </c>
      <c r="M27" s="23">
        <f t="shared" si="2"/>
        <v>-0.0838638714470941</v>
      </c>
      <c r="N27" s="23">
        <f t="shared" si="2"/>
        <v>-0.0849444601889804</v>
      </c>
      <c r="O27" s="23">
        <f t="shared" si="2"/>
        <v>-0.0847487968273423</v>
      </c>
      <c r="P27" s="23">
        <f t="shared" si="2"/>
        <v>-0.0798726931088226</v>
      </c>
      <c r="Q27" s="24">
        <f t="shared" si="2"/>
        <v>-0.0526784758818148</v>
      </c>
    </row>
    <row r="28" ht="15"/>
  </sheetData>
  <conditionalFormatting sqref="B27:Q27">
    <cfRule type="cellIs" dxfId="3" priority="1" operator="equal">
      <formula>0</formula>
    </cfRule>
    <cfRule type="cellIs" dxfId="4" priority="2" operator="lessThan">
      <formula>0</formula>
    </cfRule>
    <cfRule type="cellIs" dxfId="5" priority="3" operator="greaterThan">
      <formula>0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Q27"/>
  <sheetViews>
    <sheetView workbookViewId="0">
      <selection activeCell="Q1" sqref="A1:Q26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ht="22.5" spans="1:17">
      <c r="A2" s="3" t="s">
        <v>35</v>
      </c>
      <c r="B2" s="9">
        <v>71.2089473684211</v>
      </c>
      <c r="C2" s="9">
        <v>74.9545</v>
      </c>
      <c r="D2" s="9">
        <v>77.6335</v>
      </c>
      <c r="E2" s="9">
        <v>578.85</v>
      </c>
      <c r="F2" s="9">
        <v>77.92025</v>
      </c>
      <c r="G2" s="9">
        <v>77.9275</v>
      </c>
      <c r="H2" s="9">
        <v>75.155</v>
      </c>
      <c r="I2" s="9">
        <v>74.20825</v>
      </c>
      <c r="J2" s="9">
        <v>77.5235</v>
      </c>
      <c r="K2" s="9">
        <v>76.996</v>
      </c>
      <c r="L2" s="9">
        <v>73.672</v>
      </c>
      <c r="M2" s="9">
        <v>70.8465</v>
      </c>
      <c r="N2" s="9">
        <v>75.496</v>
      </c>
      <c r="O2" s="9">
        <v>75.846</v>
      </c>
      <c r="P2" s="9">
        <v>70.936</v>
      </c>
      <c r="Q2" s="9">
        <v>68.1735</v>
      </c>
    </row>
    <row r="3" spans="1:17">
      <c r="A3" s="5">
        <v>20250303</v>
      </c>
      <c r="B3" s="6">
        <v>68.37</v>
      </c>
      <c r="C3" s="6">
        <v>71.62</v>
      </c>
      <c r="D3" s="6">
        <v>73.41</v>
      </c>
      <c r="E3" s="6">
        <v>539.2</v>
      </c>
      <c r="F3" s="6">
        <v>73.25</v>
      </c>
      <c r="G3" s="6">
        <v>73.33</v>
      </c>
      <c r="H3" s="6">
        <v>73.92</v>
      </c>
      <c r="I3" s="6">
        <v>71.585</v>
      </c>
      <c r="J3" s="6">
        <v>75.17</v>
      </c>
      <c r="K3" s="6">
        <v>74.02</v>
      </c>
      <c r="L3" s="6">
        <v>70.925</v>
      </c>
      <c r="M3" s="6">
        <v>69.58</v>
      </c>
      <c r="N3" s="6">
        <v>73.33</v>
      </c>
      <c r="O3" s="6">
        <v>73.68</v>
      </c>
      <c r="P3" s="6">
        <v>69.22</v>
      </c>
      <c r="Q3" s="6">
        <v>66.03</v>
      </c>
    </row>
    <row r="4" spans="1:17">
      <c r="A4" s="5">
        <v>20250304</v>
      </c>
      <c r="B4" s="6">
        <v>68.26</v>
      </c>
      <c r="C4" s="6">
        <v>71.04</v>
      </c>
      <c r="D4" s="6">
        <v>70.32</v>
      </c>
      <c r="E4" s="6">
        <v>531.5</v>
      </c>
      <c r="F4" s="6">
        <v>70.45</v>
      </c>
      <c r="G4" s="6">
        <v>70.45</v>
      </c>
      <c r="H4" s="6">
        <v>71.785</v>
      </c>
      <c r="I4" s="6">
        <v>69.535</v>
      </c>
      <c r="J4" s="6">
        <v>73.33</v>
      </c>
      <c r="K4" s="6">
        <v>72.08</v>
      </c>
      <c r="L4" s="6">
        <v>68.765</v>
      </c>
      <c r="M4" s="6">
        <v>67.13</v>
      </c>
      <c r="N4" s="6">
        <v>70.89</v>
      </c>
      <c r="O4" s="6">
        <v>71.24</v>
      </c>
      <c r="P4" s="6">
        <v>67.18</v>
      </c>
      <c r="Q4" s="6">
        <v>63.79</v>
      </c>
    </row>
    <row r="5" spans="1:17">
      <c r="A5" s="5">
        <v>20250305</v>
      </c>
      <c r="B5" s="6">
        <v>66.31</v>
      </c>
      <c r="C5" s="6">
        <v>69.3</v>
      </c>
      <c r="D5" s="6">
        <v>71.4</v>
      </c>
      <c r="E5" s="6">
        <v>516.4</v>
      </c>
      <c r="F5" s="6">
        <v>71.4</v>
      </c>
      <c r="G5" s="6">
        <v>71.46</v>
      </c>
      <c r="H5" s="6">
        <v>69.83</v>
      </c>
      <c r="I5" s="6">
        <v>69.68</v>
      </c>
      <c r="J5" s="6">
        <v>73.21</v>
      </c>
      <c r="K5" s="6">
        <v>71.86</v>
      </c>
      <c r="L5" s="6">
        <v>68.875</v>
      </c>
      <c r="M5" s="6">
        <v>65.29</v>
      </c>
      <c r="N5" s="6">
        <v>71.41</v>
      </c>
      <c r="O5" s="6">
        <v>71.76</v>
      </c>
      <c r="P5" s="6">
        <v>67.16</v>
      </c>
      <c r="Q5" s="6">
        <v>64.51</v>
      </c>
    </row>
    <row r="6" spans="1:17">
      <c r="A6" s="5">
        <v>20250306</v>
      </c>
      <c r="B6" s="6">
        <v>66.36</v>
      </c>
      <c r="C6" s="6">
        <v>69.46</v>
      </c>
      <c r="D6" s="6">
        <v>70.2</v>
      </c>
      <c r="E6" s="6">
        <v>508.7</v>
      </c>
      <c r="F6" s="6">
        <v>70.24</v>
      </c>
      <c r="G6" s="6">
        <v>70.26</v>
      </c>
      <c r="H6" s="6">
        <v>70.305</v>
      </c>
      <c r="I6" s="6">
        <v>68.46</v>
      </c>
      <c r="J6" s="6">
        <v>71.91</v>
      </c>
      <c r="K6" s="6">
        <v>70.56</v>
      </c>
      <c r="L6" s="6">
        <v>67.605</v>
      </c>
      <c r="M6" s="6">
        <v>65.81</v>
      </c>
      <c r="N6" s="6">
        <v>70.21</v>
      </c>
      <c r="O6" s="6">
        <v>70.56</v>
      </c>
      <c r="P6" s="6">
        <v>65.96</v>
      </c>
      <c r="Q6" s="6">
        <v>63.21</v>
      </c>
    </row>
    <row r="7" spans="1:17">
      <c r="A7" s="5">
        <v>20250307</v>
      </c>
      <c r="B7" s="6">
        <v>67.04</v>
      </c>
      <c r="C7" s="6">
        <v>70.36</v>
      </c>
      <c r="D7" s="6">
        <v>70.76</v>
      </c>
      <c r="E7" s="6">
        <v>510.3</v>
      </c>
      <c r="F7" s="6">
        <v>70.85</v>
      </c>
      <c r="G7" s="6">
        <v>70.85</v>
      </c>
      <c r="H7" s="6">
        <v>72.065</v>
      </c>
      <c r="I7" s="6">
        <v>68.84</v>
      </c>
      <c r="J7" s="6">
        <v>72.24</v>
      </c>
      <c r="K7" s="6">
        <v>70.79</v>
      </c>
      <c r="L7" s="6">
        <v>67.945</v>
      </c>
      <c r="M7" s="6">
        <v>67.8</v>
      </c>
      <c r="N7" s="6">
        <v>70.74</v>
      </c>
      <c r="O7" s="6">
        <v>71.09</v>
      </c>
      <c r="P7" s="6">
        <v>66.59</v>
      </c>
      <c r="Q7" s="6">
        <v>63.29</v>
      </c>
    </row>
    <row r="8" spans="1:17">
      <c r="A8" s="5">
        <v>20250310</v>
      </c>
      <c r="B8" s="6">
        <v>66.03</v>
      </c>
      <c r="C8" s="6">
        <v>69.28</v>
      </c>
      <c r="D8" s="6">
        <v>71.37</v>
      </c>
      <c r="E8" s="6">
        <v>520.2</v>
      </c>
      <c r="F8" s="6">
        <v>71.405</v>
      </c>
      <c r="G8" s="6">
        <v>71.405</v>
      </c>
      <c r="H8" s="6">
        <v>71.035</v>
      </c>
      <c r="I8" s="6">
        <v>69.27</v>
      </c>
      <c r="J8" s="6">
        <v>72.63</v>
      </c>
      <c r="K8" s="6">
        <v>71.28</v>
      </c>
      <c r="L8" s="6">
        <v>68.39</v>
      </c>
      <c r="M8" s="6">
        <v>66.26</v>
      </c>
      <c r="N8" s="6">
        <v>71.24</v>
      </c>
      <c r="O8" s="6">
        <v>71.59</v>
      </c>
      <c r="P8" s="6">
        <v>67.08</v>
      </c>
      <c r="Q8" s="6">
        <v>63.79</v>
      </c>
    </row>
    <row r="9" spans="1:17">
      <c r="A9" s="5">
        <v>20250311</v>
      </c>
      <c r="B9" s="6">
        <v>66.25</v>
      </c>
      <c r="C9" s="6">
        <v>69.56</v>
      </c>
      <c r="D9" s="6">
        <v>70.5</v>
      </c>
      <c r="E9" s="6">
        <v>516</v>
      </c>
      <c r="F9" s="6">
        <v>70.51</v>
      </c>
      <c r="G9" s="6">
        <v>70.52</v>
      </c>
      <c r="H9" s="6">
        <v>71.145</v>
      </c>
      <c r="I9" s="6">
        <v>68.3</v>
      </c>
      <c r="J9" s="6">
        <v>71.63</v>
      </c>
      <c r="K9" s="6">
        <v>70.48</v>
      </c>
      <c r="L9" s="6">
        <v>67.48</v>
      </c>
      <c r="M9" s="6">
        <v>66.63</v>
      </c>
      <c r="N9" s="6">
        <v>70.47</v>
      </c>
      <c r="O9" s="6">
        <v>70.82</v>
      </c>
      <c r="P9" s="6">
        <v>66.28</v>
      </c>
      <c r="Q9" s="6">
        <v>62.92</v>
      </c>
    </row>
    <row r="10" spans="1:17">
      <c r="A10" s="5">
        <v>20250312</v>
      </c>
      <c r="B10" s="6">
        <v>67.68</v>
      </c>
      <c r="C10" s="6">
        <v>70.95</v>
      </c>
      <c r="D10" s="6">
        <v>70.68</v>
      </c>
      <c r="E10" s="6">
        <v>517.3</v>
      </c>
      <c r="F10" s="6">
        <v>70.65</v>
      </c>
      <c r="G10" s="6">
        <v>70.67</v>
      </c>
      <c r="H10" s="6">
        <v>72.23</v>
      </c>
      <c r="I10" s="6">
        <v>68.315</v>
      </c>
      <c r="J10" s="6">
        <v>72.15</v>
      </c>
      <c r="K10" s="6">
        <v>70.9</v>
      </c>
      <c r="L10" s="6">
        <v>67.585</v>
      </c>
      <c r="M10" s="6">
        <v>67.73</v>
      </c>
      <c r="N10" s="6">
        <v>70.61</v>
      </c>
      <c r="O10" s="6">
        <v>70.86</v>
      </c>
      <c r="P10" s="6">
        <v>66.7</v>
      </c>
      <c r="Q10" s="6">
        <v>63.16</v>
      </c>
    </row>
    <row r="11" spans="1:17">
      <c r="A11" s="5">
        <v>20250313</v>
      </c>
      <c r="B11" s="6">
        <v>66.55</v>
      </c>
      <c r="C11" s="6">
        <v>69.88</v>
      </c>
      <c r="D11" s="6">
        <v>72.14</v>
      </c>
      <c r="E11" s="6">
        <v>523.2</v>
      </c>
      <c r="F11" s="6">
        <v>72.06</v>
      </c>
      <c r="G11" s="6">
        <v>72.09</v>
      </c>
      <c r="H11" s="6">
        <v>71.39</v>
      </c>
      <c r="I11" s="6">
        <v>69.385</v>
      </c>
      <c r="J11" s="6">
        <v>73.21</v>
      </c>
      <c r="K11" s="6">
        <v>72.06</v>
      </c>
      <c r="L11" s="6">
        <v>68.72</v>
      </c>
      <c r="M11" s="6">
        <v>66.88</v>
      </c>
      <c r="N11" s="6">
        <v>71.86</v>
      </c>
      <c r="O11" s="6">
        <v>72.11</v>
      </c>
      <c r="P11" s="6">
        <v>67.86</v>
      </c>
      <c r="Q11" s="6">
        <v>65.01</v>
      </c>
    </row>
    <row r="12" spans="1:17">
      <c r="A12" s="5">
        <v>20250314</v>
      </c>
      <c r="B12" s="6">
        <v>67.18</v>
      </c>
      <c r="C12" s="6">
        <v>70.58</v>
      </c>
      <c r="D12" s="6">
        <v>71.54</v>
      </c>
      <c r="E12" s="6">
        <v>519.4</v>
      </c>
      <c r="F12" s="6">
        <v>71.55</v>
      </c>
      <c r="G12" s="6">
        <v>71.55</v>
      </c>
      <c r="H12" s="6">
        <v>71.66</v>
      </c>
      <c r="I12" s="6">
        <v>68.66</v>
      </c>
      <c r="J12" s="6">
        <v>72.51</v>
      </c>
      <c r="K12" s="6">
        <v>71.16</v>
      </c>
      <c r="L12" s="6">
        <v>67.955</v>
      </c>
      <c r="M12" s="6">
        <v>67.19</v>
      </c>
      <c r="N12" s="6">
        <v>71.44</v>
      </c>
      <c r="O12" s="6">
        <v>71.69</v>
      </c>
      <c r="P12" s="6">
        <v>67.36</v>
      </c>
      <c r="Q12" s="6">
        <v>64.44</v>
      </c>
    </row>
    <row r="13" spans="1:17">
      <c r="A13" s="5">
        <v>20250317</v>
      </c>
      <c r="B13" s="6">
        <v>67.58</v>
      </c>
      <c r="C13" s="6">
        <v>71.07</v>
      </c>
      <c r="D13" s="6">
        <v>72.28</v>
      </c>
      <c r="E13" s="6">
        <v>521.3</v>
      </c>
      <c r="F13" s="6">
        <v>72.24</v>
      </c>
      <c r="G13" s="6">
        <v>72.27</v>
      </c>
      <c r="H13" s="6">
        <v>72.255</v>
      </c>
      <c r="I13" s="6">
        <v>69.255</v>
      </c>
      <c r="J13" s="6">
        <v>73.04</v>
      </c>
      <c r="K13" s="6">
        <v>71.49</v>
      </c>
      <c r="L13" s="6">
        <v>68.525</v>
      </c>
      <c r="M13" s="6">
        <v>67.92</v>
      </c>
      <c r="N13" s="6">
        <v>72.04</v>
      </c>
      <c r="O13" s="6">
        <v>72.29</v>
      </c>
      <c r="P13" s="6">
        <v>67.89</v>
      </c>
      <c r="Q13" s="6">
        <v>65.14</v>
      </c>
    </row>
    <row r="14" spans="1:17">
      <c r="A14" s="5">
        <v>20250318</v>
      </c>
      <c r="B14" s="6">
        <v>66.9</v>
      </c>
      <c r="C14" s="6">
        <v>70.56</v>
      </c>
      <c r="D14" s="6">
        <v>73.09</v>
      </c>
      <c r="E14" s="6">
        <v>523.4</v>
      </c>
      <c r="F14" s="6">
        <v>73.05</v>
      </c>
      <c r="G14" s="6">
        <v>73.05</v>
      </c>
      <c r="H14" s="6">
        <v>71.73</v>
      </c>
      <c r="I14" s="6">
        <v>69.92</v>
      </c>
      <c r="J14" s="6">
        <v>73.77</v>
      </c>
      <c r="K14" s="6">
        <v>72.12</v>
      </c>
      <c r="L14" s="6">
        <v>69.255</v>
      </c>
      <c r="M14" s="6">
        <v>68.19</v>
      </c>
      <c r="N14" s="6">
        <v>72.83</v>
      </c>
      <c r="O14" s="6">
        <v>73.08</v>
      </c>
      <c r="P14" s="6">
        <v>69.12</v>
      </c>
      <c r="Q14" s="6">
        <v>65.83</v>
      </c>
    </row>
    <row r="15" spans="1:17">
      <c r="A15" s="5">
        <v>20250319</v>
      </c>
      <c r="B15" s="6">
        <v>67.16</v>
      </c>
      <c r="C15" s="6">
        <v>70.78</v>
      </c>
      <c r="D15" s="6">
        <v>71.95</v>
      </c>
      <c r="E15" s="6">
        <v>521.4</v>
      </c>
      <c r="F15" s="6">
        <v>71.9</v>
      </c>
      <c r="G15" s="6">
        <v>71.9</v>
      </c>
      <c r="H15" s="6">
        <v>71.515</v>
      </c>
      <c r="I15" s="6">
        <v>68.57</v>
      </c>
      <c r="J15" s="6">
        <v>72.33</v>
      </c>
      <c r="K15" s="6">
        <v>70.48</v>
      </c>
      <c r="L15" s="6">
        <v>67.86</v>
      </c>
      <c r="M15" s="6">
        <v>68.87</v>
      </c>
      <c r="N15" s="6">
        <v>71.66</v>
      </c>
      <c r="O15" s="6">
        <v>71.91</v>
      </c>
      <c r="P15" s="6">
        <v>68.38</v>
      </c>
      <c r="Q15" s="6">
        <v>64.56</v>
      </c>
    </row>
    <row r="16" spans="1:17">
      <c r="A16" s="5">
        <v>20250320</v>
      </c>
      <c r="B16" s="6">
        <v>68.26</v>
      </c>
      <c r="C16" s="6">
        <v>72</v>
      </c>
      <c r="D16" s="6">
        <v>72.89</v>
      </c>
      <c r="E16" s="6">
        <v>522</v>
      </c>
      <c r="F16" s="6">
        <v>72.925</v>
      </c>
      <c r="G16" s="6">
        <v>72.925</v>
      </c>
      <c r="H16" s="6">
        <v>72.54</v>
      </c>
      <c r="I16" s="6">
        <v>69.665</v>
      </c>
      <c r="J16" s="6">
        <v>73.5</v>
      </c>
      <c r="K16" s="6">
        <v>71.35</v>
      </c>
      <c r="L16" s="6">
        <v>68.92</v>
      </c>
      <c r="M16" s="6">
        <v>70.14</v>
      </c>
      <c r="N16" s="6">
        <v>72.87</v>
      </c>
      <c r="O16" s="6">
        <v>73.12</v>
      </c>
      <c r="P16" s="6">
        <v>69.65</v>
      </c>
      <c r="Q16" s="6">
        <v>65.67</v>
      </c>
    </row>
    <row r="17" spans="1:17">
      <c r="A17" s="5">
        <v>20250321</v>
      </c>
      <c r="B17" s="6">
        <v>68.28</v>
      </c>
      <c r="C17" s="6">
        <v>72.16</v>
      </c>
      <c r="D17" s="6">
        <v>73.79</v>
      </c>
      <c r="E17" s="6">
        <v>531.3</v>
      </c>
      <c r="F17" s="6">
        <v>73.8</v>
      </c>
      <c r="G17" s="6">
        <v>73.8</v>
      </c>
      <c r="H17" s="6">
        <v>72.55</v>
      </c>
      <c r="I17" s="6">
        <v>70.325</v>
      </c>
      <c r="J17" s="6">
        <v>74.26</v>
      </c>
      <c r="K17" s="6">
        <v>72.11</v>
      </c>
      <c r="L17" s="6">
        <v>69.64</v>
      </c>
      <c r="M17" s="6">
        <v>70.34</v>
      </c>
      <c r="N17" s="6">
        <v>73.64</v>
      </c>
      <c r="O17" s="6">
        <v>73.89</v>
      </c>
      <c r="P17" s="6">
        <v>70.41</v>
      </c>
      <c r="Q17" s="6">
        <v>66.54</v>
      </c>
    </row>
    <row r="18" spans="1:17">
      <c r="A18" s="5">
        <v>20250324</v>
      </c>
      <c r="B18" s="6">
        <v>69.11</v>
      </c>
      <c r="C18" s="6">
        <v>73</v>
      </c>
      <c r="D18" s="6">
        <v>73.51</v>
      </c>
      <c r="E18" s="6">
        <v>533.3</v>
      </c>
      <c r="F18" s="6">
        <v>73.45</v>
      </c>
      <c r="G18" s="6">
        <v>73.45</v>
      </c>
      <c r="H18" s="6">
        <v>73.925</v>
      </c>
      <c r="I18" s="6">
        <v>70.47</v>
      </c>
      <c r="J18" s="6">
        <v>74.45</v>
      </c>
      <c r="K18" s="6">
        <v>72.2</v>
      </c>
      <c r="L18" s="6">
        <v>69.825</v>
      </c>
      <c r="M18" s="6">
        <v>71.32</v>
      </c>
      <c r="N18" s="6">
        <v>73.63</v>
      </c>
      <c r="O18" s="6">
        <v>73.88</v>
      </c>
      <c r="P18" s="6">
        <v>70.6</v>
      </c>
      <c r="Q18" s="6">
        <v>66.63</v>
      </c>
    </row>
    <row r="19" spans="1:17">
      <c r="A19" s="5">
        <v>20250325</v>
      </c>
      <c r="B19" s="6">
        <v>69</v>
      </c>
      <c r="C19" s="6">
        <v>73.02</v>
      </c>
      <c r="D19" s="6">
        <v>74.44</v>
      </c>
      <c r="E19" s="6">
        <v>537.3</v>
      </c>
      <c r="F19" s="6">
        <v>74.68</v>
      </c>
      <c r="G19" s="6">
        <v>74.68</v>
      </c>
      <c r="H19" s="6">
        <v>73.62</v>
      </c>
      <c r="I19" s="6">
        <v>71.42</v>
      </c>
      <c r="J19" s="6">
        <v>75.02</v>
      </c>
      <c r="K19" s="6">
        <v>72.77</v>
      </c>
      <c r="L19" s="6">
        <v>70.845</v>
      </c>
      <c r="M19" s="6">
        <v>70.86</v>
      </c>
      <c r="N19" s="6">
        <v>74.33</v>
      </c>
      <c r="O19" s="6">
        <v>74.58</v>
      </c>
      <c r="P19" s="6">
        <v>71.17</v>
      </c>
      <c r="Q19" s="6">
        <v>67.83</v>
      </c>
    </row>
    <row r="20" spans="1:17">
      <c r="A20" s="5">
        <v>20250326</v>
      </c>
      <c r="B20" s="6">
        <v>69.65</v>
      </c>
      <c r="C20" s="6">
        <v>73.79</v>
      </c>
      <c r="D20" s="6">
        <v>74.51</v>
      </c>
      <c r="E20" s="6">
        <v>539.4</v>
      </c>
      <c r="F20" s="6">
        <v>74.68</v>
      </c>
      <c r="G20" s="6">
        <v>74.68</v>
      </c>
      <c r="H20" s="6">
        <v>74.875</v>
      </c>
      <c r="I20" s="6">
        <v>71.315</v>
      </c>
      <c r="J20" s="6">
        <v>75.09</v>
      </c>
      <c r="K20" s="6">
        <v>72.84</v>
      </c>
      <c r="L20" s="6">
        <v>70.67</v>
      </c>
      <c r="M20" s="6">
        <v>71.92</v>
      </c>
      <c r="N20" s="6">
        <v>74.26</v>
      </c>
      <c r="O20" s="6">
        <v>74.51</v>
      </c>
      <c r="P20" s="6">
        <v>71.24</v>
      </c>
      <c r="Q20" s="6">
        <v>68.16</v>
      </c>
    </row>
    <row r="21" spans="1:17">
      <c r="A21" s="5">
        <v>20250327</v>
      </c>
      <c r="B21" s="6">
        <v>69.92</v>
      </c>
      <c r="C21" s="6">
        <v>74.03</v>
      </c>
      <c r="D21" s="6">
        <v>74.66</v>
      </c>
      <c r="E21" s="6">
        <v>543.4</v>
      </c>
      <c r="F21" s="6">
        <v>74.81</v>
      </c>
      <c r="G21" s="6">
        <v>74.81</v>
      </c>
      <c r="H21" s="6">
        <v>74.485</v>
      </c>
      <c r="I21" s="6">
        <v>71.605</v>
      </c>
      <c r="J21" s="6">
        <v>75.3</v>
      </c>
      <c r="K21" s="6">
        <v>73.3</v>
      </c>
      <c r="L21" s="6">
        <v>71.055</v>
      </c>
      <c r="M21" s="6">
        <v>71.77</v>
      </c>
      <c r="N21" s="6">
        <v>74.42</v>
      </c>
      <c r="O21" s="6">
        <v>74.67</v>
      </c>
      <c r="P21" s="6">
        <v>71.5</v>
      </c>
      <c r="Q21" s="6">
        <v>68.42</v>
      </c>
    </row>
    <row r="22" spans="1:17">
      <c r="A22" s="5">
        <v>20250328</v>
      </c>
      <c r="B22" s="6">
        <v>69.36</v>
      </c>
      <c r="C22" s="6">
        <v>73.63</v>
      </c>
      <c r="D22" s="6">
        <v>74.53</v>
      </c>
      <c r="E22" s="6">
        <v>541.7</v>
      </c>
      <c r="F22" s="6">
        <v>75.85</v>
      </c>
      <c r="G22" s="6">
        <v>75.85</v>
      </c>
      <c r="H22" s="6">
        <v>74.49</v>
      </c>
      <c r="I22" s="6">
        <v>72.075</v>
      </c>
      <c r="J22" s="6">
        <v>75.51</v>
      </c>
      <c r="K22" s="6">
        <v>73.71</v>
      </c>
      <c r="L22" s="6">
        <v>71.525</v>
      </c>
      <c r="M22" s="6">
        <v>71.19</v>
      </c>
      <c r="N22" s="6">
        <v>74.83</v>
      </c>
      <c r="O22" s="6">
        <v>75.08</v>
      </c>
      <c r="P22" s="6">
        <v>71.71</v>
      </c>
      <c r="Q22" s="6">
        <v>69.33</v>
      </c>
    </row>
    <row r="23" spans="1:17">
      <c r="A23" s="5">
        <v>20250331</v>
      </c>
      <c r="B23" s="6">
        <v>71.48</v>
      </c>
      <c r="C23" s="6">
        <v>74.74</v>
      </c>
      <c r="D23" s="6">
        <v>74.79</v>
      </c>
      <c r="E23" s="6">
        <v>537.4</v>
      </c>
      <c r="F23" s="6"/>
      <c r="G23" s="6"/>
      <c r="H23" s="6">
        <v>77.27</v>
      </c>
      <c r="I23" s="6"/>
      <c r="J23" s="6"/>
      <c r="K23" s="6"/>
      <c r="L23" s="6"/>
      <c r="M23" s="6"/>
      <c r="N23" s="6"/>
      <c r="O23" s="6"/>
      <c r="P23" s="6"/>
      <c r="Q23" s="6"/>
    </row>
    <row r="24" spans="1:17">
      <c r="A24" s="7" t="s">
        <v>17</v>
      </c>
      <c r="B24" s="8">
        <f>AVERAGE(B23)</f>
        <v>71.48</v>
      </c>
      <c r="C24" s="8">
        <f>AVERAGE(C23)</f>
        <v>74.74</v>
      </c>
      <c r="D24" s="8">
        <f>AVERAGE(D23)</f>
        <v>74.79</v>
      </c>
      <c r="E24" s="8">
        <f>AVERAGE(E23)</f>
        <v>537.4</v>
      </c>
      <c r="F24" s="6"/>
      <c r="G24" s="6"/>
      <c r="H24" s="8">
        <f>AVERAGE(H23)</f>
        <v>77.27</v>
      </c>
      <c r="I24" s="6"/>
      <c r="J24" s="6"/>
      <c r="K24" s="6"/>
      <c r="L24" s="6"/>
      <c r="M24" s="6"/>
      <c r="N24" s="6"/>
      <c r="O24" s="6"/>
      <c r="P24" s="6"/>
      <c r="Q24" s="6"/>
    </row>
    <row r="25" ht="22.5" spans="1:17">
      <c r="A25" s="3" t="s">
        <v>21</v>
      </c>
      <c r="B25" s="9">
        <f>AVERAGE(B3:B23)</f>
        <v>67.9395238095238</v>
      </c>
      <c r="C25" s="9">
        <f t="shared" ref="C25:Q25" si="0">AVERAGE(C3:C23)</f>
        <v>71.4671428571429</v>
      </c>
      <c r="D25" s="9">
        <f t="shared" si="0"/>
        <v>72.512380952381</v>
      </c>
      <c r="E25" s="9">
        <f t="shared" si="0"/>
        <v>526.385714285714</v>
      </c>
      <c r="F25" s="9">
        <f t="shared" si="0"/>
        <v>72.4875</v>
      </c>
      <c r="G25" s="9">
        <f t="shared" si="0"/>
        <v>72.5</v>
      </c>
      <c r="H25" s="9">
        <f t="shared" si="0"/>
        <v>72.6009523809524</v>
      </c>
      <c r="I25" s="9">
        <f t="shared" si="0"/>
        <v>69.8325</v>
      </c>
      <c r="J25" s="9">
        <f t="shared" si="0"/>
        <v>73.513</v>
      </c>
      <c r="K25" s="9">
        <f t="shared" si="0"/>
        <v>71.878</v>
      </c>
      <c r="L25" s="9">
        <f t="shared" si="0"/>
        <v>69.11825</v>
      </c>
      <c r="M25" s="9">
        <f t="shared" si="0"/>
        <v>68.641</v>
      </c>
      <c r="N25" s="9">
        <f t="shared" si="0"/>
        <v>72.3355</v>
      </c>
      <c r="O25" s="9">
        <f t="shared" si="0"/>
        <v>72.6205</v>
      </c>
      <c r="P25" s="9">
        <f t="shared" si="0"/>
        <v>68.653</v>
      </c>
      <c r="Q25" s="9">
        <f t="shared" si="0"/>
        <v>65.413</v>
      </c>
    </row>
    <row r="26" ht="23.25" spans="1:17">
      <c r="A26" s="10" t="s">
        <v>19</v>
      </c>
      <c r="B26" s="23">
        <f>(B25-B2)/B2</f>
        <v>-0.0459131005262849</v>
      </c>
      <c r="C26" s="23">
        <f t="shared" ref="C26:Q26" si="1">(C25-C2)/C2</f>
        <v>-0.0465263212062936</v>
      </c>
      <c r="D26" s="23">
        <f t="shared" si="1"/>
        <v>-0.0659653248612912</v>
      </c>
      <c r="E26" s="23">
        <f t="shared" si="1"/>
        <v>-0.090635373091968</v>
      </c>
      <c r="F26" s="23">
        <f t="shared" si="1"/>
        <v>-0.0697219272268764</v>
      </c>
      <c r="G26" s="23">
        <f t="shared" si="1"/>
        <v>-0.0696480703217736</v>
      </c>
      <c r="H26" s="23">
        <f t="shared" si="1"/>
        <v>-0.0339837352012191</v>
      </c>
      <c r="I26" s="23">
        <f t="shared" si="1"/>
        <v>-0.0589658157954134</v>
      </c>
      <c r="J26" s="23">
        <f t="shared" si="1"/>
        <v>-0.0517327004069733</v>
      </c>
      <c r="K26" s="23">
        <f t="shared" si="1"/>
        <v>-0.0664709855057407</v>
      </c>
      <c r="L26" s="23">
        <f t="shared" si="1"/>
        <v>-0.0618111358453684</v>
      </c>
      <c r="M26" s="23">
        <f t="shared" si="1"/>
        <v>-0.031130683943455</v>
      </c>
      <c r="N26" s="23">
        <f t="shared" si="1"/>
        <v>-0.0418631450672883</v>
      </c>
      <c r="O26" s="23">
        <f t="shared" si="1"/>
        <v>-0.0425269625293357</v>
      </c>
      <c r="P26" s="23">
        <f t="shared" si="1"/>
        <v>-0.0321839404533664</v>
      </c>
      <c r="Q26" s="23">
        <f t="shared" si="1"/>
        <v>-0.0404922733906869</v>
      </c>
    </row>
    <row r="27" ht="15"/>
  </sheetData>
  <pageMargins left="0.75" right="0.75" top="1" bottom="1" header="0.5" footer="0.5"/>
  <pageSetup paperSize="9" orientation="portrait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Q26"/>
  <sheetViews>
    <sheetView workbookViewId="0">
      <selection activeCell="F13" sqref="F13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ht="22.5" spans="1:17">
      <c r="A2" s="3" t="s">
        <v>36</v>
      </c>
      <c r="B2" s="9">
        <v>75.0980952380952</v>
      </c>
      <c r="C2" s="9">
        <v>78.3490909090909</v>
      </c>
      <c r="D2" s="9">
        <v>80.255</v>
      </c>
      <c r="E2" s="9">
        <v>603.138888888889</v>
      </c>
      <c r="F2" s="9">
        <v>80.40975</v>
      </c>
      <c r="G2" s="9">
        <v>80.42275</v>
      </c>
      <c r="H2" s="9">
        <v>79.2343181818182</v>
      </c>
      <c r="I2" s="9">
        <v>76.8635</v>
      </c>
      <c r="J2" s="9">
        <v>81.0615</v>
      </c>
      <c r="K2" s="9">
        <v>80.054</v>
      </c>
      <c r="L2" s="9">
        <v>76.054</v>
      </c>
      <c r="M2" s="9">
        <v>73.4515</v>
      </c>
      <c r="N2" s="9">
        <v>78.278</v>
      </c>
      <c r="O2" s="9">
        <v>78.628</v>
      </c>
      <c r="P2" s="9">
        <v>73.3165</v>
      </c>
      <c r="Q2" s="9">
        <v>70.228</v>
      </c>
    </row>
    <row r="3" spans="1:17">
      <c r="A3" s="5">
        <v>20250203</v>
      </c>
      <c r="B3" s="6">
        <v>73.16</v>
      </c>
      <c r="C3" s="6">
        <v>75.96</v>
      </c>
      <c r="D3" s="6">
        <v>78.85</v>
      </c>
      <c r="E3" s="6"/>
      <c r="F3" s="6">
        <v>79.06</v>
      </c>
      <c r="G3" s="6">
        <v>79.06</v>
      </c>
      <c r="H3" s="6">
        <v>76.08</v>
      </c>
      <c r="I3" s="6">
        <v>75.705</v>
      </c>
      <c r="J3" s="6">
        <v>79.28</v>
      </c>
      <c r="K3" s="6">
        <v>77.83</v>
      </c>
      <c r="L3" s="6">
        <v>75.29</v>
      </c>
      <c r="M3" s="6">
        <v>72.32</v>
      </c>
      <c r="N3" s="6">
        <v>76.2</v>
      </c>
      <c r="O3" s="6">
        <v>76.55</v>
      </c>
      <c r="P3" s="6">
        <v>72.38</v>
      </c>
      <c r="Q3" s="6">
        <v>65.05</v>
      </c>
    </row>
    <row r="4" spans="1:17">
      <c r="A4" s="5">
        <v>20250204</v>
      </c>
      <c r="B4" s="6">
        <v>72.7</v>
      </c>
      <c r="C4" s="6">
        <v>76.2</v>
      </c>
      <c r="D4" s="6">
        <v>77.41</v>
      </c>
      <c r="E4" s="6"/>
      <c r="F4" s="6">
        <v>77.445</v>
      </c>
      <c r="G4" s="6">
        <v>77.54</v>
      </c>
      <c r="H4" s="6">
        <v>76.365</v>
      </c>
      <c r="I4" s="6">
        <v>74.365</v>
      </c>
      <c r="J4" s="6">
        <v>78.14</v>
      </c>
      <c r="K4" s="6">
        <v>76.74</v>
      </c>
      <c r="L4" s="6">
        <v>73.9</v>
      </c>
      <c r="M4" s="6">
        <v>72.71</v>
      </c>
      <c r="N4" s="6">
        <v>74.94</v>
      </c>
      <c r="O4" s="6">
        <v>75.29</v>
      </c>
      <c r="P4" s="6">
        <v>71.29</v>
      </c>
      <c r="Q4" s="6">
        <v>64.04</v>
      </c>
    </row>
    <row r="5" spans="1:17">
      <c r="A5" s="5">
        <v>20250205</v>
      </c>
      <c r="B5" s="6">
        <v>71.03</v>
      </c>
      <c r="C5" s="6">
        <v>74.61</v>
      </c>
      <c r="D5" s="6">
        <v>78.37</v>
      </c>
      <c r="E5" s="6">
        <v>600.8</v>
      </c>
      <c r="F5" s="6">
        <v>78.41</v>
      </c>
      <c r="G5" s="6">
        <v>78.41</v>
      </c>
      <c r="H5" s="6">
        <v>74.83</v>
      </c>
      <c r="I5" s="6">
        <v>75.2</v>
      </c>
      <c r="J5" s="6">
        <v>78.46</v>
      </c>
      <c r="K5" s="6">
        <v>77.41</v>
      </c>
      <c r="L5" s="6">
        <v>74.69</v>
      </c>
      <c r="M5" s="6">
        <v>71.36</v>
      </c>
      <c r="N5" s="6">
        <v>75.8</v>
      </c>
      <c r="O5" s="6">
        <v>76.15</v>
      </c>
      <c r="P5" s="6">
        <v>72.01</v>
      </c>
      <c r="Q5" s="6">
        <v>65.85</v>
      </c>
    </row>
    <row r="6" spans="1:17">
      <c r="A6" s="5">
        <v>20250206</v>
      </c>
      <c r="B6" s="6">
        <v>70.61</v>
      </c>
      <c r="C6" s="6">
        <v>74.29</v>
      </c>
      <c r="D6" s="6">
        <v>77.37</v>
      </c>
      <c r="E6" s="6">
        <v>598.2</v>
      </c>
      <c r="F6" s="6">
        <v>77.44</v>
      </c>
      <c r="G6" s="6">
        <v>77.44</v>
      </c>
      <c r="H6" s="6">
        <v>75.025</v>
      </c>
      <c r="I6" s="6">
        <v>74.12</v>
      </c>
      <c r="J6" s="6">
        <v>77.31</v>
      </c>
      <c r="K6" s="6">
        <v>76.36</v>
      </c>
      <c r="L6" s="6">
        <v>73.605</v>
      </c>
      <c r="M6" s="6">
        <v>71.41</v>
      </c>
      <c r="N6" s="6">
        <v>74.85</v>
      </c>
      <c r="O6" s="6">
        <v>75.2</v>
      </c>
      <c r="P6" s="6">
        <v>70.96</v>
      </c>
      <c r="Q6" s="6">
        <v>66.9</v>
      </c>
    </row>
    <row r="7" spans="1:17">
      <c r="A7" s="5">
        <v>20250207</v>
      </c>
      <c r="B7" s="6">
        <v>71</v>
      </c>
      <c r="C7" s="6">
        <v>74.66</v>
      </c>
      <c r="D7" s="6">
        <v>77.92</v>
      </c>
      <c r="E7" s="6">
        <v>599.6</v>
      </c>
      <c r="F7" s="6">
        <v>77.79</v>
      </c>
      <c r="G7" s="6">
        <v>77.79</v>
      </c>
      <c r="H7" s="6">
        <v>74.53</v>
      </c>
      <c r="I7" s="6">
        <v>74.33</v>
      </c>
      <c r="J7" s="6">
        <v>77.56</v>
      </c>
      <c r="K7" s="6">
        <v>76.81</v>
      </c>
      <c r="L7" s="6">
        <v>73.775</v>
      </c>
      <c r="M7" s="6">
        <v>70.95</v>
      </c>
      <c r="N7" s="6">
        <v>75.2</v>
      </c>
      <c r="O7" s="6">
        <v>75.55</v>
      </c>
      <c r="P7" s="6">
        <v>71.01</v>
      </c>
      <c r="Q7" s="6">
        <v>68.45</v>
      </c>
    </row>
    <row r="8" spans="1:17">
      <c r="A8" s="5">
        <v>20250210</v>
      </c>
      <c r="B8" s="6">
        <v>72.32</v>
      </c>
      <c r="C8" s="6">
        <v>75.87</v>
      </c>
      <c r="D8" s="6">
        <v>78.01</v>
      </c>
      <c r="E8" s="6">
        <v>605.5</v>
      </c>
      <c r="F8" s="6">
        <v>77.99</v>
      </c>
      <c r="G8" s="6">
        <v>77.99</v>
      </c>
      <c r="H8" s="6">
        <v>76.125</v>
      </c>
      <c r="I8" s="6">
        <v>74.355</v>
      </c>
      <c r="J8" s="6">
        <v>77.24</v>
      </c>
      <c r="K8" s="6">
        <v>77.09</v>
      </c>
      <c r="L8" s="6">
        <v>73.89</v>
      </c>
      <c r="M8" s="6">
        <v>71.38</v>
      </c>
      <c r="N8" s="6">
        <v>75.35</v>
      </c>
      <c r="O8" s="6">
        <v>75.7</v>
      </c>
      <c r="P8" s="6">
        <v>70.89</v>
      </c>
      <c r="Q8" s="6">
        <v>68.65</v>
      </c>
    </row>
    <row r="9" spans="1:17">
      <c r="A9" s="5">
        <v>20250211</v>
      </c>
      <c r="B9" s="6">
        <v>73.32</v>
      </c>
      <c r="C9" s="6">
        <v>77</v>
      </c>
      <c r="D9" s="6">
        <v>79.18</v>
      </c>
      <c r="E9" s="6">
        <v>616</v>
      </c>
      <c r="F9" s="6">
        <v>79.29</v>
      </c>
      <c r="G9" s="6">
        <v>79.29</v>
      </c>
      <c r="H9" s="6">
        <v>77.025</v>
      </c>
      <c r="I9" s="6">
        <v>75.595</v>
      </c>
      <c r="J9" s="6">
        <v>78.51</v>
      </c>
      <c r="K9" s="6">
        <v>78.66</v>
      </c>
      <c r="L9" s="6">
        <v>75.155</v>
      </c>
      <c r="M9" s="6">
        <v>72.42</v>
      </c>
      <c r="N9" s="6">
        <v>76.67</v>
      </c>
      <c r="O9" s="6">
        <v>77.02</v>
      </c>
      <c r="P9" s="6">
        <v>72.16</v>
      </c>
      <c r="Q9" s="6">
        <v>69.97</v>
      </c>
    </row>
    <row r="10" spans="1:17">
      <c r="A10" s="5">
        <v>20250212</v>
      </c>
      <c r="B10" s="6">
        <v>71.37</v>
      </c>
      <c r="C10" s="6">
        <v>75.18</v>
      </c>
      <c r="D10" s="6">
        <v>78.93</v>
      </c>
      <c r="E10" s="6">
        <v>620.9</v>
      </c>
      <c r="F10" s="6">
        <v>79.04</v>
      </c>
      <c r="G10" s="6">
        <v>79.04</v>
      </c>
      <c r="H10" s="6">
        <v>75.845</v>
      </c>
      <c r="I10" s="6">
        <v>75.245</v>
      </c>
      <c r="J10" s="6">
        <v>78.53</v>
      </c>
      <c r="K10" s="6">
        <v>78.68</v>
      </c>
      <c r="L10" s="6">
        <v>74.74</v>
      </c>
      <c r="M10" s="6">
        <v>71.54</v>
      </c>
      <c r="N10" s="6">
        <v>76.4</v>
      </c>
      <c r="O10" s="6">
        <v>76.75</v>
      </c>
      <c r="P10" s="6">
        <v>72.18</v>
      </c>
      <c r="Q10" s="6">
        <v>69.3</v>
      </c>
    </row>
    <row r="11" spans="1:17">
      <c r="A11" s="5">
        <v>20250213</v>
      </c>
      <c r="B11" s="6">
        <v>71.29</v>
      </c>
      <c r="C11" s="6">
        <v>75.02</v>
      </c>
      <c r="D11" s="6">
        <v>76.95</v>
      </c>
      <c r="E11" s="6">
        <v>607.2</v>
      </c>
      <c r="F11" s="6">
        <v>76.99</v>
      </c>
      <c r="G11" s="6">
        <v>76.99</v>
      </c>
      <c r="H11" s="6">
        <v>75.12</v>
      </c>
      <c r="I11" s="6">
        <v>73.515</v>
      </c>
      <c r="J11" s="6">
        <v>76.72</v>
      </c>
      <c r="K11" s="6">
        <v>76.97</v>
      </c>
      <c r="L11" s="6">
        <v>73.04</v>
      </c>
      <c r="M11" s="6">
        <v>70.81</v>
      </c>
      <c r="N11" s="6">
        <v>74.62</v>
      </c>
      <c r="O11" s="6">
        <v>74.97</v>
      </c>
      <c r="P11" s="6">
        <v>70.47</v>
      </c>
      <c r="Q11" s="6">
        <v>68.07</v>
      </c>
    </row>
    <row r="12" spans="1:17">
      <c r="A12" s="5">
        <v>20250214</v>
      </c>
      <c r="B12" s="6">
        <v>70.74</v>
      </c>
      <c r="C12" s="6">
        <v>74.74</v>
      </c>
      <c r="D12" s="6">
        <v>77.7</v>
      </c>
      <c r="E12" s="6">
        <v>593.5</v>
      </c>
      <c r="F12" s="6">
        <v>77.75</v>
      </c>
      <c r="G12" s="6">
        <v>77.75</v>
      </c>
      <c r="H12" s="6">
        <v>74.865</v>
      </c>
      <c r="I12" s="6">
        <v>74.3</v>
      </c>
      <c r="J12" s="6">
        <v>77.28</v>
      </c>
      <c r="K12" s="6">
        <v>77.53</v>
      </c>
      <c r="L12" s="6">
        <v>73.83</v>
      </c>
      <c r="M12" s="6">
        <v>70.66</v>
      </c>
      <c r="N12" s="6">
        <v>75.44</v>
      </c>
      <c r="O12" s="6">
        <v>75.79</v>
      </c>
      <c r="P12" s="6">
        <v>71.23</v>
      </c>
      <c r="Q12" s="6">
        <v>68.89</v>
      </c>
    </row>
    <row r="13" spans="1:17">
      <c r="A13" s="5">
        <v>20250217</v>
      </c>
      <c r="B13" s="6"/>
      <c r="C13" s="6">
        <v>75.22</v>
      </c>
      <c r="D13" s="6">
        <v>77.56</v>
      </c>
      <c r="E13" s="6">
        <v>602.6</v>
      </c>
      <c r="F13" s="6">
        <v>77.55</v>
      </c>
      <c r="G13" s="6">
        <v>77.55</v>
      </c>
      <c r="H13" s="6">
        <v>75.25</v>
      </c>
      <c r="I13" s="6">
        <v>74.155</v>
      </c>
      <c r="J13" s="6">
        <v>77.07</v>
      </c>
      <c r="K13" s="6">
        <v>77.32</v>
      </c>
      <c r="L13" s="6">
        <v>73.78</v>
      </c>
      <c r="M13" s="6">
        <v>70.6</v>
      </c>
      <c r="N13" s="6">
        <v>75.37</v>
      </c>
      <c r="O13" s="6">
        <v>75.72</v>
      </c>
      <c r="P13" s="6">
        <v>70.82</v>
      </c>
      <c r="Q13" s="6">
        <v>68.82</v>
      </c>
    </row>
    <row r="14" spans="1:17">
      <c r="A14" s="5">
        <v>20250218</v>
      </c>
      <c r="B14" s="6">
        <v>71.85</v>
      </c>
      <c r="C14" s="6">
        <v>75.84</v>
      </c>
      <c r="D14" s="6">
        <v>77.9</v>
      </c>
      <c r="E14" s="6">
        <v>560</v>
      </c>
      <c r="F14" s="6">
        <v>77.89</v>
      </c>
      <c r="G14" s="6">
        <v>77.94</v>
      </c>
      <c r="H14" s="6">
        <v>75.71</v>
      </c>
      <c r="I14" s="6">
        <v>74.365</v>
      </c>
      <c r="J14" s="6">
        <v>77.35</v>
      </c>
      <c r="K14" s="6">
        <v>77.6</v>
      </c>
      <c r="L14" s="6">
        <v>74.005</v>
      </c>
      <c r="M14" s="6">
        <v>71.17</v>
      </c>
      <c r="N14" s="6">
        <v>75.85</v>
      </c>
      <c r="O14" s="6">
        <v>76.2</v>
      </c>
      <c r="P14" s="6">
        <v>71.1</v>
      </c>
      <c r="Q14" s="6">
        <v>69.3</v>
      </c>
    </row>
    <row r="15" spans="1:17">
      <c r="A15" s="5">
        <v>20250219</v>
      </c>
      <c r="B15" s="6">
        <v>72.25</v>
      </c>
      <c r="C15" s="6">
        <v>76.04</v>
      </c>
      <c r="D15" s="6">
        <v>79.27</v>
      </c>
      <c r="E15" s="6">
        <v>562.3</v>
      </c>
      <c r="F15" s="6">
        <v>79.39</v>
      </c>
      <c r="G15" s="6">
        <v>79.39</v>
      </c>
      <c r="H15" s="6">
        <v>76.54</v>
      </c>
      <c r="I15" s="6">
        <v>75.375</v>
      </c>
      <c r="J15" s="6">
        <v>78.71</v>
      </c>
      <c r="K15" s="6">
        <v>78.26</v>
      </c>
      <c r="L15" s="6">
        <v>74.975</v>
      </c>
      <c r="M15" s="6">
        <v>71.66</v>
      </c>
      <c r="N15" s="6">
        <v>76.76</v>
      </c>
      <c r="O15" s="6">
        <v>77.11</v>
      </c>
      <c r="P15" s="6">
        <v>71.56</v>
      </c>
      <c r="Q15" s="6">
        <v>70.21</v>
      </c>
    </row>
    <row r="16" spans="1:17">
      <c r="A16" s="5">
        <v>20250220</v>
      </c>
      <c r="B16" s="6">
        <v>72.57</v>
      </c>
      <c r="C16" s="6">
        <v>76.48</v>
      </c>
      <c r="D16" s="6">
        <v>78.87</v>
      </c>
      <c r="E16" s="6">
        <v>567.4</v>
      </c>
      <c r="F16" s="6">
        <v>78.945</v>
      </c>
      <c r="G16" s="6">
        <v>78.945</v>
      </c>
      <c r="H16" s="6">
        <v>76.98</v>
      </c>
      <c r="I16" s="6">
        <v>75.22</v>
      </c>
      <c r="J16" s="6">
        <v>78.87</v>
      </c>
      <c r="K16" s="6">
        <v>78.12</v>
      </c>
      <c r="L16" s="6">
        <v>74.7</v>
      </c>
      <c r="M16" s="6">
        <v>71.97</v>
      </c>
      <c r="N16" s="6">
        <v>76.59</v>
      </c>
      <c r="O16" s="6">
        <v>76.94</v>
      </c>
      <c r="P16" s="6">
        <v>71.52</v>
      </c>
      <c r="Q16" s="6">
        <v>70.39</v>
      </c>
    </row>
    <row r="17" spans="1:17">
      <c r="A17" s="5">
        <v>20250221</v>
      </c>
      <c r="B17" s="6">
        <v>70.4</v>
      </c>
      <c r="C17" s="6">
        <v>74.43</v>
      </c>
      <c r="D17" s="6">
        <v>78.56</v>
      </c>
      <c r="E17" s="6">
        <v>564.8</v>
      </c>
      <c r="F17" s="6">
        <v>78.84</v>
      </c>
      <c r="G17" s="6">
        <v>78.84</v>
      </c>
      <c r="H17" s="6">
        <v>75.015</v>
      </c>
      <c r="I17" s="6">
        <v>75.275</v>
      </c>
      <c r="J17" s="6">
        <v>78.77</v>
      </c>
      <c r="K17" s="6">
        <v>78.02</v>
      </c>
      <c r="L17" s="6">
        <v>74.675</v>
      </c>
      <c r="M17" s="6">
        <v>70.28</v>
      </c>
      <c r="N17" s="6">
        <v>76.43</v>
      </c>
      <c r="O17" s="6">
        <v>76.78</v>
      </c>
      <c r="P17" s="6">
        <v>71.42</v>
      </c>
      <c r="Q17" s="6">
        <v>70.23</v>
      </c>
    </row>
    <row r="18" spans="1:17">
      <c r="A18" s="5">
        <v>20250224</v>
      </c>
      <c r="B18" s="6">
        <v>70.7</v>
      </c>
      <c r="C18" s="6">
        <v>74.78</v>
      </c>
      <c r="D18" s="6">
        <v>76.59</v>
      </c>
      <c r="E18" s="6">
        <v>552.5</v>
      </c>
      <c r="F18" s="6">
        <v>77</v>
      </c>
      <c r="G18" s="6">
        <v>77</v>
      </c>
      <c r="H18" s="6">
        <v>74.565</v>
      </c>
      <c r="I18" s="6">
        <v>73.315</v>
      </c>
      <c r="J18" s="6">
        <v>76.95</v>
      </c>
      <c r="K18" s="6">
        <v>76.2</v>
      </c>
      <c r="L18" s="6">
        <v>72.75</v>
      </c>
      <c r="M18" s="6">
        <v>70</v>
      </c>
      <c r="N18" s="6">
        <v>74.89</v>
      </c>
      <c r="O18" s="6">
        <v>75.24</v>
      </c>
      <c r="P18" s="6">
        <v>69.8</v>
      </c>
      <c r="Q18" s="6">
        <v>68.49</v>
      </c>
    </row>
    <row r="19" spans="1:17">
      <c r="A19" s="5">
        <v>20250225</v>
      </c>
      <c r="B19" s="6">
        <v>68.93</v>
      </c>
      <c r="C19" s="6">
        <v>73.02</v>
      </c>
      <c r="D19" s="6">
        <v>76.94</v>
      </c>
      <c r="E19" s="6">
        <v>548.4</v>
      </c>
      <c r="F19" s="6">
        <v>77.795</v>
      </c>
      <c r="G19" s="6">
        <v>77.795</v>
      </c>
      <c r="H19" s="6">
        <v>72.9</v>
      </c>
      <c r="I19" s="6">
        <v>73.815</v>
      </c>
      <c r="J19" s="6">
        <v>77.45</v>
      </c>
      <c r="K19" s="6">
        <v>76.5</v>
      </c>
      <c r="L19" s="6">
        <v>73.135</v>
      </c>
      <c r="M19" s="6">
        <v>68.37</v>
      </c>
      <c r="N19" s="6">
        <v>75.72</v>
      </c>
      <c r="O19" s="6">
        <v>76.07</v>
      </c>
      <c r="P19" s="6">
        <v>70.6</v>
      </c>
      <c r="Q19" s="6">
        <v>69.02</v>
      </c>
    </row>
    <row r="20" spans="1:17">
      <c r="A20" s="5">
        <v>20250226</v>
      </c>
      <c r="B20" s="6">
        <v>68.62</v>
      </c>
      <c r="C20" s="6">
        <v>72.53</v>
      </c>
      <c r="D20" s="6">
        <v>75.79</v>
      </c>
      <c r="E20" s="6">
        <v>540.5</v>
      </c>
      <c r="F20" s="6">
        <v>76.29</v>
      </c>
      <c r="G20" s="6">
        <v>76.29</v>
      </c>
      <c r="H20" s="6">
        <v>72.86</v>
      </c>
      <c r="I20" s="6">
        <v>72.09</v>
      </c>
      <c r="J20" s="6">
        <v>75.53</v>
      </c>
      <c r="K20" s="6">
        <v>74.78</v>
      </c>
      <c r="L20" s="6">
        <v>71.34</v>
      </c>
      <c r="M20" s="6">
        <v>68.48</v>
      </c>
      <c r="N20" s="6">
        <v>74.31</v>
      </c>
      <c r="O20" s="6">
        <v>74.66</v>
      </c>
      <c r="P20" s="6">
        <v>68.98</v>
      </c>
      <c r="Q20" s="6">
        <v>67.51</v>
      </c>
    </row>
    <row r="21" spans="1:17">
      <c r="A21" s="5">
        <v>20250227</v>
      </c>
      <c r="B21" s="6">
        <v>70.35</v>
      </c>
      <c r="C21" s="6">
        <v>74.04</v>
      </c>
      <c r="D21" s="6">
        <v>74.95</v>
      </c>
      <c r="E21" s="6">
        <v>536.6</v>
      </c>
      <c r="F21" s="6">
        <v>76</v>
      </c>
      <c r="G21" s="6">
        <v>76</v>
      </c>
      <c r="H21" s="6">
        <v>73.995</v>
      </c>
      <c r="I21" s="6">
        <v>71.525</v>
      </c>
      <c r="J21" s="6">
        <v>74.91</v>
      </c>
      <c r="K21" s="6">
        <v>74.16</v>
      </c>
      <c r="L21" s="6">
        <v>70.71</v>
      </c>
      <c r="M21" s="6">
        <v>69.55</v>
      </c>
      <c r="N21" s="6">
        <v>73.92</v>
      </c>
      <c r="O21" s="6">
        <v>74.27</v>
      </c>
      <c r="P21" s="6">
        <v>68.66</v>
      </c>
      <c r="Q21" s="6">
        <v>67.02</v>
      </c>
    </row>
    <row r="22" spans="1:17">
      <c r="A22" s="5">
        <v>20250228</v>
      </c>
      <c r="B22" s="6">
        <v>69.76</v>
      </c>
      <c r="C22" s="6">
        <v>73.18</v>
      </c>
      <c r="D22" s="6">
        <v>75.55</v>
      </c>
      <c r="E22" s="6">
        <v>542.5</v>
      </c>
      <c r="F22" s="6">
        <v>77.5</v>
      </c>
      <c r="G22" s="6">
        <v>77.5</v>
      </c>
      <c r="H22" s="6">
        <v>73.475</v>
      </c>
      <c r="I22" s="6">
        <v>72.3</v>
      </c>
      <c r="J22" s="6">
        <v>75.83</v>
      </c>
      <c r="K22" s="6">
        <v>74.88</v>
      </c>
      <c r="L22" s="6">
        <v>71.455</v>
      </c>
      <c r="M22" s="6">
        <v>69.29</v>
      </c>
      <c r="N22" s="6">
        <v>74.61</v>
      </c>
      <c r="O22" s="6">
        <v>74.96</v>
      </c>
      <c r="P22" s="6">
        <v>69.68</v>
      </c>
      <c r="Q22" s="6">
        <v>67.31</v>
      </c>
    </row>
    <row r="23" spans="1:17">
      <c r="A23" s="7" t="s">
        <v>17</v>
      </c>
      <c r="B23" s="8">
        <f>AVERAGE(B18:B22)</f>
        <v>69.672</v>
      </c>
      <c r="C23" s="8">
        <f t="shared" ref="C23:Q23" si="0">AVERAGE(C18:C22)</f>
        <v>73.51</v>
      </c>
      <c r="D23" s="8">
        <f t="shared" si="0"/>
        <v>75.964</v>
      </c>
      <c r="E23" s="8">
        <f t="shared" si="0"/>
        <v>544.1</v>
      </c>
      <c r="F23" s="8">
        <f t="shared" si="0"/>
        <v>76.917</v>
      </c>
      <c r="G23" s="8">
        <f t="shared" si="0"/>
        <v>76.917</v>
      </c>
      <c r="H23" s="8">
        <f t="shared" si="0"/>
        <v>73.559</v>
      </c>
      <c r="I23" s="8">
        <f t="shared" si="0"/>
        <v>72.609</v>
      </c>
      <c r="J23" s="8">
        <f t="shared" si="0"/>
        <v>76.134</v>
      </c>
      <c r="K23" s="8">
        <f t="shared" si="0"/>
        <v>75.304</v>
      </c>
      <c r="L23" s="8">
        <f t="shared" si="0"/>
        <v>71.878</v>
      </c>
      <c r="M23" s="8">
        <f t="shared" si="0"/>
        <v>69.138</v>
      </c>
      <c r="N23" s="8">
        <f t="shared" si="0"/>
        <v>74.69</v>
      </c>
      <c r="O23" s="8">
        <f t="shared" si="0"/>
        <v>75.04</v>
      </c>
      <c r="P23" s="8">
        <f t="shared" si="0"/>
        <v>69.544</v>
      </c>
      <c r="Q23" s="8">
        <f t="shared" si="0"/>
        <v>67.87</v>
      </c>
    </row>
    <row r="24" ht="22.5" spans="1:17">
      <c r="A24" s="3" t="s">
        <v>35</v>
      </c>
      <c r="B24" s="9">
        <f>AVERAGE(B3:B22)</f>
        <v>71.2089473684211</v>
      </c>
      <c r="C24" s="9">
        <f t="shared" ref="C24:Q24" si="1">AVERAGE(C3:C22)</f>
        <v>74.9545</v>
      </c>
      <c r="D24" s="9">
        <f t="shared" si="1"/>
        <v>77.6335</v>
      </c>
      <c r="E24" s="9">
        <f t="shared" si="1"/>
        <v>578.85</v>
      </c>
      <c r="F24" s="9">
        <f t="shared" si="1"/>
        <v>77.92025</v>
      </c>
      <c r="G24" s="9">
        <f t="shared" si="1"/>
        <v>77.9275</v>
      </c>
      <c r="H24" s="9">
        <f t="shared" si="1"/>
        <v>75.155</v>
      </c>
      <c r="I24" s="9">
        <f t="shared" si="1"/>
        <v>74.20825</v>
      </c>
      <c r="J24" s="9">
        <f t="shared" si="1"/>
        <v>77.5235</v>
      </c>
      <c r="K24" s="9">
        <f t="shared" si="1"/>
        <v>76.996</v>
      </c>
      <c r="L24" s="9">
        <f t="shared" si="1"/>
        <v>73.672</v>
      </c>
      <c r="M24" s="9">
        <f t="shared" si="1"/>
        <v>70.8465</v>
      </c>
      <c r="N24" s="9">
        <f t="shared" si="1"/>
        <v>75.496</v>
      </c>
      <c r="O24" s="9">
        <f t="shared" si="1"/>
        <v>75.846</v>
      </c>
      <c r="P24" s="9">
        <f t="shared" si="1"/>
        <v>70.936</v>
      </c>
      <c r="Q24" s="9">
        <f t="shared" si="1"/>
        <v>68.1735</v>
      </c>
    </row>
    <row r="25" ht="23.25" spans="1:17">
      <c r="A25" s="10" t="s">
        <v>19</v>
      </c>
      <c r="B25" s="23">
        <f>(B24-B2)/B2</f>
        <v>-0.0517875700754302</v>
      </c>
      <c r="C25" s="23">
        <f t="shared" ref="C25:Q25" si="2">(C24-C2)/C2</f>
        <v>-0.0433264875150838</v>
      </c>
      <c r="D25" s="23">
        <f t="shared" si="2"/>
        <v>-0.0326646314871349</v>
      </c>
      <c r="E25" s="23">
        <f t="shared" si="2"/>
        <v>-0.0402708055082211</v>
      </c>
      <c r="F25" s="23">
        <f t="shared" si="2"/>
        <v>-0.0309601758493218</v>
      </c>
      <c r="G25" s="23">
        <f t="shared" si="2"/>
        <v>-0.0310266684489151</v>
      </c>
      <c r="H25" s="23">
        <f t="shared" si="2"/>
        <v>-0.0514842340468862</v>
      </c>
      <c r="I25" s="23">
        <f t="shared" si="2"/>
        <v>-0.0345450051064551</v>
      </c>
      <c r="J25" s="23">
        <f t="shared" si="2"/>
        <v>-0.0436458738118589</v>
      </c>
      <c r="K25" s="23">
        <f t="shared" si="2"/>
        <v>-0.0381992155295175</v>
      </c>
      <c r="L25" s="23">
        <f t="shared" si="2"/>
        <v>-0.0313198516843296</v>
      </c>
      <c r="M25" s="23">
        <f t="shared" si="2"/>
        <v>-0.0354655793278562</v>
      </c>
      <c r="N25" s="23">
        <f t="shared" si="2"/>
        <v>-0.0355399984670025</v>
      </c>
      <c r="O25" s="23">
        <f t="shared" si="2"/>
        <v>-0.035381797832833</v>
      </c>
      <c r="P25" s="23">
        <f t="shared" si="2"/>
        <v>-0.0324688167056529</v>
      </c>
      <c r="Q25" s="23">
        <f t="shared" si="2"/>
        <v>-0.0292547132197984</v>
      </c>
    </row>
    <row r="26" ht="15"/>
  </sheetData>
  <pageMargins left="0.75" right="0.75" top="1" bottom="1" header="0.5" footer="0.5"/>
  <pageSetup paperSize="9" orientation="portrait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Q31"/>
  <sheetViews>
    <sheetView topLeftCell="A8" workbookViewId="0">
      <selection activeCell="A28" sqref="$A28:$XFD28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24</v>
      </c>
      <c r="B2" s="9">
        <v>69.697619047619</v>
      </c>
      <c r="C2" s="9">
        <v>73.1285714285714</v>
      </c>
      <c r="D2" s="9">
        <v>73.1604761904762</v>
      </c>
      <c r="E2" s="9">
        <v>539.422727272727</v>
      </c>
      <c r="F2" s="9">
        <v>73.2340476190476</v>
      </c>
      <c r="G2" s="9">
        <v>73.247619047619</v>
      </c>
      <c r="H2" s="9">
        <v>73.94375</v>
      </c>
      <c r="I2" s="9">
        <v>70.4830952380952</v>
      </c>
      <c r="J2" s="9">
        <v>75.7480952380952</v>
      </c>
      <c r="K2" s="9">
        <v>75.957619047619</v>
      </c>
      <c r="L2" s="9">
        <v>69.8288095238095</v>
      </c>
      <c r="M2" s="9">
        <v>69.041</v>
      </c>
      <c r="N2" s="9">
        <v>73.477</v>
      </c>
      <c r="O2" s="9">
        <v>73.827</v>
      </c>
      <c r="P2" s="9">
        <v>68.958</v>
      </c>
      <c r="Q2" s="9">
        <v>70.1585714285714</v>
      </c>
    </row>
    <row r="3" spans="1:17">
      <c r="A3" s="5">
        <v>20241230</v>
      </c>
      <c r="B3" s="6">
        <v>70.99</v>
      </c>
      <c r="C3" s="6">
        <v>74.39</v>
      </c>
      <c r="D3" s="6">
        <v>75.47</v>
      </c>
      <c r="E3" s="6">
        <v>549.4</v>
      </c>
      <c r="F3" s="6">
        <v>75.34</v>
      </c>
      <c r="G3" s="6">
        <v>75.34</v>
      </c>
      <c r="H3" s="6">
        <v>74.08</v>
      </c>
      <c r="I3" s="6">
        <v>71.61</v>
      </c>
      <c r="J3" s="6">
        <v>76.42</v>
      </c>
      <c r="K3" s="6">
        <v>76.42</v>
      </c>
      <c r="L3" s="6">
        <v>70.77</v>
      </c>
      <c r="M3" s="6">
        <v>69.3</v>
      </c>
      <c r="N3" s="6">
        <v>74.49</v>
      </c>
      <c r="O3" s="6">
        <v>74.84</v>
      </c>
      <c r="P3" s="6">
        <v>69.02</v>
      </c>
      <c r="Q3" s="6">
        <v>71.29</v>
      </c>
    </row>
    <row r="4" spans="1:17">
      <c r="A4" s="5">
        <v>20241231</v>
      </c>
      <c r="B4" s="6">
        <v>71.72</v>
      </c>
      <c r="C4" s="6">
        <v>74.64</v>
      </c>
      <c r="D4" s="6">
        <v>74.43</v>
      </c>
      <c r="E4" s="6">
        <v>555.1</v>
      </c>
      <c r="F4" s="6">
        <v>75.95</v>
      </c>
      <c r="G4" s="6">
        <v>75.95</v>
      </c>
      <c r="H4" s="6">
        <v>74.645</v>
      </c>
      <c r="I4" s="6">
        <v>72.455</v>
      </c>
      <c r="J4" s="6">
        <v>76.98</v>
      </c>
      <c r="K4" s="6">
        <v>76.98</v>
      </c>
      <c r="L4" s="6">
        <v>71.56</v>
      </c>
      <c r="M4" s="6">
        <v>69.77</v>
      </c>
      <c r="N4" s="6">
        <v>75.41</v>
      </c>
      <c r="O4" s="6">
        <v>75.76</v>
      </c>
      <c r="P4" s="6">
        <v>69.58</v>
      </c>
      <c r="Q4" s="6">
        <v>72.16</v>
      </c>
    </row>
    <row r="5" spans="1:17">
      <c r="A5" s="5">
        <v>20250101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>
      <c r="A6" s="5">
        <v>20250102</v>
      </c>
      <c r="B6" s="6">
        <v>73.13</v>
      </c>
      <c r="C6" s="6">
        <v>75.93</v>
      </c>
      <c r="D6" s="6">
        <v>75.17</v>
      </c>
      <c r="E6" s="6">
        <v>562.5</v>
      </c>
      <c r="F6" s="6">
        <v>75.2</v>
      </c>
      <c r="G6" s="6">
        <v>75.2</v>
      </c>
      <c r="H6" s="6">
        <v>76.53</v>
      </c>
      <c r="I6" s="6">
        <v>72.87</v>
      </c>
      <c r="J6" s="6">
        <v>77.03</v>
      </c>
      <c r="K6" s="6">
        <v>76.93</v>
      </c>
      <c r="L6" s="6">
        <v>72.09</v>
      </c>
      <c r="M6" s="6">
        <v>71.53</v>
      </c>
      <c r="N6" s="6">
        <v>74.97</v>
      </c>
      <c r="O6" s="6">
        <v>75.32</v>
      </c>
      <c r="P6" s="6">
        <v>69.53</v>
      </c>
      <c r="Q6" s="6">
        <v>71.82</v>
      </c>
    </row>
    <row r="7" spans="1:17">
      <c r="A7" s="5">
        <v>20250103</v>
      </c>
      <c r="B7" s="6">
        <v>73.96</v>
      </c>
      <c r="C7" s="6">
        <v>76.51</v>
      </c>
      <c r="D7" s="6">
        <v>76.53</v>
      </c>
      <c r="E7" s="6">
        <v>570.6</v>
      </c>
      <c r="F7" s="6">
        <v>76.52</v>
      </c>
      <c r="G7" s="6">
        <v>76.52</v>
      </c>
      <c r="H7" s="6">
        <v>76.76</v>
      </c>
      <c r="I7" s="6">
        <v>73.635</v>
      </c>
      <c r="J7" s="6">
        <v>78.18</v>
      </c>
      <c r="K7" s="6">
        <v>78.08</v>
      </c>
      <c r="L7" s="6">
        <v>72.755</v>
      </c>
      <c r="M7" s="6">
        <v>71.76</v>
      </c>
      <c r="N7" s="6">
        <v>76.21</v>
      </c>
      <c r="O7" s="6">
        <v>76.56</v>
      </c>
      <c r="P7" s="6">
        <v>70.78</v>
      </c>
      <c r="Q7" s="6">
        <v>73.06</v>
      </c>
    </row>
    <row r="8" spans="1:17">
      <c r="A8" s="5">
        <v>20250106</v>
      </c>
      <c r="B8" s="6">
        <v>73.56</v>
      </c>
      <c r="C8" s="6">
        <v>76.3</v>
      </c>
      <c r="D8" s="6">
        <v>76.6</v>
      </c>
      <c r="E8" s="6">
        <v>576.8</v>
      </c>
      <c r="F8" s="6">
        <v>76.56</v>
      </c>
      <c r="G8" s="6">
        <v>76.57</v>
      </c>
      <c r="H8" s="6">
        <v>77.57</v>
      </c>
      <c r="I8" s="6">
        <v>73.89</v>
      </c>
      <c r="J8" s="6">
        <v>78.31</v>
      </c>
      <c r="K8" s="6">
        <v>78.26</v>
      </c>
      <c r="L8" s="6">
        <v>73.175</v>
      </c>
      <c r="M8" s="6">
        <v>72.04</v>
      </c>
      <c r="N8" s="6">
        <v>76.32</v>
      </c>
      <c r="O8" s="6">
        <v>76.67</v>
      </c>
      <c r="P8" s="6">
        <v>70.96</v>
      </c>
      <c r="Q8" s="6">
        <v>73.17</v>
      </c>
    </row>
    <row r="9" spans="1:17">
      <c r="A9" s="5">
        <v>20250107</v>
      </c>
      <c r="B9" s="6">
        <v>74.25</v>
      </c>
      <c r="C9" s="6">
        <v>77.05</v>
      </c>
      <c r="D9" s="6">
        <v>76.33</v>
      </c>
      <c r="E9" s="6">
        <v>580</v>
      </c>
      <c r="F9" s="6">
        <v>76.32</v>
      </c>
      <c r="G9" s="6">
        <v>76.32</v>
      </c>
      <c r="H9" s="6">
        <v>77.89</v>
      </c>
      <c r="I9" s="6">
        <v>73.92</v>
      </c>
      <c r="J9" s="6">
        <v>78.22</v>
      </c>
      <c r="K9" s="6">
        <v>78.17</v>
      </c>
      <c r="L9" s="6">
        <v>73.24</v>
      </c>
      <c r="M9" s="6">
        <v>72.32</v>
      </c>
      <c r="N9" s="6">
        <v>76.07</v>
      </c>
      <c r="O9" s="6">
        <v>76.42</v>
      </c>
      <c r="P9" s="6">
        <v>70.87</v>
      </c>
      <c r="Q9" s="6">
        <v>72.92</v>
      </c>
    </row>
    <row r="10" spans="1:17">
      <c r="A10" s="5">
        <v>20250108</v>
      </c>
      <c r="B10" s="6">
        <v>73.32</v>
      </c>
      <c r="C10" s="6">
        <v>76.16</v>
      </c>
      <c r="D10" s="6">
        <v>77.69</v>
      </c>
      <c r="E10" s="6">
        <v>587.3</v>
      </c>
      <c r="F10" s="6">
        <v>77.66</v>
      </c>
      <c r="G10" s="6">
        <v>77.71</v>
      </c>
      <c r="H10" s="6">
        <v>77.235</v>
      </c>
      <c r="I10" s="6">
        <v>75.67</v>
      </c>
      <c r="J10" s="6">
        <v>79.64</v>
      </c>
      <c r="K10" s="6">
        <v>79.44</v>
      </c>
      <c r="L10" s="6">
        <v>75.02</v>
      </c>
      <c r="M10" s="6">
        <v>71.44</v>
      </c>
      <c r="N10" s="6">
        <v>77.4</v>
      </c>
      <c r="O10" s="6">
        <v>77.75</v>
      </c>
      <c r="P10" s="6">
        <v>72.09</v>
      </c>
      <c r="Q10" s="6">
        <v>74.3</v>
      </c>
    </row>
    <row r="11" spans="1:17">
      <c r="A11" s="5">
        <v>20250109</v>
      </c>
      <c r="B11" s="6">
        <v>73.92</v>
      </c>
      <c r="C11" s="6">
        <v>76.92</v>
      </c>
      <c r="D11" s="6">
        <v>76.44</v>
      </c>
      <c r="E11" s="6">
        <v>584.3</v>
      </c>
      <c r="F11" s="6">
        <v>76.445</v>
      </c>
      <c r="G11" s="6">
        <v>76.445</v>
      </c>
      <c r="H11" s="6">
        <v>78.05</v>
      </c>
      <c r="I11" s="6">
        <v>74.5</v>
      </c>
      <c r="J11" s="6">
        <v>78.56</v>
      </c>
      <c r="K11" s="6">
        <v>78.36</v>
      </c>
      <c r="L11" s="6">
        <v>73.9</v>
      </c>
      <c r="M11" s="6">
        <v>71.76</v>
      </c>
      <c r="N11" s="6">
        <v>76.28</v>
      </c>
      <c r="O11" s="6">
        <v>76.63</v>
      </c>
      <c r="P11" s="6">
        <v>71.01</v>
      </c>
      <c r="Q11" s="6">
        <v>73.08</v>
      </c>
    </row>
    <row r="12" spans="1:17">
      <c r="A12" s="5">
        <v>20250110</v>
      </c>
      <c r="B12" s="6">
        <v>76.57</v>
      </c>
      <c r="C12" s="6">
        <v>79.76</v>
      </c>
      <c r="D12" s="6">
        <v>77.95</v>
      </c>
      <c r="E12" s="6">
        <v>585.4</v>
      </c>
      <c r="F12" s="6">
        <v>77.94</v>
      </c>
      <c r="G12" s="6">
        <v>77.94</v>
      </c>
      <c r="H12" s="6">
        <v>80.375</v>
      </c>
      <c r="I12" s="6">
        <v>75.98</v>
      </c>
      <c r="J12" s="6">
        <v>79.97</v>
      </c>
      <c r="K12" s="6">
        <v>79.52</v>
      </c>
      <c r="L12" s="6">
        <v>75.33</v>
      </c>
      <c r="M12" s="6">
        <v>73.06</v>
      </c>
      <c r="N12" s="6">
        <v>77.62</v>
      </c>
      <c r="O12" s="6">
        <v>77.97</v>
      </c>
      <c r="P12" s="6">
        <v>72.07</v>
      </c>
      <c r="Q12" s="6">
        <v>74.52</v>
      </c>
    </row>
    <row r="13" spans="1:17">
      <c r="A13" s="5">
        <v>20250113</v>
      </c>
      <c r="B13" s="6">
        <v>78.82</v>
      </c>
      <c r="C13" s="6">
        <v>81.01</v>
      </c>
      <c r="D13" s="6">
        <v>82.22</v>
      </c>
      <c r="E13" s="6">
        <v>607.6</v>
      </c>
      <c r="F13" s="6">
        <v>82.39</v>
      </c>
      <c r="G13" s="6">
        <v>82.46</v>
      </c>
      <c r="H13" s="6">
        <v>82.975</v>
      </c>
      <c r="I13" s="6">
        <v>79.52</v>
      </c>
      <c r="J13" s="6">
        <v>83.33</v>
      </c>
      <c r="K13" s="6">
        <v>82.18</v>
      </c>
      <c r="L13" s="6">
        <v>78.625</v>
      </c>
      <c r="M13" s="6">
        <v>74.75</v>
      </c>
      <c r="N13" s="6">
        <v>80.98</v>
      </c>
      <c r="O13" s="6">
        <v>81.33</v>
      </c>
      <c r="P13" s="6">
        <v>74.63</v>
      </c>
      <c r="Q13" s="6">
        <v>76.38</v>
      </c>
    </row>
    <row r="14" spans="1:17">
      <c r="A14" s="5">
        <v>20250114</v>
      </c>
      <c r="B14" s="6">
        <v>77.5</v>
      </c>
      <c r="C14" s="6">
        <v>79.92</v>
      </c>
      <c r="D14" s="6">
        <v>82.25</v>
      </c>
      <c r="E14" s="6">
        <v>620.3</v>
      </c>
      <c r="F14" s="6">
        <v>82.25</v>
      </c>
      <c r="G14" s="6">
        <v>82.25</v>
      </c>
      <c r="H14" s="6">
        <v>81.895</v>
      </c>
      <c r="I14" s="6">
        <v>79.155</v>
      </c>
      <c r="J14" s="6">
        <v>82.91</v>
      </c>
      <c r="K14" s="6">
        <v>81.86</v>
      </c>
      <c r="L14" s="6">
        <v>78.395</v>
      </c>
      <c r="M14" s="6">
        <v>73.99</v>
      </c>
      <c r="N14" s="6">
        <v>80.15</v>
      </c>
      <c r="O14" s="6">
        <v>80.5</v>
      </c>
      <c r="P14" s="6">
        <v>74.21</v>
      </c>
      <c r="Q14" s="6">
        <v>74.55</v>
      </c>
    </row>
    <row r="15" spans="1:17">
      <c r="A15" s="5">
        <v>20250115</v>
      </c>
      <c r="B15" s="6">
        <v>80.04</v>
      </c>
      <c r="C15" s="6">
        <v>82.03</v>
      </c>
      <c r="D15" s="6">
        <v>82.24</v>
      </c>
      <c r="E15" s="6">
        <v>629.1</v>
      </c>
      <c r="F15" s="6">
        <v>82.255</v>
      </c>
      <c r="G15" s="6">
        <v>82.255</v>
      </c>
      <c r="H15" s="6">
        <v>83.06</v>
      </c>
      <c r="I15" s="6">
        <v>78.96</v>
      </c>
      <c r="J15" s="6">
        <v>82.92</v>
      </c>
      <c r="K15" s="6">
        <v>81.67</v>
      </c>
      <c r="L15" s="6">
        <v>78.085</v>
      </c>
      <c r="M15" s="6">
        <v>75.24</v>
      </c>
      <c r="N15" s="6">
        <v>79.9</v>
      </c>
      <c r="O15" s="6">
        <v>80.25</v>
      </c>
      <c r="P15" s="6">
        <v>74.07</v>
      </c>
      <c r="Q15" s="6">
        <v>71.4</v>
      </c>
    </row>
    <row r="16" spans="1:17">
      <c r="A16" s="5">
        <v>20250116</v>
      </c>
      <c r="B16" s="6">
        <v>78.68</v>
      </c>
      <c r="C16" s="6">
        <v>81.29</v>
      </c>
      <c r="D16" s="6">
        <v>84.54</v>
      </c>
      <c r="E16" s="6">
        <v>632.5</v>
      </c>
      <c r="F16" s="6">
        <v>84.55</v>
      </c>
      <c r="G16" s="6">
        <v>84.55</v>
      </c>
      <c r="H16" s="6">
        <v>82.18</v>
      </c>
      <c r="I16" s="6">
        <v>80.83</v>
      </c>
      <c r="J16" s="6">
        <v>84.5</v>
      </c>
      <c r="K16" s="6">
        <v>83.05</v>
      </c>
      <c r="L16" s="6">
        <v>79.925</v>
      </c>
      <c r="M16" s="6">
        <v>74.11</v>
      </c>
      <c r="N16" s="6">
        <v>81.22</v>
      </c>
      <c r="O16" s="6">
        <v>81.57</v>
      </c>
      <c r="P16" s="6">
        <v>75.3</v>
      </c>
      <c r="Q16" s="6">
        <v>70.82</v>
      </c>
    </row>
    <row r="17" spans="1:17">
      <c r="A17" s="5">
        <v>20250117</v>
      </c>
      <c r="B17" s="6">
        <v>77.88</v>
      </c>
      <c r="C17" s="6">
        <v>80.79</v>
      </c>
      <c r="D17" s="6">
        <v>84.6</v>
      </c>
      <c r="E17" s="6">
        <v>628.7</v>
      </c>
      <c r="F17" s="6">
        <v>84.6</v>
      </c>
      <c r="G17" s="6">
        <v>84.6</v>
      </c>
      <c r="H17" s="6">
        <v>82.255</v>
      </c>
      <c r="I17" s="6">
        <v>80.65</v>
      </c>
      <c r="J17" s="6">
        <v>84.38</v>
      </c>
      <c r="K17" s="6">
        <v>82.58</v>
      </c>
      <c r="L17" s="6">
        <v>79.615</v>
      </c>
      <c r="M17" s="6">
        <v>74.48</v>
      </c>
      <c r="N17" s="6">
        <v>80.56</v>
      </c>
      <c r="O17" s="6">
        <v>80.91</v>
      </c>
      <c r="P17" s="6">
        <v>75.03</v>
      </c>
      <c r="Q17" s="6">
        <v>69.06</v>
      </c>
    </row>
    <row r="18" spans="1:17">
      <c r="A18" s="5">
        <v>20250120</v>
      </c>
      <c r="B18" s="6"/>
      <c r="C18" s="6">
        <v>80.15</v>
      </c>
      <c r="D18" s="6">
        <v>83.6</v>
      </c>
      <c r="E18" s="6">
        <v>625.3</v>
      </c>
      <c r="F18" s="6">
        <v>83.55</v>
      </c>
      <c r="G18" s="6">
        <v>83.68</v>
      </c>
      <c r="H18" s="6">
        <v>80.75</v>
      </c>
      <c r="I18" s="6">
        <v>79.64</v>
      </c>
      <c r="J18" s="6">
        <v>83.68</v>
      </c>
      <c r="K18" s="6">
        <v>81.98</v>
      </c>
      <c r="L18" s="6">
        <v>78.595</v>
      </c>
      <c r="M18" s="6">
        <v>74.55</v>
      </c>
      <c r="N18" s="6">
        <v>79.83</v>
      </c>
      <c r="O18" s="6">
        <v>80.18</v>
      </c>
      <c r="P18" s="6">
        <v>75.33</v>
      </c>
      <c r="Q18" s="6">
        <v>67.33</v>
      </c>
    </row>
    <row r="19" spans="1:17">
      <c r="A19" s="5">
        <v>20250121</v>
      </c>
      <c r="B19" s="6">
        <v>75.89</v>
      </c>
      <c r="C19" s="6">
        <v>79.29</v>
      </c>
      <c r="D19" s="6">
        <v>83.11</v>
      </c>
      <c r="E19" s="6">
        <v>619.1</v>
      </c>
      <c r="F19" s="6">
        <v>83.07</v>
      </c>
      <c r="G19" s="6">
        <v>83.07</v>
      </c>
      <c r="H19" s="6">
        <v>80.32</v>
      </c>
      <c r="I19" s="6">
        <v>78.845</v>
      </c>
      <c r="J19" s="6">
        <v>83.03</v>
      </c>
      <c r="K19" s="6">
        <v>81.33</v>
      </c>
      <c r="L19" s="6">
        <v>77.865</v>
      </c>
      <c r="M19" s="6">
        <v>75.33</v>
      </c>
      <c r="N19" s="6">
        <v>79.54</v>
      </c>
      <c r="O19" s="6">
        <v>79.89</v>
      </c>
      <c r="P19" s="6">
        <v>75.68</v>
      </c>
      <c r="Q19" s="6">
        <v>66.94</v>
      </c>
    </row>
    <row r="20" spans="1:17">
      <c r="A20" s="5">
        <v>20250122</v>
      </c>
      <c r="B20" s="6">
        <v>75.44</v>
      </c>
      <c r="C20" s="6">
        <v>79</v>
      </c>
      <c r="D20" s="6">
        <v>82.22</v>
      </c>
      <c r="E20" s="6">
        <v>616.8</v>
      </c>
      <c r="F20" s="6">
        <v>82.2</v>
      </c>
      <c r="G20" s="6">
        <v>82.2</v>
      </c>
      <c r="H20" s="6">
        <v>79.815</v>
      </c>
      <c r="I20" s="6">
        <v>77.84</v>
      </c>
      <c r="J20" s="6">
        <v>82.39</v>
      </c>
      <c r="K20" s="6">
        <v>80.64</v>
      </c>
      <c r="L20" s="6">
        <v>76.86</v>
      </c>
      <c r="M20" s="6">
        <v>75.16</v>
      </c>
      <c r="N20" s="6">
        <v>78.75</v>
      </c>
      <c r="O20" s="6">
        <v>79.1</v>
      </c>
      <c r="P20" s="6">
        <v>75.09</v>
      </c>
      <c r="Q20" s="6">
        <v>66.25</v>
      </c>
    </row>
    <row r="21" spans="1:17">
      <c r="A21" s="5">
        <v>20250123</v>
      </c>
      <c r="B21" s="6">
        <v>74.62</v>
      </c>
      <c r="C21" s="6">
        <v>78.29</v>
      </c>
      <c r="D21" s="6">
        <v>82.13</v>
      </c>
      <c r="E21" s="6">
        <v>617</v>
      </c>
      <c r="F21" s="6">
        <v>82.12</v>
      </c>
      <c r="G21" s="6">
        <v>82.12</v>
      </c>
      <c r="H21" s="6">
        <v>78.78</v>
      </c>
      <c r="I21" s="6">
        <v>77.525</v>
      </c>
      <c r="J21" s="6">
        <v>82.24</v>
      </c>
      <c r="K21" s="6">
        <v>80.69</v>
      </c>
      <c r="L21" s="6">
        <v>76.68</v>
      </c>
      <c r="M21" s="6">
        <v>74.38</v>
      </c>
      <c r="N21" s="6">
        <v>78.9</v>
      </c>
      <c r="O21" s="6">
        <v>79.25</v>
      </c>
      <c r="P21" s="6">
        <v>75.14</v>
      </c>
      <c r="Q21" s="6">
        <v>66.4</v>
      </c>
    </row>
    <row r="22" spans="1:17">
      <c r="A22" s="5">
        <v>20250124</v>
      </c>
      <c r="B22" s="6">
        <v>74.66</v>
      </c>
      <c r="C22" s="6">
        <v>78.5</v>
      </c>
      <c r="D22" s="6">
        <v>81.76</v>
      </c>
      <c r="E22" s="6">
        <v>610.5</v>
      </c>
      <c r="F22" s="6">
        <v>81.84</v>
      </c>
      <c r="G22" s="6">
        <v>81.84</v>
      </c>
      <c r="H22" s="6">
        <v>78.75</v>
      </c>
      <c r="I22" s="6">
        <v>76.74</v>
      </c>
      <c r="J22" s="6">
        <v>81.46</v>
      </c>
      <c r="K22" s="6">
        <v>80.01</v>
      </c>
      <c r="L22" s="6">
        <v>75.89</v>
      </c>
      <c r="M22" s="6">
        <v>74.34</v>
      </c>
      <c r="N22" s="6">
        <v>78.47</v>
      </c>
      <c r="O22" s="6">
        <v>78.82</v>
      </c>
      <c r="P22" s="6">
        <v>74.46</v>
      </c>
      <c r="Q22" s="6">
        <v>66.12</v>
      </c>
    </row>
    <row r="23" spans="1:17">
      <c r="A23" s="5">
        <v>20250127</v>
      </c>
      <c r="B23" s="6">
        <v>73.17</v>
      </c>
      <c r="C23" s="6">
        <v>77.08</v>
      </c>
      <c r="D23" s="6">
        <v>81.36</v>
      </c>
      <c r="E23" s="6">
        <v>602.7</v>
      </c>
      <c r="F23" s="6">
        <v>81.58</v>
      </c>
      <c r="G23" s="6">
        <v>81.58</v>
      </c>
      <c r="H23" s="6">
        <v>77.91</v>
      </c>
      <c r="I23" s="6">
        <v>76.485</v>
      </c>
      <c r="J23" s="6">
        <v>80.88</v>
      </c>
      <c r="K23" s="6">
        <v>79.53</v>
      </c>
      <c r="L23" s="6">
        <v>75.835</v>
      </c>
      <c r="M23" s="6">
        <v>73.16</v>
      </c>
      <c r="N23" s="6">
        <v>78.15</v>
      </c>
      <c r="O23" s="6">
        <v>78.5</v>
      </c>
      <c r="P23" s="6">
        <v>73.98</v>
      </c>
      <c r="Q23" s="6">
        <v>65.9</v>
      </c>
    </row>
    <row r="24" spans="1:17">
      <c r="A24" s="5">
        <v>20250128</v>
      </c>
      <c r="B24" s="6">
        <v>73.77</v>
      </c>
      <c r="C24" s="6">
        <v>77.49</v>
      </c>
      <c r="D24" s="6">
        <v>80.42</v>
      </c>
      <c r="E24" s="6"/>
      <c r="F24" s="6">
        <v>81.25</v>
      </c>
      <c r="G24" s="6">
        <v>81.25</v>
      </c>
      <c r="H24" s="6">
        <v>77.705</v>
      </c>
      <c r="I24" s="6">
        <v>75.48</v>
      </c>
      <c r="J24" s="6">
        <v>80.09</v>
      </c>
      <c r="K24" s="6">
        <v>78.74</v>
      </c>
      <c r="L24" s="6">
        <v>74.75</v>
      </c>
      <c r="M24" s="6">
        <v>72.98</v>
      </c>
      <c r="N24" s="6">
        <v>77.62</v>
      </c>
      <c r="O24" s="6">
        <v>77.97</v>
      </c>
      <c r="P24" s="6">
        <v>73.39</v>
      </c>
      <c r="Q24" s="6">
        <v>65.67</v>
      </c>
    </row>
    <row r="25" spans="1:17">
      <c r="A25" s="5">
        <v>20250129</v>
      </c>
      <c r="B25" s="6">
        <v>72.62</v>
      </c>
      <c r="C25" s="6">
        <v>76.58</v>
      </c>
      <c r="D25" s="6">
        <v>79.88</v>
      </c>
      <c r="E25" s="6"/>
      <c r="F25" s="6"/>
      <c r="G25" s="6"/>
      <c r="H25" s="6">
        <v>77.825</v>
      </c>
      <c r="I25" s="6"/>
      <c r="J25" s="6"/>
      <c r="K25" s="6"/>
      <c r="L25" s="6"/>
      <c r="M25" s="6"/>
      <c r="N25" s="6"/>
      <c r="O25" s="6"/>
      <c r="P25" s="6"/>
      <c r="Q25" s="6"/>
    </row>
    <row r="26" spans="1:17">
      <c r="A26" s="5">
        <v>20250130</v>
      </c>
      <c r="B26" s="6">
        <v>72.73</v>
      </c>
      <c r="C26" s="6">
        <v>76.87</v>
      </c>
      <c r="D26" s="6">
        <v>78.89</v>
      </c>
      <c r="E26" s="6"/>
      <c r="F26" s="6"/>
      <c r="G26" s="6"/>
      <c r="H26" s="6">
        <v>77.475</v>
      </c>
      <c r="I26" s="6"/>
      <c r="J26" s="6"/>
      <c r="K26" s="6"/>
      <c r="L26" s="6"/>
      <c r="M26" s="6"/>
      <c r="N26" s="6"/>
      <c r="O26" s="6"/>
      <c r="P26" s="6"/>
      <c r="Q26" s="6"/>
    </row>
    <row r="27" spans="1:17">
      <c r="A27" s="5">
        <v>20250131</v>
      </c>
      <c r="B27" s="6">
        <v>72.53</v>
      </c>
      <c r="C27" s="6">
        <v>76.76</v>
      </c>
      <c r="D27" s="6">
        <v>79.68</v>
      </c>
      <c r="E27" s="6"/>
      <c r="F27" s="6">
        <v>79.895</v>
      </c>
      <c r="G27" s="6">
        <v>79.895</v>
      </c>
      <c r="H27" s="6">
        <v>77.05</v>
      </c>
      <c r="I27" s="6">
        <v>75.135</v>
      </c>
      <c r="J27" s="6">
        <v>79.51</v>
      </c>
      <c r="K27" s="6">
        <v>78.06</v>
      </c>
      <c r="L27" s="6">
        <v>74.45</v>
      </c>
      <c r="M27" s="6">
        <v>72.65</v>
      </c>
      <c r="N27" s="6">
        <v>76.62</v>
      </c>
      <c r="O27" s="6">
        <v>76.97</v>
      </c>
      <c r="P27" s="6">
        <v>72.71</v>
      </c>
      <c r="Q27" s="6">
        <v>64.87</v>
      </c>
    </row>
    <row r="28" spans="1:17">
      <c r="A28" s="7" t="s">
        <v>17</v>
      </c>
      <c r="B28" s="8">
        <f>AVERAGE(B23:B27)</f>
        <v>72.964</v>
      </c>
      <c r="C28" s="8">
        <f t="shared" ref="C28:Q28" si="0">AVERAGE(C23:C27)</f>
        <v>76.956</v>
      </c>
      <c r="D28" s="8">
        <f t="shared" si="0"/>
        <v>80.046</v>
      </c>
      <c r="E28" s="8">
        <f t="shared" si="0"/>
        <v>602.7</v>
      </c>
      <c r="F28" s="8">
        <f t="shared" si="0"/>
        <v>80.9083333333333</v>
      </c>
      <c r="G28" s="8">
        <f t="shared" si="0"/>
        <v>80.9083333333333</v>
      </c>
      <c r="H28" s="8">
        <f t="shared" si="0"/>
        <v>77.593</v>
      </c>
      <c r="I28" s="8">
        <f t="shared" si="0"/>
        <v>75.7</v>
      </c>
      <c r="J28" s="8">
        <f t="shared" si="0"/>
        <v>80.16</v>
      </c>
      <c r="K28" s="8">
        <f t="shared" si="0"/>
        <v>78.7766666666667</v>
      </c>
      <c r="L28" s="8">
        <f t="shared" si="0"/>
        <v>75.0116666666667</v>
      </c>
      <c r="M28" s="8">
        <f t="shared" si="0"/>
        <v>72.93</v>
      </c>
      <c r="N28" s="8">
        <f t="shared" si="0"/>
        <v>77.4633333333333</v>
      </c>
      <c r="O28" s="8">
        <f t="shared" si="0"/>
        <v>77.8133333333333</v>
      </c>
      <c r="P28" s="8">
        <f t="shared" si="0"/>
        <v>73.36</v>
      </c>
      <c r="Q28" s="8">
        <f t="shared" si="0"/>
        <v>65.48</v>
      </c>
    </row>
    <row r="29" ht="22.5" spans="1:17">
      <c r="A29" s="3" t="s">
        <v>36</v>
      </c>
      <c r="B29" s="9">
        <f>AVERAGE(B5:B27)</f>
        <v>75.0980952380952</v>
      </c>
      <c r="C29" s="9">
        <f t="shared" ref="C29:Q29" si="1">AVERAGE(C5:C27)</f>
        <v>78.3490909090909</v>
      </c>
      <c r="D29" s="9">
        <f t="shared" si="1"/>
        <v>80.255</v>
      </c>
      <c r="E29" s="9">
        <f t="shared" si="1"/>
        <v>603.138888888889</v>
      </c>
      <c r="F29" s="9">
        <f t="shared" si="1"/>
        <v>80.40975</v>
      </c>
      <c r="G29" s="9">
        <f t="shared" si="1"/>
        <v>80.42275</v>
      </c>
      <c r="H29" s="9">
        <f t="shared" si="1"/>
        <v>79.2343181818182</v>
      </c>
      <c r="I29" s="9">
        <f t="shared" si="1"/>
        <v>76.8635</v>
      </c>
      <c r="J29" s="9">
        <f t="shared" si="1"/>
        <v>81.0615</v>
      </c>
      <c r="K29" s="9">
        <f t="shared" si="1"/>
        <v>80.054</v>
      </c>
      <c r="L29" s="9">
        <f t="shared" si="1"/>
        <v>76.054</v>
      </c>
      <c r="M29" s="9">
        <f t="shared" si="1"/>
        <v>73.4515</v>
      </c>
      <c r="N29" s="9">
        <f t="shared" si="1"/>
        <v>78.278</v>
      </c>
      <c r="O29" s="9">
        <f t="shared" si="1"/>
        <v>78.628</v>
      </c>
      <c r="P29" s="9">
        <f t="shared" si="1"/>
        <v>73.3165</v>
      </c>
      <c r="Q29" s="9">
        <f t="shared" si="1"/>
        <v>70.228</v>
      </c>
    </row>
    <row r="30" ht="23.25" spans="1:17">
      <c r="A30" s="10" t="s">
        <v>19</v>
      </c>
      <c r="B30" s="24">
        <f>(B29-B2)/B2</f>
        <v>0.0774843712636221</v>
      </c>
      <c r="C30" s="24">
        <f t="shared" ref="C30:Q30" si="2">(C29-C2)/C2</f>
        <v>0.0713882327869431</v>
      </c>
      <c r="D30" s="24">
        <f t="shared" si="2"/>
        <v>0.0969720835475829</v>
      </c>
      <c r="E30" s="24">
        <f t="shared" si="2"/>
        <v>0.118119164052106</v>
      </c>
      <c r="F30" s="24">
        <f t="shared" si="2"/>
        <v>0.0979831460126211</v>
      </c>
      <c r="G30" s="24">
        <f t="shared" si="2"/>
        <v>0.0979571902223376</v>
      </c>
      <c r="H30" s="24">
        <f t="shared" si="2"/>
        <v>0.0715485511867898</v>
      </c>
      <c r="I30" s="24">
        <f t="shared" si="2"/>
        <v>0.0905239013745276</v>
      </c>
      <c r="J30" s="24">
        <f t="shared" si="2"/>
        <v>0.0701457210930966</v>
      </c>
      <c r="K30" s="24">
        <f t="shared" si="2"/>
        <v>0.0539298230216098</v>
      </c>
      <c r="L30" s="24">
        <f t="shared" si="2"/>
        <v>0.0891493141389998</v>
      </c>
      <c r="M30" s="24">
        <f t="shared" si="2"/>
        <v>0.0638823307889519</v>
      </c>
      <c r="N30" s="24">
        <f t="shared" si="2"/>
        <v>0.065340174476367</v>
      </c>
      <c r="O30" s="24">
        <f t="shared" si="2"/>
        <v>0.0650304089289829</v>
      </c>
      <c r="P30" s="24">
        <f t="shared" si="2"/>
        <v>0.0632051393601904</v>
      </c>
      <c r="Q30" s="24">
        <f t="shared" si="2"/>
        <v>0.000989594999083543</v>
      </c>
    </row>
    <row r="31" ht="15"/>
  </sheetData>
  <pageMargins left="0.75" right="0.75" top="1" bottom="1" header="0.5" footer="0.5"/>
  <pageSetup paperSize="9" orientation="portrait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Q28"/>
  <sheetViews>
    <sheetView workbookViewId="0">
      <selection activeCell="E26" sqref="E26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37</v>
      </c>
      <c r="B2" s="9">
        <v>69.544</v>
      </c>
      <c r="C2" s="9">
        <v>73.4009523809524</v>
      </c>
      <c r="D2" s="9">
        <v>72.4614285714286</v>
      </c>
      <c r="E2" s="9">
        <v>530.261904761905</v>
      </c>
      <c r="F2" s="9">
        <v>72.6178571428571</v>
      </c>
      <c r="G2" s="9">
        <v>72.6192857142857</v>
      </c>
      <c r="H2" s="9">
        <v>74.4716666666667</v>
      </c>
      <c r="I2" s="9">
        <v>70.5664285714286</v>
      </c>
      <c r="J2" s="9">
        <v>76.0709523809524</v>
      </c>
      <c r="K2" s="9">
        <v>78.4233333333333</v>
      </c>
      <c r="L2" s="9">
        <v>70.0559523809524</v>
      </c>
      <c r="M2" s="9">
        <v>68.132380952381</v>
      </c>
      <c r="N2" s="9">
        <v>73.1514285714286</v>
      </c>
      <c r="O2" s="9">
        <v>73.5014285714286</v>
      </c>
      <c r="P2" s="9">
        <v>68.0161904761905</v>
      </c>
      <c r="Q2" s="9">
        <v>69.7109523809524</v>
      </c>
    </row>
    <row r="3" spans="1:17">
      <c r="A3" s="5">
        <v>20241202</v>
      </c>
      <c r="B3" s="6">
        <v>68.1</v>
      </c>
      <c r="C3" s="6">
        <v>71.83</v>
      </c>
      <c r="D3" s="6">
        <v>71.96</v>
      </c>
      <c r="E3" s="6">
        <v>530.1</v>
      </c>
      <c r="F3" s="6">
        <v>72.1</v>
      </c>
      <c r="G3" s="6">
        <v>72.1</v>
      </c>
      <c r="H3" s="6">
        <v>73.05</v>
      </c>
      <c r="I3" s="6">
        <v>69.885</v>
      </c>
      <c r="J3" s="6">
        <v>76.05</v>
      </c>
      <c r="K3" s="6">
        <v>76.75</v>
      </c>
      <c r="L3" s="6">
        <v>69.29</v>
      </c>
      <c r="M3" s="6">
        <v>69.04</v>
      </c>
      <c r="N3" s="6">
        <v>72.53</v>
      </c>
      <c r="O3" s="6">
        <v>72.88</v>
      </c>
      <c r="P3" s="6">
        <v>69.3</v>
      </c>
      <c r="Q3" s="6">
        <v>69.23</v>
      </c>
    </row>
    <row r="4" spans="1:17">
      <c r="A4" s="5">
        <v>20241203</v>
      </c>
      <c r="B4" s="6">
        <v>69.94</v>
      </c>
      <c r="C4" s="6">
        <v>73.62</v>
      </c>
      <c r="D4" s="6">
        <v>71.86</v>
      </c>
      <c r="E4" s="6">
        <v>530.2</v>
      </c>
      <c r="F4" s="6">
        <v>71.89</v>
      </c>
      <c r="G4" s="6">
        <v>71.91</v>
      </c>
      <c r="H4" s="6">
        <v>75.02</v>
      </c>
      <c r="I4" s="6">
        <v>69.775</v>
      </c>
      <c r="J4" s="6">
        <v>75.99</v>
      </c>
      <c r="K4" s="6">
        <v>76.69</v>
      </c>
      <c r="L4" s="6">
        <v>69.295</v>
      </c>
      <c r="M4" s="6">
        <v>70.56</v>
      </c>
      <c r="N4" s="6">
        <v>72.48</v>
      </c>
      <c r="O4" s="6">
        <v>72.83</v>
      </c>
      <c r="P4" s="6">
        <v>69.04</v>
      </c>
      <c r="Q4" s="6">
        <v>69.18</v>
      </c>
    </row>
    <row r="5" spans="1:17">
      <c r="A5" s="5">
        <v>20241204</v>
      </c>
      <c r="B5" s="6">
        <v>68.54</v>
      </c>
      <c r="C5" s="6">
        <v>72.31</v>
      </c>
      <c r="D5" s="6">
        <v>73.35</v>
      </c>
      <c r="E5" s="6">
        <v>537.3</v>
      </c>
      <c r="F5" s="6">
        <v>73.395</v>
      </c>
      <c r="G5" s="6">
        <v>73.395</v>
      </c>
      <c r="H5" s="6">
        <v>74.94</v>
      </c>
      <c r="I5" s="6">
        <v>71.16</v>
      </c>
      <c r="J5" s="6">
        <v>77.2</v>
      </c>
      <c r="K5" s="6">
        <v>77.55</v>
      </c>
      <c r="L5" s="6">
        <v>70.775</v>
      </c>
      <c r="M5" s="6">
        <v>70.19</v>
      </c>
      <c r="N5" s="6">
        <v>73.88</v>
      </c>
      <c r="O5" s="6">
        <v>74.23</v>
      </c>
      <c r="P5" s="6">
        <v>70.1</v>
      </c>
      <c r="Q5" s="6">
        <v>70.63</v>
      </c>
    </row>
    <row r="6" spans="1:17">
      <c r="A6" s="5">
        <v>20241205</v>
      </c>
      <c r="B6" s="6">
        <v>68.3</v>
      </c>
      <c r="C6" s="6">
        <v>72.09</v>
      </c>
      <c r="D6" s="6">
        <v>72.06</v>
      </c>
      <c r="E6" s="6">
        <v>536.4</v>
      </c>
      <c r="F6" s="6">
        <v>72.1</v>
      </c>
      <c r="G6" s="6">
        <v>72.1</v>
      </c>
      <c r="H6" s="6">
        <v>73.885</v>
      </c>
      <c r="I6" s="6">
        <v>69.905</v>
      </c>
      <c r="J6" s="6">
        <v>76.01</v>
      </c>
      <c r="K6" s="6">
        <v>75.96</v>
      </c>
      <c r="L6" s="6">
        <v>69.495</v>
      </c>
      <c r="M6" s="6">
        <v>68.77</v>
      </c>
      <c r="N6" s="6">
        <v>72.57</v>
      </c>
      <c r="O6" s="6">
        <v>72.92</v>
      </c>
      <c r="P6" s="6">
        <v>68.71</v>
      </c>
      <c r="Q6" s="6">
        <v>69.32</v>
      </c>
    </row>
    <row r="7" spans="1:17">
      <c r="A7" s="5">
        <v>20241206</v>
      </c>
      <c r="B7" s="6">
        <v>67.2</v>
      </c>
      <c r="C7" s="6">
        <v>71.12</v>
      </c>
      <c r="D7" s="6">
        <v>71.73</v>
      </c>
      <c r="E7" s="6">
        <v>529.1</v>
      </c>
      <c r="F7" s="6">
        <v>71.71</v>
      </c>
      <c r="G7" s="6">
        <v>71.72</v>
      </c>
      <c r="H7" s="6">
        <v>72.74</v>
      </c>
      <c r="I7" s="6">
        <v>69.405</v>
      </c>
      <c r="J7" s="6">
        <v>74.99</v>
      </c>
      <c r="K7" s="6">
        <v>75.14</v>
      </c>
      <c r="L7" s="6">
        <v>68.94</v>
      </c>
      <c r="M7" s="6">
        <v>67.97</v>
      </c>
      <c r="N7" s="6">
        <v>72.23</v>
      </c>
      <c r="O7" s="6">
        <v>72.58</v>
      </c>
      <c r="P7" s="6">
        <v>68.29</v>
      </c>
      <c r="Q7" s="6">
        <v>68.93</v>
      </c>
    </row>
    <row r="8" spans="1:17">
      <c r="A8" s="5">
        <v>20241209</v>
      </c>
      <c r="B8" s="6">
        <v>68.37</v>
      </c>
      <c r="C8" s="6">
        <v>72.14</v>
      </c>
      <c r="D8" s="6">
        <v>71.77</v>
      </c>
      <c r="E8" s="6">
        <v>521.3</v>
      </c>
      <c r="F8" s="6">
        <v>71.76</v>
      </c>
      <c r="G8" s="6">
        <v>71.76</v>
      </c>
      <c r="H8" s="6">
        <v>73.76</v>
      </c>
      <c r="I8" s="6">
        <v>69.345</v>
      </c>
      <c r="J8" s="6">
        <v>74.49</v>
      </c>
      <c r="K8" s="6">
        <v>74.74</v>
      </c>
      <c r="L8" s="6">
        <v>68.73</v>
      </c>
      <c r="M8" s="6">
        <v>68.75</v>
      </c>
      <c r="N8" s="6">
        <v>72.38</v>
      </c>
      <c r="O8" s="6">
        <v>72.73</v>
      </c>
      <c r="P8" s="6">
        <v>68.39</v>
      </c>
      <c r="Q8" s="6">
        <v>68.98</v>
      </c>
    </row>
    <row r="9" spans="1:17">
      <c r="A9" s="5">
        <v>20241210</v>
      </c>
      <c r="B9" s="6">
        <v>68.59</v>
      </c>
      <c r="C9" s="6">
        <v>72.19</v>
      </c>
      <c r="D9" s="6">
        <v>71.68</v>
      </c>
      <c r="E9" s="6">
        <v>529.5</v>
      </c>
      <c r="F9" s="6">
        <v>71.67</v>
      </c>
      <c r="G9" s="6">
        <v>71.71</v>
      </c>
      <c r="H9" s="6">
        <v>73.895</v>
      </c>
      <c r="I9" s="6">
        <v>69.21</v>
      </c>
      <c r="J9" s="6">
        <v>74.49</v>
      </c>
      <c r="K9" s="6">
        <v>74.54</v>
      </c>
      <c r="L9" s="6">
        <v>68.545</v>
      </c>
      <c r="M9" s="6">
        <v>68.99</v>
      </c>
      <c r="N9" s="6">
        <v>72.38</v>
      </c>
      <c r="O9" s="6">
        <v>72.73</v>
      </c>
      <c r="P9" s="6">
        <v>68.49</v>
      </c>
      <c r="Q9" s="6">
        <v>68.93</v>
      </c>
    </row>
    <row r="10" spans="1:17">
      <c r="A10" s="5">
        <v>20241211</v>
      </c>
      <c r="B10" s="6">
        <v>70.29</v>
      </c>
      <c r="C10" s="6">
        <v>73.52</v>
      </c>
      <c r="D10" s="6">
        <v>72.19</v>
      </c>
      <c r="E10" s="6">
        <v>529.9</v>
      </c>
      <c r="F10" s="6">
        <v>72.225</v>
      </c>
      <c r="G10" s="6">
        <v>72.25</v>
      </c>
      <c r="H10" s="6">
        <v>74.32</v>
      </c>
      <c r="I10" s="6">
        <v>69.745</v>
      </c>
      <c r="J10" s="6">
        <v>74.71</v>
      </c>
      <c r="K10" s="6">
        <v>75.06</v>
      </c>
      <c r="L10" s="6">
        <v>69.185</v>
      </c>
      <c r="M10" s="6">
        <v>69.36</v>
      </c>
      <c r="N10" s="6">
        <v>72.97</v>
      </c>
      <c r="O10" s="6">
        <v>73.32</v>
      </c>
      <c r="P10" s="6">
        <v>68.81</v>
      </c>
      <c r="Q10" s="6">
        <v>69.42</v>
      </c>
    </row>
    <row r="11" spans="1:17">
      <c r="A11" s="5">
        <v>20241212</v>
      </c>
      <c r="B11" s="6">
        <v>70.02</v>
      </c>
      <c r="C11" s="6">
        <v>73.41</v>
      </c>
      <c r="D11" s="6">
        <v>73.68</v>
      </c>
      <c r="E11" s="6">
        <v>537.3</v>
      </c>
      <c r="F11" s="6">
        <v>73.66</v>
      </c>
      <c r="G11" s="6">
        <v>73.66</v>
      </c>
      <c r="H11" s="6">
        <v>73.61</v>
      </c>
      <c r="I11" s="6">
        <v>71.04</v>
      </c>
      <c r="J11" s="6">
        <v>75.89</v>
      </c>
      <c r="K11" s="6">
        <v>76.34</v>
      </c>
      <c r="L11" s="6">
        <v>70.41</v>
      </c>
      <c r="M11" s="6">
        <v>68.58</v>
      </c>
      <c r="N11" s="6">
        <v>74.04</v>
      </c>
      <c r="O11" s="6">
        <v>74.39</v>
      </c>
      <c r="P11" s="6">
        <v>69.69</v>
      </c>
      <c r="Q11" s="6">
        <v>70.64</v>
      </c>
    </row>
    <row r="12" spans="1:17">
      <c r="A12" s="5">
        <v>20241213</v>
      </c>
      <c r="B12" s="6">
        <v>71.29</v>
      </c>
      <c r="C12" s="6">
        <v>74.49</v>
      </c>
      <c r="D12" s="6">
        <v>73.46</v>
      </c>
      <c r="E12" s="6">
        <v>541.8</v>
      </c>
      <c r="F12" s="6">
        <v>73.46</v>
      </c>
      <c r="G12" s="6">
        <v>73.46</v>
      </c>
      <c r="H12" s="6">
        <v>75.085</v>
      </c>
      <c r="I12" s="6">
        <v>70.67</v>
      </c>
      <c r="J12" s="6">
        <v>75.84</v>
      </c>
      <c r="K12" s="6">
        <v>76.09</v>
      </c>
      <c r="L12" s="6">
        <v>69.98</v>
      </c>
      <c r="M12" s="6">
        <v>69.96</v>
      </c>
      <c r="N12" s="6">
        <v>73.89</v>
      </c>
      <c r="O12" s="6">
        <v>74.24</v>
      </c>
      <c r="P12" s="6">
        <v>69.44</v>
      </c>
      <c r="Q12" s="6">
        <v>70.39</v>
      </c>
    </row>
    <row r="13" spans="1:17">
      <c r="A13" s="5">
        <v>20241216</v>
      </c>
      <c r="B13" s="6">
        <v>70.71</v>
      </c>
      <c r="C13" s="6">
        <v>73.91</v>
      </c>
      <c r="D13" s="6">
        <v>74.19</v>
      </c>
      <c r="E13" s="6">
        <v>548</v>
      </c>
      <c r="F13" s="6">
        <v>74.16</v>
      </c>
      <c r="G13" s="6">
        <v>74.16</v>
      </c>
      <c r="H13" s="6">
        <v>74.74</v>
      </c>
      <c r="I13" s="6">
        <v>71.335</v>
      </c>
      <c r="J13" s="6">
        <v>76.43</v>
      </c>
      <c r="K13" s="6">
        <v>76.68</v>
      </c>
      <c r="L13" s="6">
        <v>70.63</v>
      </c>
      <c r="M13" s="6">
        <v>69.48</v>
      </c>
      <c r="N13" s="6">
        <v>74.56</v>
      </c>
      <c r="O13" s="6">
        <v>74.91</v>
      </c>
      <c r="P13" s="6">
        <v>69.93</v>
      </c>
      <c r="Q13" s="6">
        <v>71.06</v>
      </c>
    </row>
    <row r="14" spans="1:17">
      <c r="A14" s="5">
        <v>20241217</v>
      </c>
      <c r="B14" s="6">
        <v>70.08</v>
      </c>
      <c r="C14" s="6">
        <v>73.19</v>
      </c>
      <c r="D14" s="6">
        <v>73.54</v>
      </c>
      <c r="E14" s="6">
        <v>548.5</v>
      </c>
      <c r="F14" s="6">
        <v>73.55</v>
      </c>
      <c r="G14" s="6">
        <v>73.55</v>
      </c>
      <c r="H14" s="6">
        <v>73.68</v>
      </c>
      <c r="I14" s="6">
        <v>70.655</v>
      </c>
      <c r="J14" s="6">
        <v>75.8</v>
      </c>
      <c r="K14" s="6">
        <v>76.1</v>
      </c>
      <c r="L14" s="6">
        <v>70.035</v>
      </c>
      <c r="M14" s="6">
        <v>68.4</v>
      </c>
      <c r="N14" s="6">
        <v>73.95</v>
      </c>
      <c r="O14" s="6">
        <v>74.3</v>
      </c>
      <c r="P14" s="6">
        <v>69.25</v>
      </c>
      <c r="Q14" s="6">
        <v>70.45</v>
      </c>
    </row>
    <row r="15" spans="1:17">
      <c r="A15" s="5">
        <v>20241218</v>
      </c>
      <c r="B15" s="6">
        <v>70.58</v>
      </c>
      <c r="C15" s="6">
        <v>73.39</v>
      </c>
      <c r="D15" s="6">
        <v>73.57</v>
      </c>
      <c r="E15" s="6">
        <v>540.4</v>
      </c>
      <c r="F15" s="6">
        <v>73.6</v>
      </c>
      <c r="G15" s="6">
        <v>73.6</v>
      </c>
      <c r="H15" s="6">
        <v>74.995</v>
      </c>
      <c r="I15" s="6">
        <v>70.675</v>
      </c>
      <c r="J15" s="6">
        <v>75.93</v>
      </c>
      <c r="K15" s="6">
        <v>76.18</v>
      </c>
      <c r="L15" s="6">
        <v>70.055</v>
      </c>
      <c r="M15" s="6">
        <v>69.66</v>
      </c>
      <c r="N15" s="6">
        <v>73.99</v>
      </c>
      <c r="O15" s="6">
        <v>74.34</v>
      </c>
      <c r="P15" s="6">
        <v>69.13</v>
      </c>
      <c r="Q15" s="6">
        <v>70.69</v>
      </c>
    </row>
    <row r="16" spans="1:17">
      <c r="A16" s="5">
        <v>20241219</v>
      </c>
      <c r="B16" s="6">
        <v>69.91</v>
      </c>
      <c r="C16" s="6">
        <v>72.88</v>
      </c>
      <c r="D16" s="6">
        <v>72.83</v>
      </c>
      <c r="E16" s="6">
        <v>544.7</v>
      </c>
      <c r="F16" s="6">
        <v>72.86</v>
      </c>
      <c r="G16" s="6">
        <v>72.86</v>
      </c>
      <c r="H16" s="6">
        <v>73.715</v>
      </c>
      <c r="I16" s="6">
        <v>70.04</v>
      </c>
      <c r="J16" s="6">
        <v>75.32</v>
      </c>
      <c r="K16" s="6">
        <v>75.57</v>
      </c>
      <c r="L16" s="6">
        <v>69.25</v>
      </c>
      <c r="M16" s="6">
        <v>68.4</v>
      </c>
      <c r="N16" s="6">
        <v>73.32</v>
      </c>
      <c r="O16" s="6">
        <v>73.67</v>
      </c>
      <c r="P16" s="6">
        <v>68.52</v>
      </c>
      <c r="Q16" s="6">
        <v>69.97</v>
      </c>
    </row>
    <row r="17" spans="1:17">
      <c r="A17" s="5">
        <v>20241220</v>
      </c>
      <c r="B17" s="6">
        <v>69.46</v>
      </c>
      <c r="C17" s="6">
        <v>72.94</v>
      </c>
      <c r="D17" s="6">
        <v>72.63</v>
      </c>
      <c r="E17" s="6">
        <v>541.5</v>
      </c>
      <c r="F17" s="6">
        <v>72.645</v>
      </c>
      <c r="G17" s="6">
        <v>72.645</v>
      </c>
      <c r="H17" s="6">
        <v>73.54</v>
      </c>
      <c r="I17" s="6">
        <v>69.93</v>
      </c>
      <c r="J17" s="6">
        <v>75.1</v>
      </c>
      <c r="K17" s="6">
        <v>75.25</v>
      </c>
      <c r="L17" s="6">
        <v>69.15</v>
      </c>
      <c r="M17" s="6">
        <v>68.48</v>
      </c>
      <c r="N17" s="6">
        <v>73.19</v>
      </c>
      <c r="O17" s="6">
        <v>73.54</v>
      </c>
      <c r="P17" s="6">
        <v>68.3</v>
      </c>
      <c r="Q17" s="6">
        <v>69.74</v>
      </c>
    </row>
    <row r="18" spans="1:17">
      <c r="A18" s="5">
        <v>20241223</v>
      </c>
      <c r="B18" s="6">
        <v>69.24</v>
      </c>
      <c r="C18" s="6">
        <v>72.63</v>
      </c>
      <c r="D18" s="6">
        <v>73.26</v>
      </c>
      <c r="E18" s="6">
        <v>538</v>
      </c>
      <c r="F18" s="6">
        <v>73.34</v>
      </c>
      <c r="G18" s="6">
        <v>73.34</v>
      </c>
      <c r="H18" s="6">
        <v>71.92</v>
      </c>
      <c r="I18" s="6">
        <v>70.525</v>
      </c>
      <c r="J18" s="6">
        <v>75.81</v>
      </c>
      <c r="K18" s="6">
        <v>75.61</v>
      </c>
      <c r="L18" s="6">
        <v>69.705</v>
      </c>
      <c r="M18" s="6">
        <v>67.59</v>
      </c>
      <c r="N18" s="6">
        <v>73.76</v>
      </c>
      <c r="O18" s="6">
        <v>74.11</v>
      </c>
      <c r="P18" s="6">
        <v>68.51</v>
      </c>
      <c r="Q18" s="6">
        <v>70.36</v>
      </c>
    </row>
    <row r="19" spans="1:17">
      <c r="A19" s="5">
        <v>20241224</v>
      </c>
      <c r="B19" s="6">
        <v>70.1</v>
      </c>
      <c r="C19" s="6">
        <v>73.58</v>
      </c>
      <c r="D19" s="6">
        <v>73.42</v>
      </c>
      <c r="E19" s="6">
        <v>538.6</v>
      </c>
      <c r="F19" s="6">
        <v>73.29</v>
      </c>
      <c r="G19" s="6">
        <v>73.29</v>
      </c>
      <c r="H19" s="6">
        <v>73.165</v>
      </c>
      <c r="I19" s="6">
        <v>70.515</v>
      </c>
      <c r="J19" s="6">
        <v>75.7</v>
      </c>
      <c r="K19" s="6">
        <v>75.5</v>
      </c>
      <c r="L19" s="6">
        <v>69.75</v>
      </c>
      <c r="M19" s="6">
        <v>68.53</v>
      </c>
      <c r="N19" s="6">
        <v>73.68</v>
      </c>
      <c r="O19" s="6">
        <v>74.03</v>
      </c>
      <c r="P19" s="6">
        <v>68.3</v>
      </c>
      <c r="Q19" s="6">
        <v>70.28</v>
      </c>
    </row>
    <row r="20" spans="1:17">
      <c r="A20" s="5">
        <v>20241225</v>
      </c>
      <c r="B20" s="6"/>
      <c r="C20" s="6"/>
      <c r="D20" s="6"/>
      <c r="E20" s="6">
        <v>545.2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>
      <c r="A21" s="5">
        <v>20241226</v>
      </c>
      <c r="B21" s="6">
        <v>69.62</v>
      </c>
      <c r="C21" s="6">
        <v>73.26</v>
      </c>
      <c r="D21" s="6">
        <v>74.78</v>
      </c>
      <c r="E21" s="6">
        <v>546.9</v>
      </c>
      <c r="F21" s="6">
        <v>74.55</v>
      </c>
      <c r="G21" s="6">
        <v>74.74</v>
      </c>
      <c r="H21" s="6"/>
      <c r="I21" s="6">
        <v>71.34</v>
      </c>
      <c r="J21" s="6">
        <v>76</v>
      </c>
      <c r="K21" s="6">
        <v>76.2</v>
      </c>
      <c r="L21" s="6">
        <v>70.665</v>
      </c>
      <c r="M21" s="6"/>
      <c r="N21" s="6"/>
      <c r="O21" s="6"/>
      <c r="P21" s="6"/>
      <c r="Q21" s="6">
        <v>71.14</v>
      </c>
    </row>
    <row r="22" spans="1:17">
      <c r="A22" s="5">
        <v>20241227</v>
      </c>
      <c r="B22" s="6">
        <v>70.6</v>
      </c>
      <c r="C22" s="6">
        <v>74.17</v>
      </c>
      <c r="D22" s="6">
        <v>74.51</v>
      </c>
      <c r="E22" s="6">
        <v>548.1</v>
      </c>
      <c r="F22" s="6">
        <v>74.66</v>
      </c>
      <c r="G22" s="6">
        <v>74.66</v>
      </c>
      <c r="H22" s="6">
        <v>74.09</v>
      </c>
      <c r="I22" s="6">
        <v>70.925</v>
      </c>
      <c r="J22" s="6">
        <v>75.56</v>
      </c>
      <c r="K22" s="6">
        <v>75.76</v>
      </c>
      <c r="L22" s="6">
        <v>70.19</v>
      </c>
      <c r="M22" s="6">
        <v>69.04</v>
      </c>
      <c r="N22" s="6">
        <v>73.84</v>
      </c>
      <c r="O22" s="6">
        <v>74.19</v>
      </c>
      <c r="P22" s="6">
        <v>68.36</v>
      </c>
      <c r="Q22" s="6">
        <v>70.54</v>
      </c>
    </row>
    <row r="23" spans="1:17">
      <c r="A23" s="5">
        <v>20241230</v>
      </c>
      <c r="B23" s="6">
        <v>70.99</v>
      </c>
      <c r="C23" s="6">
        <v>74.39</v>
      </c>
      <c r="D23" s="6">
        <v>75.47</v>
      </c>
      <c r="E23" s="6">
        <v>549.4</v>
      </c>
      <c r="F23" s="6">
        <v>75.34</v>
      </c>
      <c r="G23" s="6">
        <v>75.34</v>
      </c>
      <c r="H23" s="6">
        <v>74.08</v>
      </c>
      <c r="I23" s="6">
        <v>71.61</v>
      </c>
      <c r="J23" s="6">
        <v>76.42</v>
      </c>
      <c r="K23" s="6">
        <v>76.42</v>
      </c>
      <c r="L23" s="6">
        <v>70.77</v>
      </c>
      <c r="M23" s="6">
        <v>69.3</v>
      </c>
      <c r="N23" s="6">
        <v>74.49</v>
      </c>
      <c r="O23" s="6">
        <v>74.84</v>
      </c>
      <c r="P23" s="6">
        <v>69.02</v>
      </c>
      <c r="Q23" s="6">
        <v>71.29</v>
      </c>
    </row>
    <row r="24" spans="1:17">
      <c r="A24" s="5">
        <v>20241231</v>
      </c>
      <c r="B24" s="6">
        <v>71.72</v>
      </c>
      <c r="C24" s="6">
        <v>74.64</v>
      </c>
      <c r="D24" s="6">
        <v>74.43</v>
      </c>
      <c r="E24" s="6">
        <v>555.1</v>
      </c>
      <c r="F24" s="6">
        <v>75.95</v>
      </c>
      <c r="G24" s="6">
        <v>75.95</v>
      </c>
      <c r="H24" s="6">
        <v>74.645</v>
      </c>
      <c r="I24" s="6">
        <v>72.455</v>
      </c>
      <c r="J24" s="6">
        <v>76.98</v>
      </c>
      <c r="K24" s="6">
        <v>76.98</v>
      </c>
      <c r="L24" s="6">
        <v>71.56</v>
      </c>
      <c r="M24" s="6">
        <v>69.77</v>
      </c>
      <c r="N24" s="6">
        <v>75.41</v>
      </c>
      <c r="O24" s="6">
        <v>75.76</v>
      </c>
      <c r="P24" s="6">
        <v>69.58</v>
      </c>
      <c r="Q24" s="6">
        <v>72.16</v>
      </c>
    </row>
    <row r="25" spans="1:17">
      <c r="A25" s="7" t="s">
        <v>17</v>
      </c>
      <c r="B25" s="8">
        <f>AVERAGE(B23:B24)</f>
        <v>71.355</v>
      </c>
      <c r="C25" s="8">
        <f t="shared" ref="C25:Q25" si="0">AVERAGE(C23:C24)</f>
        <v>74.515</v>
      </c>
      <c r="D25" s="8">
        <f t="shared" si="0"/>
        <v>74.95</v>
      </c>
      <c r="E25" s="8">
        <f t="shared" si="0"/>
        <v>552.25</v>
      </c>
      <c r="F25" s="8">
        <f t="shared" si="0"/>
        <v>75.645</v>
      </c>
      <c r="G25" s="8">
        <f t="shared" si="0"/>
        <v>75.645</v>
      </c>
      <c r="H25" s="8">
        <f t="shared" si="0"/>
        <v>74.3625</v>
      </c>
      <c r="I25" s="8">
        <f t="shared" si="0"/>
        <v>72.0325</v>
      </c>
      <c r="J25" s="8">
        <f t="shared" si="0"/>
        <v>76.7</v>
      </c>
      <c r="K25" s="8">
        <f t="shared" si="0"/>
        <v>76.7</v>
      </c>
      <c r="L25" s="8">
        <f t="shared" si="0"/>
        <v>71.165</v>
      </c>
      <c r="M25" s="8">
        <f t="shared" si="0"/>
        <v>69.535</v>
      </c>
      <c r="N25" s="8">
        <f t="shared" si="0"/>
        <v>74.95</v>
      </c>
      <c r="O25" s="8">
        <f t="shared" si="0"/>
        <v>75.3</v>
      </c>
      <c r="P25" s="8">
        <f t="shared" si="0"/>
        <v>69.3</v>
      </c>
      <c r="Q25" s="8">
        <f t="shared" si="0"/>
        <v>71.725</v>
      </c>
    </row>
    <row r="26" ht="22.5" spans="1:17">
      <c r="A26" s="3" t="s">
        <v>24</v>
      </c>
      <c r="B26" s="9">
        <f>AVERAGE(B3:B24)</f>
        <v>69.697619047619</v>
      </c>
      <c r="C26" s="9">
        <f t="shared" ref="C26:Q26" si="1">AVERAGE(C3:C24)</f>
        <v>73.1285714285714</v>
      </c>
      <c r="D26" s="9">
        <f t="shared" si="1"/>
        <v>73.1604761904762</v>
      </c>
      <c r="E26" s="9">
        <f t="shared" si="1"/>
        <v>539.422727272727</v>
      </c>
      <c r="F26" s="9">
        <f t="shared" si="1"/>
        <v>73.2340476190476</v>
      </c>
      <c r="G26" s="9">
        <f t="shared" si="1"/>
        <v>73.247619047619</v>
      </c>
      <c r="H26" s="9">
        <f t="shared" si="1"/>
        <v>73.94375</v>
      </c>
      <c r="I26" s="9">
        <f t="shared" si="1"/>
        <v>70.4830952380952</v>
      </c>
      <c r="J26" s="9">
        <f t="shared" si="1"/>
        <v>75.7480952380952</v>
      </c>
      <c r="K26" s="9">
        <f t="shared" si="1"/>
        <v>75.957619047619</v>
      </c>
      <c r="L26" s="9">
        <f t="shared" si="1"/>
        <v>69.8288095238095</v>
      </c>
      <c r="M26" s="9">
        <f t="shared" si="1"/>
        <v>69.041</v>
      </c>
      <c r="N26" s="9">
        <f t="shared" si="1"/>
        <v>73.477</v>
      </c>
      <c r="O26" s="9">
        <f t="shared" si="1"/>
        <v>73.827</v>
      </c>
      <c r="P26" s="9">
        <f t="shared" si="1"/>
        <v>68.958</v>
      </c>
      <c r="Q26" s="9">
        <f t="shared" si="1"/>
        <v>70.1585714285714</v>
      </c>
    </row>
    <row r="27" ht="23.25" spans="1:17">
      <c r="A27" s="10" t="s">
        <v>19</v>
      </c>
      <c r="B27" s="24">
        <f t="shared" ref="B27:Q27" si="2">(B26-B2)/B2</f>
        <v>0.00220894753852262</v>
      </c>
      <c r="C27" s="23">
        <f t="shared" si="2"/>
        <v>-0.00371086400851149</v>
      </c>
      <c r="D27" s="24">
        <f t="shared" si="2"/>
        <v>0.0096471686085867</v>
      </c>
      <c r="E27" s="24">
        <f t="shared" si="2"/>
        <v>0.0172760336515893</v>
      </c>
      <c r="F27" s="24">
        <f t="shared" si="2"/>
        <v>0.00848538500631166</v>
      </c>
      <c r="G27" s="24">
        <f t="shared" si="2"/>
        <v>0.00865243064776833</v>
      </c>
      <c r="H27" s="23">
        <f t="shared" si="2"/>
        <v>-0.00708882572790551</v>
      </c>
      <c r="I27" s="23">
        <f t="shared" si="2"/>
        <v>-0.00118092037560009</v>
      </c>
      <c r="J27" s="23">
        <f t="shared" si="2"/>
        <v>-0.00424415802289846</v>
      </c>
      <c r="K27" s="23">
        <f t="shared" si="2"/>
        <v>-0.0314410798535423</v>
      </c>
      <c r="L27" s="23">
        <f t="shared" si="2"/>
        <v>-0.00324230631977853</v>
      </c>
      <c r="M27" s="24">
        <f t="shared" si="2"/>
        <v>0.0133360824165837</v>
      </c>
      <c r="N27" s="24">
        <f t="shared" si="2"/>
        <v>0.00445065031441638</v>
      </c>
      <c r="O27" s="24">
        <f t="shared" si="2"/>
        <v>0.00442945715340781</v>
      </c>
      <c r="P27" s="24">
        <f t="shared" si="2"/>
        <v>0.0138468431885966</v>
      </c>
      <c r="Q27" s="24">
        <f t="shared" si="2"/>
        <v>0.00642107204579467</v>
      </c>
    </row>
    <row r="28" ht="15"/>
  </sheetData>
  <pageMargins left="0.75" right="0.75" top="1" bottom="1" header="0.5" footer="0.5"/>
  <pageSetup paperSize="9" orientation="portrait"/>
  <headerFooter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Q27"/>
  <sheetViews>
    <sheetView workbookViewId="0">
      <selection activeCell="E25" sqref="E25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27</v>
      </c>
      <c r="B2" s="9">
        <v>71.5617391304348</v>
      </c>
      <c r="C2" s="9">
        <v>75.3769565217391</v>
      </c>
      <c r="D2" s="9">
        <v>74.8195652173913</v>
      </c>
      <c r="E2" s="9">
        <v>543.677777777778</v>
      </c>
      <c r="F2" s="9">
        <v>74.94</v>
      </c>
      <c r="G2" s="9">
        <v>74.9595454545454</v>
      </c>
      <c r="H2" s="9">
        <v>75.6586956521739</v>
      </c>
      <c r="I2" s="9">
        <v>72.4434090909091</v>
      </c>
      <c r="J2" s="9">
        <v>75.9359090909091</v>
      </c>
      <c r="K2" s="9">
        <v>79.5654545454546</v>
      </c>
      <c r="L2" s="9">
        <v>72.4747727272727</v>
      </c>
      <c r="M2" s="9">
        <v>68.8318181818182</v>
      </c>
      <c r="N2" s="9">
        <v>74.085</v>
      </c>
      <c r="O2" s="9">
        <v>74.435</v>
      </c>
      <c r="P2" s="9">
        <v>68.6654545454546</v>
      </c>
      <c r="Q2" s="9">
        <v>70.56</v>
      </c>
    </row>
    <row r="3" spans="1:17">
      <c r="A3" s="5">
        <v>20241101</v>
      </c>
      <c r="B3" s="6">
        <v>69.49</v>
      </c>
      <c r="C3" s="6">
        <v>73.1</v>
      </c>
      <c r="D3" s="6">
        <v>73.45</v>
      </c>
      <c r="E3" s="6">
        <v>527.4</v>
      </c>
      <c r="F3" s="6">
        <v>73.59</v>
      </c>
      <c r="G3" s="6">
        <v>73.59</v>
      </c>
      <c r="H3" s="6">
        <v>74.165</v>
      </c>
      <c r="I3" s="6">
        <v>71.975</v>
      </c>
      <c r="J3" s="6">
        <v>76.3</v>
      </c>
      <c r="K3" s="6">
        <v>79.1</v>
      </c>
      <c r="L3" s="6">
        <v>71.6</v>
      </c>
      <c r="M3" s="6">
        <v>67.68</v>
      </c>
      <c r="N3" s="6">
        <v>73.95</v>
      </c>
      <c r="O3" s="6">
        <v>74.3</v>
      </c>
      <c r="P3" s="6">
        <v>68.45</v>
      </c>
      <c r="Q3" s="6">
        <v>70.65</v>
      </c>
    </row>
    <row r="4" spans="1:17">
      <c r="A4" s="5">
        <v>20241104</v>
      </c>
      <c r="B4" s="6">
        <v>71.47</v>
      </c>
      <c r="C4" s="6">
        <v>75.08</v>
      </c>
      <c r="D4" s="6">
        <v>73.42</v>
      </c>
      <c r="E4" s="6">
        <v>530.6</v>
      </c>
      <c r="F4" s="6">
        <v>73.52</v>
      </c>
      <c r="G4" s="6">
        <v>73.52</v>
      </c>
      <c r="H4" s="6">
        <v>75.57</v>
      </c>
      <c r="I4" s="6">
        <v>71.81</v>
      </c>
      <c r="J4" s="6">
        <v>76.27</v>
      </c>
      <c r="K4" s="6">
        <v>78.97</v>
      </c>
      <c r="L4" s="6">
        <v>71.415</v>
      </c>
      <c r="M4" s="6">
        <v>68.92</v>
      </c>
      <c r="N4" s="6">
        <v>73.99</v>
      </c>
      <c r="O4" s="6">
        <v>74.34</v>
      </c>
      <c r="P4" s="6">
        <v>68.37</v>
      </c>
      <c r="Q4" s="6">
        <v>70.69</v>
      </c>
    </row>
    <row r="5" spans="1:17">
      <c r="A5" s="5">
        <v>20241105</v>
      </c>
      <c r="B5" s="6">
        <v>71.99</v>
      </c>
      <c r="C5" s="6">
        <v>75.53</v>
      </c>
      <c r="D5" s="6">
        <v>74.05</v>
      </c>
      <c r="E5" s="6">
        <v>535.7</v>
      </c>
      <c r="F5" s="6">
        <v>74.14</v>
      </c>
      <c r="G5" s="6">
        <v>74.17</v>
      </c>
      <c r="H5" s="6">
        <v>76.94</v>
      </c>
      <c r="I5" s="6">
        <v>72.28</v>
      </c>
      <c r="J5" s="6">
        <v>76.97</v>
      </c>
      <c r="K5" s="6">
        <v>79.62</v>
      </c>
      <c r="L5" s="6">
        <v>71.965</v>
      </c>
      <c r="M5" s="6">
        <v>70.36</v>
      </c>
      <c r="N5" s="6">
        <v>74.62</v>
      </c>
      <c r="O5" s="6">
        <v>74.97</v>
      </c>
      <c r="P5" s="6">
        <v>69.07</v>
      </c>
      <c r="Q5" s="6">
        <v>71.27</v>
      </c>
    </row>
    <row r="6" spans="1:17">
      <c r="A6" s="5">
        <v>20241106</v>
      </c>
      <c r="B6" s="6">
        <v>71.69</v>
      </c>
      <c r="C6" s="6">
        <v>74.92</v>
      </c>
      <c r="D6" s="6">
        <v>73.26</v>
      </c>
      <c r="E6" s="6">
        <v>537.5</v>
      </c>
      <c r="F6" s="6">
        <v>73.295</v>
      </c>
      <c r="G6" s="6">
        <v>73.295</v>
      </c>
      <c r="H6" s="6">
        <v>76.115</v>
      </c>
      <c r="I6" s="6">
        <v>71.175</v>
      </c>
      <c r="J6" s="6">
        <v>76.11</v>
      </c>
      <c r="K6" s="6">
        <v>78.71</v>
      </c>
      <c r="L6" s="6">
        <v>70.82</v>
      </c>
      <c r="M6" s="6">
        <v>69.95</v>
      </c>
      <c r="N6" s="6">
        <v>73.6</v>
      </c>
      <c r="O6" s="6">
        <v>73.95</v>
      </c>
      <c r="P6" s="6">
        <v>68.16</v>
      </c>
      <c r="Q6" s="6">
        <v>70.3</v>
      </c>
    </row>
    <row r="7" spans="1:17">
      <c r="A7" s="5">
        <v>20241107</v>
      </c>
      <c r="B7" s="6">
        <v>72.36</v>
      </c>
      <c r="C7" s="6">
        <v>75.63</v>
      </c>
      <c r="D7" s="6">
        <v>73.98</v>
      </c>
      <c r="E7" s="6">
        <v>538.5</v>
      </c>
      <c r="F7" s="6">
        <v>74.01</v>
      </c>
      <c r="G7" s="6">
        <v>74.01</v>
      </c>
      <c r="H7" s="6">
        <v>75.64</v>
      </c>
      <c r="I7" s="6">
        <v>72.065</v>
      </c>
      <c r="J7" s="6">
        <v>77.02</v>
      </c>
      <c r="K7" s="6">
        <v>79.77</v>
      </c>
      <c r="L7" s="6">
        <v>71.725</v>
      </c>
      <c r="M7" s="6">
        <v>69.51</v>
      </c>
      <c r="N7" s="6">
        <v>74.46</v>
      </c>
      <c r="O7" s="6">
        <v>74.81</v>
      </c>
      <c r="P7" s="6">
        <v>69.02</v>
      </c>
      <c r="Q7" s="6">
        <v>71.06</v>
      </c>
    </row>
    <row r="8" spans="1:17">
      <c r="A8" s="5">
        <v>20241108</v>
      </c>
      <c r="B8" s="6">
        <v>70.38</v>
      </c>
      <c r="C8" s="6">
        <v>73.87</v>
      </c>
      <c r="D8" s="6">
        <v>73.81</v>
      </c>
      <c r="E8" s="6">
        <v>538.1</v>
      </c>
      <c r="F8" s="6">
        <v>73.85</v>
      </c>
      <c r="G8" s="6">
        <v>73.85</v>
      </c>
      <c r="H8" s="6">
        <v>74.065</v>
      </c>
      <c r="I8" s="6">
        <v>71.87</v>
      </c>
      <c r="J8" s="6">
        <v>77</v>
      </c>
      <c r="K8" s="6">
        <v>79.85</v>
      </c>
      <c r="L8" s="6">
        <v>71.5</v>
      </c>
      <c r="M8" s="6">
        <v>68.04</v>
      </c>
      <c r="N8" s="6">
        <v>74.31</v>
      </c>
      <c r="O8" s="6">
        <v>74.66</v>
      </c>
      <c r="P8" s="6">
        <v>68.85</v>
      </c>
      <c r="Q8" s="6">
        <v>70.91</v>
      </c>
    </row>
    <row r="9" spans="1:17">
      <c r="A9" s="5">
        <v>20241111</v>
      </c>
      <c r="B9" s="6">
        <v>68.04</v>
      </c>
      <c r="C9" s="6">
        <v>71.83</v>
      </c>
      <c r="D9" s="6">
        <v>73.05</v>
      </c>
      <c r="E9" s="6">
        <v>532.9</v>
      </c>
      <c r="F9" s="6">
        <v>73.09</v>
      </c>
      <c r="G9" s="6">
        <v>73.09</v>
      </c>
      <c r="H9" s="6">
        <v>72.37</v>
      </c>
      <c r="I9" s="6">
        <v>71.12</v>
      </c>
      <c r="J9" s="6">
        <v>76.28</v>
      </c>
      <c r="K9" s="6">
        <v>79.28</v>
      </c>
      <c r="L9" s="6">
        <v>70.71</v>
      </c>
      <c r="M9" s="6">
        <v>66.21</v>
      </c>
      <c r="N9" s="6">
        <v>73.61</v>
      </c>
      <c r="O9" s="6">
        <v>73.96</v>
      </c>
      <c r="P9" s="6">
        <v>68.33</v>
      </c>
      <c r="Q9" s="6">
        <v>70.11</v>
      </c>
    </row>
    <row r="10" spans="1:17">
      <c r="A10" s="5">
        <v>20241112</v>
      </c>
      <c r="B10" s="6">
        <v>68.12</v>
      </c>
      <c r="C10" s="6">
        <v>71.89</v>
      </c>
      <c r="D10" s="6">
        <v>71.05</v>
      </c>
      <c r="E10" s="6">
        <v>521.9</v>
      </c>
      <c r="F10" s="6">
        <v>71.08</v>
      </c>
      <c r="G10" s="6">
        <v>71.08</v>
      </c>
      <c r="H10" s="6">
        <v>72.915</v>
      </c>
      <c r="I10" s="6">
        <v>68.995</v>
      </c>
      <c r="J10" s="6">
        <v>74.29</v>
      </c>
      <c r="K10" s="6">
        <v>77.39</v>
      </c>
      <c r="L10" s="6">
        <v>68.635</v>
      </c>
      <c r="M10" s="6">
        <v>66.6</v>
      </c>
      <c r="N10" s="6">
        <v>71.75</v>
      </c>
      <c r="O10" s="6">
        <v>72.1</v>
      </c>
      <c r="P10" s="6">
        <v>66.44</v>
      </c>
      <c r="Q10" s="6">
        <v>68.2</v>
      </c>
    </row>
    <row r="11" spans="1:17">
      <c r="A11" s="5">
        <v>20241113</v>
      </c>
      <c r="B11" s="6">
        <v>68.43</v>
      </c>
      <c r="C11" s="6">
        <v>72.28</v>
      </c>
      <c r="D11" s="6">
        <v>71.17</v>
      </c>
      <c r="E11" s="6">
        <v>525.8</v>
      </c>
      <c r="F11" s="6">
        <v>71.145</v>
      </c>
      <c r="G11" s="6">
        <v>71.145</v>
      </c>
      <c r="H11" s="6">
        <v>73.555</v>
      </c>
      <c r="I11" s="6">
        <v>68.91</v>
      </c>
      <c r="J11" s="6">
        <v>74.32</v>
      </c>
      <c r="K11" s="6">
        <v>77.27</v>
      </c>
      <c r="L11" s="6">
        <v>68.425</v>
      </c>
      <c r="M11" s="6">
        <v>66.49</v>
      </c>
      <c r="N11" s="6">
        <v>71.74</v>
      </c>
      <c r="O11" s="6">
        <v>72.09</v>
      </c>
      <c r="P11" s="6">
        <v>66.32</v>
      </c>
      <c r="Q11" s="6">
        <v>68.24</v>
      </c>
    </row>
    <row r="12" spans="1:17">
      <c r="A12" s="5">
        <v>20241114</v>
      </c>
      <c r="B12" s="6">
        <v>68.7</v>
      </c>
      <c r="C12" s="6">
        <v>72.56</v>
      </c>
      <c r="D12" s="6">
        <v>71.42</v>
      </c>
      <c r="E12" s="6">
        <v>522.5</v>
      </c>
      <c r="F12" s="6">
        <v>71.42</v>
      </c>
      <c r="G12" s="6">
        <v>71.42</v>
      </c>
      <c r="H12" s="6">
        <v>73.67</v>
      </c>
      <c r="I12" s="6">
        <v>69.175</v>
      </c>
      <c r="J12" s="6">
        <v>74.6</v>
      </c>
      <c r="K12" s="6">
        <v>77.45</v>
      </c>
      <c r="L12" s="6">
        <v>68.675</v>
      </c>
      <c r="M12" s="6">
        <v>66.61</v>
      </c>
      <c r="N12" s="6">
        <v>71.96</v>
      </c>
      <c r="O12" s="6">
        <v>72.31</v>
      </c>
      <c r="P12" s="6">
        <v>66.4</v>
      </c>
      <c r="Q12" s="6">
        <v>68.26</v>
      </c>
    </row>
    <row r="13" spans="1:17">
      <c r="A13" s="5">
        <v>20241115</v>
      </c>
      <c r="B13" s="6">
        <v>67.02</v>
      </c>
      <c r="C13" s="6">
        <v>71.04</v>
      </c>
      <c r="D13" s="6">
        <v>70.72</v>
      </c>
      <c r="E13" s="6">
        <v>528.2</v>
      </c>
      <c r="F13" s="6">
        <v>70.74</v>
      </c>
      <c r="G13" s="6">
        <v>70.74</v>
      </c>
      <c r="H13" s="6">
        <v>73.49</v>
      </c>
      <c r="I13" s="6">
        <v>68.52</v>
      </c>
      <c r="J13" s="6">
        <v>73.92</v>
      </c>
      <c r="K13" s="6">
        <v>76.87</v>
      </c>
      <c r="L13" s="6">
        <v>68.095</v>
      </c>
      <c r="M13" s="6">
        <v>66.37</v>
      </c>
      <c r="N13" s="6">
        <v>71.3</v>
      </c>
      <c r="O13" s="6">
        <v>71.65</v>
      </c>
      <c r="P13" s="6">
        <v>65.77</v>
      </c>
      <c r="Q13" s="6">
        <v>67.65</v>
      </c>
    </row>
    <row r="14" spans="1:17">
      <c r="A14" s="5">
        <v>20241118</v>
      </c>
      <c r="B14" s="6">
        <v>69.16</v>
      </c>
      <c r="C14" s="6">
        <v>73.3</v>
      </c>
      <c r="D14" s="6">
        <v>70.5</v>
      </c>
      <c r="E14" s="6">
        <v>521.4</v>
      </c>
      <c r="F14" s="6">
        <v>70.505</v>
      </c>
      <c r="G14" s="6">
        <v>70.505</v>
      </c>
      <c r="H14" s="6">
        <v>74.535</v>
      </c>
      <c r="I14" s="6">
        <v>68.355</v>
      </c>
      <c r="J14" s="6">
        <v>73.89</v>
      </c>
      <c r="K14" s="6">
        <v>76.74</v>
      </c>
      <c r="L14" s="6">
        <v>67.875</v>
      </c>
      <c r="M14" s="6">
        <v>67.46</v>
      </c>
      <c r="N14" s="6">
        <v>71.13</v>
      </c>
      <c r="O14" s="6">
        <v>71.48</v>
      </c>
      <c r="P14" s="6">
        <v>65.69</v>
      </c>
      <c r="Q14" s="6">
        <v>67.43</v>
      </c>
    </row>
    <row r="15" spans="1:17">
      <c r="A15" s="5">
        <v>20241119</v>
      </c>
      <c r="B15" s="6">
        <v>69.39</v>
      </c>
      <c r="C15" s="6">
        <v>73.31</v>
      </c>
      <c r="D15" s="6">
        <v>72.21</v>
      </c>
      <c r="E15" s="6">
        <v>523.1</v>
      </c>
      <c r="F15" s="6">
        <v>72.26</v>
      </c>
      <c r="G15" s="6">
        <v>72.26</v>
      </c>
      <c r="H15" s="6">
        <v>74.05</v>
      </c>
      <c r="I15" s="6">
        <v>70.295</v>
      </c>
      <c r="J15" s="6">
        <v>75.79</v>
      </c>
      <c r="K15" s="6">
        <v>78.44</v>
      </c>
      <c r="L15" s="6">
        <v>69.665</v>
      </c>
      <c r="M15" s="6">
        <v>67.15</v>
      </c>
      <c r="N15" s="6">
        <v>72.85</v>
      </c>
      <c r="O15" s="6">
        <v>73.2</v>
      </c>
      <c r="P15" s="6">
        <v>67.44</v>
      </c>
      <c r="Q15" s="6">
        <v>69.2</v>
      </c>
    </row>
    <row r="16" spans="1:17">
      <c r="A16" s="5">
        <v>20241120</v>
      </c>
      <c r="B16" s="6">
        <v>68.87</v>
      </c>
      <c r="C16" s="6">
        <v>72.81</v>
      </c>
      <c r="D16" s="6">
        <v>72.71</v>
      </c>
      <c r="E16" s="6">
        <v>527.7</v>
      </c>
      <c r="F16" s="6">
        <v>72.85</v>
      </c>
      <c r="G16" s="6">
        <v>72.85</v>
      </c>
      <c r="H16" s="6">
        <v>74.52</v>
      </c>
      <c r="I16" s="6">
        <v>70.815</v>
      </c>
      <c r="J16" s="6">
        <v>76.6</v>
      </c>
      <c r="K16" s="6">
        <v>78.75</v>
      </c>
      <c r="L16" s="6">
        <v>70.195</v>
      </c>
      <c r="M16" s="6">
        <v>67.63</v>
      </c>
      <c r="N16" s="6">
        <v>73.33</v>
      </c>
      <c r="O16" s="6">
        <v>73.68</v>
      </c>
      <c r="P16" s="6">
        <v>67.9</v>
      </c>
      <c r="Q16" s="6">
        <v>69.58</v>
      </c>
    </row>
    <row r="17" spans="1:17">
      <c r="A17" s="5">
        <v>20241121</v>
      </c>
      <c r="B17" s="6">
        <v>70.1</v>
      </c>
      <c r="C17" s="6">
        <v>74.23</v>
      </c>
      <c r="D17" s="6">
        <v>72.84</v>
      </c>
      <c r="E17" s="6">
        <v>530.1</v>
      </c>
      <c r="F17" s="6">
        <v>72.83</v>
      </c>
      <c r="G17" s="6">
        <v>72.83</v>
      </c>
      <c r="H17" s="6">
        <v>75.21</v>
      </c>
      <c r="I17" s="6">
        <v>70.82</v>
      </c>
      <c r="J17" s="6">
        <v>76.93</v>
      </c>
      <c r="K17" s="6">
        <v>78.88</v>
      </c>
      <c r="L17" s="6">
        <v>70.17</v>
      </c>
      <c r="M17" s="6">
        <v>68.38</v>
      </c>
      <c r="N17" s="6">
        <v>73.53</v>
      </c>
      <c r="O17" s="6">
        <v>73.88</v>
      </c>
      <c r="P17" s="6">
        <v>68.08</v>
      </c>
      <c r="Q17" s="6">
        <v>70.13</v>
      </c>
    </row>
    <row r="18" spans="1:17">
      <c r="A18" s="5">
        <v>20241122</v>
      </c>
      <c r="B18" s="6">
        <v>71.24</v>
      </c>
      <c r="C18" s="6">
        <v>75.17</v>
      </c>
      <c r="D18" s="6">
        <v>74.07</v>
      </c>
      <c r="E18" s="6">
        <v>535.6</v>
      </c>
      <c r="F18" s="6">
        <v>74.15</v>
      </c>
      <c r="G18" s="6">
        <v>74.15</v>
      </c>
      <c r="H18" s="6">
        <v>76.115</v>
      </c>
      <c r="I18" s="6">
        <v>72.015</v>
      </c>
      <c r="J18" s="6">
        <v>78.05</v>
      </c>
      <c r="K18" s="6">
        <v>79.75</v>
      </c>
      <c r="L18" s="6">
        <v>71.295</v>
      </c>
      <c r="M18" s="6">
        <v>69.19</v>
      </c>
      <c r="N18" s="6">
        <v>74.55</v>
      </c>
      <c r="O18" s="6">
        <v>74.9</v>
      </c>
      <c r="P18" s="6">
        <v>68.95</v>
      </c>
      <c r="Q18" s="6">
        <v>71.35</v>
      </c>
    </row>
    <row r="19" spans="1:17">
      <c r="A19" s="5">
        <v>20241125</v>
      </c>
      <c r="B19" s="6">
        <v>68.94</v>
      </c>
      <c r="C19" s="6">
        <v>73.01</v>
      </c>
      <c r="D19" s="6">
        <v>73.54</v>
      </c>
      <c r="E19" s="6">
        <v>538.9</v>
      </c>
      <c r="F19" s="6">
        <v>73.54</v>
      </c>
      <c r="G19" s="6">
        <v>73.54</v>
      </c>
      <c r="H19" s="6">
        <v>74.29</v>
      </c>
      <c r="I19" s="6">
        <v>71.62</v>
      </c>
      <c r="J19" s="6">
        <v>77.73</v>
      </c>
      <c r="K19" s="6">
        <v>79.48</v>
      </c>
      <c r="L19" s="6">
        <v>71.055</v>
      </c>
      <c r="M19" s="6">
        <v>67.26</v>
      </c>
      <c r="N19" s="6">
        <v>73.97</v>
      </c>
      <c r="O19" s="6">
        <v>74.32</v>
      </c>
      <c r="P19" s="6">
        <v>68.63</v>
      </c>
      <c r="Q19" s="6">
        <v>70.77</v>
      </c>
    </row>
    <row r="20" spans="1:17">
      <c r="A20" s="5">
        <v>20241126</v>
      </c>
      <c r="B20" s="6">
        <v>68.77</v>
      </c>
      <c r="C20" s="6">
        <v>72.81</v>
      </c>
      <c r="D20" s="6">
        <v>72.45</v>
      </c>
      <c r="E20" s="6">
        <v>532.2</v>
      </c>
      <c r="F20" s="6">
        <v>72.51</v>
      </c>
      <c r="G20" s="6">
        <v>72.51</v>
      </c>
      <c r="H20" s="6">
        <v>74.585</v>
      </c>
      <c r="I20" s="6">
        <v>70.475</v>
      </c>
      <c r="J20" s="6">
        <v>76.67</v>
      </c>
      <c r="K20" s="6">
        <v>78.32</v>
      </c>
      <c r="L20" s="6">
        <v>69.8</v>
      </c>
      <c r="M20" s="6">
        <v>68.47</v>
      </c>
      <c r="N20" s="6">
        <v>73.11</v>
      </c>
      <c r="O20" s="6">
        <v>73.46</v>
      </c>
      <c r="P20" s="6">
        <v>68.37</v>
      </c>
      <c r="Q20" s="6">
        <v>69.76</v>
      </c>
    </row>
    <row r="21" spans="1:17">
      <c r="A21" s="5">
        <v>20241127</v>
      </c>
      <c r="B21" s="6">
        <v>68.72</v>
      </c>
      <c r="C21" s="6">
        <v>72.83</v>
      </c>
      <c r="D21" s="6">
        <v>72.16</v>
      </c>
      <c r="E21" s="6">
        <v>530.8</v>
      </c>
      <c r="F21" s="6">
        <v>72.25</v>
      </c>
      <c r="G21" s="6">
        <v>72.25</v>
      </c>
      <c r="H21" s="6">
        <v>73.93</v>
      </c>
      <c r="I21" s="6">
        <v>69.955</v>
      </c>
      <c r="J21" s="6">
        <v>76.39</v>
      </c>
      <c r="K21" s="6">
        <v>77.94</v>
      </c>
      <c r="L21" s="6">
        <v>69.275</v>
      </c>
      <c r="M21" s="6">
        <v>68.71</v>
      </c>
      <c r="N21" s="6">
        <v>72.92</v>
      </c>
      <c r="O21" s="6">
        <v>73.27</v>
      </c>
      <c r="P21" s="6">
        <v>68.89</v>
      </c>
      <c r="Q21" s="6">
        <v>69.57</v>
      </c>
    </row>
    <row r="22" spans="1:17">
      <c r="A22" s="5">
        <v>20241128</v>
      </c>
      <c r="B22" s="6"/>
      <c r="C22" s="6">
        <v>73.28</v>
      </c>
      <c r="D22" s="6">
        <v>70.67</v>
      </c>
      <c r="E22" s="6">
        <v>528</v>
      </c>
      <c r="F22" s="6">
        <v>71.85</v>
      </c>
      <c r="G22" s="6">
        <v>71.85</v>
      </c>
      <c r="H22" s="6">
        <v>73.865</v>
      </c>
      <c r="I22" s="6">
        <v>69.37</v>
      </c>
      <c r="J22" s="6">
        <v>75.74</v>
      </c>
      <c r="K22" s="6">
        <v>76.89</v>
      </c>
      <c r="L22" s="6">
        <v>68.68</v>
      </c>
      <c r="M22" s="6">
        <v>69.49</v>
      </c>
      <c r="N22" s="6">
        <v>72.27</v>
      </c>
      <c r="O22" s="6">
        <v>72.62</v>
      </c>
      <c r="P22" s="6">
        <v>69.04</v>
      </c>
      <c r="Q22" s="6">
        <v>68.97</v>
      </c>
    </row>
    <row r="23" spans="1:17">
      <c r="A23" s="5">
        <v>20241129</v>
      </c>
      <c r="B23" s="6">
        <v>68</v>
      </c>
      <c r="C23" s="6">
        <v>72.94</v>
      </c>
      <c r="D23" s="6">
        <v>71.16</v>
      </c>
      <c r="E23" s="6">
        <v>528.6</v>
      </c>
      <c r="F23" s="6">
        <v>72.35</v>
      </c>
      <c r="G23" s="6">
        <v>72.35</v>
      </c>
      <c r="H23" s="6">
        <v>74.31</v>
      </c>
      <c r="I23" s="6">
        <v>70.28</v>
      </c>
      <c r="J23" s="6">
        <v>76.62</v>
      </c>
      <c r="K23" s="6">
        <v>77.42</v>
      </c>
      <c r="L23" s="6">
        <v>69.6</v>
      </c>
      <c r="M23" s="6">
        <v>70.3</v>
      </c>
      <c r="N23" s="6">
        <v>73.23</v>
      </c>
      <c r="O23" s="6">
        <v>73.58</v>
      </c>
      <c r="P23" s="6">
        <v>70.17</v>
      </c>
      <c r="Q23" s="6">
        <v>69.83</v>
      </c>
    </row>
    <row r="24" spans="1:17">
      <c r="A24" s="7" t="s">
        <v>17</v>
      </c>
      <c r="B24" s="8">
        <f>AVERAGE(B19:B23)</f>
        <v>68.6075</v>
      </c>
      <c r="C24" s="8">
        <f t="shared" ref="C24:Q24" si="0">AVERAGE(C19:C23)</f>
        <v>72.974</v>
      </c>
      <c r="D24" s="8">
        <f t="shared" si="0"/>
        <v>71.996</v>
      </c>
      <c r="E24" s="8">
        <f t="shared" si="0"/>
        <v>531.7</v>
      </c>
      <c r="F24" s="8">
        <f t="shared" si="0"/>
        <v>72.5</v>
      </c>
      <c r="G24" s="8">
        <f t="shared" si="0"/>
        <v>72.5</v>
      </c>
      <c r="H24" s="8">
        <f t="shared" si="0"/>
        <v>74.196</v>
      </c>
      <c r="I24" s="8">
        <f t="shared" si="0"/>
        <v>70.34</v>
      </c>
      <c r="J24" s="8">
        <f t="shared" si="0"/>
        <v>76.63</v>
      </c>
      <c r="K24" s="8">
        <f t="shared" si="0"/>
        <v>78.01</v>
      </c>
      <c r="L24" s="8">
        <f t="shared" si="0"/>
        <v>69.682</v>
      </c>
      <c r="M24" s="8">
        <f t="shared" si="0"/>
        <v>68.846</v>
      </c>
      <c r="N24" s="8">
        <f t="shared" si="0"/>
        <v>73.1</v>
      </c>
      <c r="O24" s="8">
        <f t="shared" si="0"/>
        <v>73.45</v>
      </c>
      <c r="P24" s="8">
        <f t="shared" si="0"/>
        <v>69.02</v>
      </c>
      <c r="Q24" s="8">
        <f t="shared" si="0"/>
        <v>69.78</v>
      </c>
    </row>
    <row r="25" ht="22.5" spans="1:17">
      <c r="A25" s="3" t="s">
        <v>37</v>
      </c>
      <c r="B25" s="9">
        <f>AVERAGE(B3:B23)</f>
        <v>69.544</v>
      </c>
      <c r="C25" s="9">
        <f t="shared" ref="C25:Q25" si="1">AVERAGE(C3:C23)</f>
        <v>73.4009523809524</v>
      </c>
      <c r="D25" s="9">
        <f t="shared" si="1"/>
        <v>72.4614285714286</v>
      </c>
      <c r="E25" s="9">
        <f t="shared" si="1"/>
        <v>530.261904761905</v>
      </c>
      <c r="F25" s="9">
        <f t="shared" si="1"/>
        <v>72.6178571428571</v>
      </c>
      <c r="G25" s="9">
        <f t="shared" si="1"/>
        <v>72.6192857142857</v>
      </c>
      <c r="H25" s="9">
        <f t="shared" si="1"/>
        <v>74.4716666666667</v>
      </c>
      <c r="I25" s="9">
        <f t="shared" si="1"/>
        <v>70.5664285714286</v>
      </c>
      <c r="J25" s="9">
        <f t="shared" si="1"/>
        <v>76.0709523809524</v>
      </c>
      <c r="K25" s="9">
        <f t="shared" si="1"/>
        <v>78.4233333333333</v>
      </c>
      <c r="L25" s="9">
        <f t="shared" si="1"/>
        <v>70.0559523809524</v>
      </c>
      <c r="M25" s="9">
        <f t="shared" si="1"/>
        <v>68.132380952381</v>
      </c>
      <c r="N25" s="9">
        <f t="shared" si="1"/>
        <v>73.1514285714286</v>
      </c>
      <c r="O25" s="9">
        <f t="shared" si="1"/>
        <v>73.5014285714286</v>
      </c>
      <c r="P25" s="9">
        <f t="shared" si="1"/>
        <v>68.0161904761905</v>
      </c>
      <c r="Q25" s="9">
        <f t="shared" si="1"/>
        <v>69.7109523809524</v>
      </c>
    </row>
    <row r="26" ht="23.25" spans="1:17">
      <c r="A26" s="10" t="s">
        <v>19</v>
      </c>
      <c r="B26" s="23">
        <f t="shared" ref="B26:Q26" si="2">(B25-B2)/B2</f>
        <v>-0.0281957810829197</v>
      </c>
      <c r="C26" s="23">
        <f t="shared" si="2"/>
        <v>-0.0262149631925888</v>
      </c>
      <c r="D26" s="23">
        <f t="shared" si="2"/>
        <v>-0.0315176470099911</v>
      </c>
      <c r="E26" s="23">
        <f t="shared" si="2"/>
        <v>-0.0246761474612938</v>
      </c>
      <c r="F26" s="23">
        <f t="shared" si="2"/>
        <v>-0.0309866941171986</v>
      </c>
      <c r="G26" s="23">
        <f t="shared" si="2"/>
        <v>-0.03122030324582</v>
      </c>
      <c r="H26" s="23">
        <f t="shared" si="2"/>
        <v>-0.0156892605043628</v>
      </c>
      <c r="I26" s="23">
        <f t="shared" si="2"/>
        <v>-0.0259096105916981</v>
      </c>
      <c r="J26" s="24">
        <f t="shared" si="2"/>
        <v>0.00177838511002256</v>
      </c>
      <c r="K26" s="23">
        <f t="shared" si="2"/>
        <v>-0.014354486110159</v>
      </c>
      <c r="L26" s="23">
        <f t="shared" si="2"/>
        <v>-0.0333746523831473</v>
      </c>
      <c r="M26" s="23">
        <f t="shared" si="2"/>
        <v>-0.0101615393565473</v>
      </c>
      <c r="N26" s="23">
        <f t="shared" si="2"/>
        <v>-0.0126013555857654</v>
      </c>
      <c r="O26" s="23">
        <f t="shared" si="2"/>
        <v>-0.0125421028893859</v>
      </c>
      <c r="P26" s="23">
        <f t="shared" si="2"/>
        <v>-0.00945546888988092</v>
      </c>
      <c r="Q26" s="23">
        <f t="shared" si="2"/>
        <v>-0.012032987798294</v>
      </c>
    </row>
    <row r="27" ht="15"/>
  </sheetData>
  <pageMargins left="0.75" right="0.75" top="1" bottom="1" header="0.5" footer="0.5"/>
  <pageSetup paperSize="9" orientation="portrait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Q29"/>
  <sheetViews>
    <sheetView workbookViewId="0">
      <selection activeCell="E25" sqref="E3:E25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29</v>
      </c>
      <c r="B2" s="9">
        <v>69.3725</v>
      </c>
      <c r="C2" s="9">
        <v>72.8709523809524</v>
      </c>
      <c r="D2" s="9">
        <v>73.4914285714286</v>
      </c>
      <c r="E2" s="9">
        <v>522.073684210526</v>
      </c>
      <c r="F2" s="9">
        <v>73.5138095238095</v>
      </c>
      <c r="G2" s="9">
        <v>73.5283333333333</v>
      </c>
      <c r="H2" s="9">
        <v>74.3295238095238</v>
      </c>
      <c r="I2" s="9">
        <v>70.8516666666667</v>
      </c>
      <c r="J2" s="9">
        <v>75.6933333333333</v>
      </c>
      <c r="K2" s="9">
        <v>76.9457142857143</v>
      </c>
      <c r="L2" s="9">
        <v>71.195</v>
      </c>
      <c r="M2" s="9">
        <v>67.9161904761905</v>
      </c>
      <c r="N2" s="9">
        <v>72.6728571428572</v>
      </c>
      <c r="O2" s="9">
        <v>73.0228571428571</v>
      </c>
      <c r="P2" s="9">
        <v>68.0647619047619</v>
      </c>
      <c r="Q2" s="9">
        <v>67.4133333333333</v>
      </c>
    </row>
    <row r="3" spans="1:17">
      <c r="A3" s="5">
        <v>20241001</v>
      </c>
      <c r="B3" s="6">
        <v>69.83</v>
      </c>
      <c r="C3" s="6">
        <v>73.56</v>
      </c>
      <c r="D3" s="6">
        <v>70.73</v>
      </c>
      <c r="E3" s="6"/>
      <c r="F3" s="6">
        <v>70.77</v>
      </c>
      <c r="G3" s="6">
        <v>70.77</v>
      </c>
      <c r="H3" s="6">
        <v>75.38</v>
      </c>
      <c r="I3" s="6">
        <v>68.675</v>
      </c>
      <c r="J3" s="6">
        <v>71.35</v>
      </c>
      <c r="K3" s="6">
        <v>74.7</v>
      </c>
      <c r="L3" s="6">
        <v>68.695</v>
      </c>
      <c r="M3" s="6">
        <v>68.9</v>
      </c>
      <c r="N3" s="6">
        <v>69.96</v>
      </c>
      <c r="O3" s="6">
        <v>70.31</v>
      </c>
      <c r="P3" s="6">
        <v>64.75</v>
      </c>
      <c r="Q3" s="6">
        <v>65.76</v>
      </c>
    </row>
    <row r="4" spans="1:17">
      <c r="A4" s="5">
        <v>20241002</v>
      </c>
      <c r="B4" s="6">
        <v>70.1</v>
      </c>
      <c r="C4" s="6">
        <v>73.9</v>
      </c>
      <c r="D4" s="6">
        <v>75.29</v>
      </c>
      <c r="E4" s="6"/>
      <c r="F4" s="6">
        <v>75.2</v>
      </c>
      <c r="G4" s="6">
        <v>75.2</v>
      </c>
      <c r="H4" s="6">
        <v>74.775</v>
      </c>
      <c r="I4" s="6">
        <v>72.825</v>
      </c>
      <c r="J4" s="6">
        <v>75.53</v>
      </c>
      <c r="K4" s="6">
        <v>79.08</v>
      </c>
      <c r="L4" s="6">
        <v>72.86</v>
      </c>
      <c r="M4" s="6">
        <v>67.85</v>
      </c>
      <c r="N4" s="6">
        <v>73.95</v>
      </c>
      <c r="O4" s="6">
        <v>74.3</v>
      </c>
      <c r="P4" s="6">
        <v>68.63</v>
      </c>
      <c r="Q4" s="6">
        <v>70.2</v>
      </c>
    </row>
    <row r="5" spans="1:17">
      <c r="A5" s="5">
        <v>20241003</v>
      </c>
      <c r="B5" s="6">
        <v>73.71</v>
      </c>
      <c r="C5" s="6">
        <v>77.62</v>
      </c>
      <c r="D5" s="6">
        <v>74.57</v>
      </c>
      <c r="E5" s="6"/>
      <c r="F5" s="6">
        <v>74.44</v>
      </c>
      <c r="G5" s="6">
        <v>74.52</v>
      </c>
      <c r="H5" s="6">
        <v>77.945</v>
      </c>
      <c r="I5" s="6">
        <v>72.48</v>
      </c>
      <c r="J5" s="6">
        <v>75.14</v>
      </c>
      <c r="K5" s="6">
        <v>78.89</v>
      </c>
      <c r="L5" s="6">
        <v>72.6</v>
      </c>
      <c r="M5" s="6">
        <v>70.61</v>
      </c>
      <c r="N5" s="6">
        <v>73.44</v>
      </c>
      <c r="O5" s="6">
        <v>73.79</v>
      </c>
      <c r="P5" s="6">
        <v>68.24</v>
      </c>
      <c r="Q5" s="6">
        <v>69.69</v>
      </c>
    </row>
    <row r="6" spans="1:17">
      <c r="A6" s="5">
        <v>20241004</v>
      </c>
      <c r="B6" s="6">
        <v>74.38</v>
      </c>
      <c r="C6" s="6">
        <v>78.05</v>
      </c>
      <c r="D6" s="6">
        <v>77.81</v>
      </c>
      <c r="E6" s="6"/>
      <c r="F6" s="6">
        <v>77.88</v>
      </c>
      <c r="G6" s="6">
        <v>77.88</v>
      </c>
      <c r="H6" s="6">
        <v>79.39</v>
      </c>
      <c r="I6" s="6">
        <v>75.75</v>
      </c>
      <c r="J6" s="6">
        <v>78.4</v>
      </c>
      <c r="K6" s="6">
        <v>82.15</v>
      </c>
      <c r="L6" s="6">
        <v>75.77</v>
      </c>
      <c r="M6" s="6">
        <v>72.01</v>
      </c>
      <c r="N6" s="6">
        <v>76.48</v>
      </c>
      <c r="O6" s="6">
        <v>76.83</v>
      </c>
      <c r="P6" s="6">
        <v>71.45</v>
      </c>
      <c r="Q6" s="6">
        <v>73.03</v>
      </c>
    </row>
    <row r="7" spans="1:17">
      <c r="A7" s="5">
        <v>20241007</v>
      </c>
      <c r="B7" s="6">
        <v>77.14</v>
      </c>
      <c r="C7" s="6">
        <v>80.93</v>
      </c>
      <c r="D7" s="6">
        <v>78.16</v>
      </c>
      <c r="E7" s="6"/>
      <c r="F7" s="6">
        <v>78.145</v>
      </c>
      <c r="G7" s="6">
        <v>78.23</v>
      </c>
      <c r="H7" s="6">
        <v>81.2</v>
      </c>
      <c r="I7" s="6">
        <v>76.425</v>
      </c>
      <c r="J7" s="6">
        <v>79.15</v>
      </c>
      <c r="K7" s="6">
        <v>82.9</v>
      </c>
      <c r="L7" s="6">
        <v>76.4</v>
      </c>
      <c r="M7" s="6">
        <v>73.94</v>
      </c>
      <c r="N7" s="6">
        <v>76.98</v>
      </c>
      <c r="O7" s="6">
        <v>77.33</v>
      </c>
      <c r="P7" s="6">
        <v>72.15</v>
      </c>
      <c r="Q7" s="6">
        <v>73.53</v>
      </c>
    </row>
    <row r="8" spans="1:17">
      <c r="A8" s="5">
        <v>20241008</v>
      </c>
      <c r="B8" s="6">
        <v>73.57</v>
      </c>
      <c r="C8" s="6">
        <v>77.18</v>
      </c>
      <c r="D8" s="6">
        <v>78.96</v>
      </c>
      <c r="E8" s="6">
        <v>580.1</v>
      </c>
      <c r="F8" s="6">
        <v>78.97</v>
      </c>
      <c r="G8" s="6">
        <v>78.97</v>
      </c>
      <c r="H8" s="6">
        <v>77.845</v>
      </c>
      <c r="I8" s="6">
        <v>76.485</v>
      </c>
      <c r="J8" s="6">
        <v>79.59</v>
      </c>
      <c r="K8" s="6">
        <v>83.39</v>
      </c>
      <c r="L8" s="6">
        <v>76.46</v>
      </c>
      <c r="M8" s="6">
        <v>70.77</v>
      </c>
      <c r="N8" s="6">
        <v>77.6</v>
      </c>
      <c r="O8" s="6">
        <v>77.95</v>
      </c>
      <c r="P8" s="6">
        <v>72.59</v>
      </c>
      <c r="Q8" s="6">
        <v>74.2</v>
      </c>
    </row>
    <row r="9" spans="1:17">
      <c r="A9" s="5">
        <v>20241009</v>
      </c>
      <c r="B9" s="6">
        <v>73.24</v>
      </c>
      <c r="C9" s="6">
        <v>76.58</v>
      </c>
      <c r="D9" s="6">
        <v>77.5</v>
      </c>
      <c r="E9" s="6">
        <v>567</v>
      </c>
      <c r="F9" s="6">
        <v>77.435</v>
      </c>
      <c r="G9" s="6">
        <v>77.58</v>
      </c>
      <c r="H9" s="6">
        <v>77.665</v>
      </c>
      <c r="I9" s="6">
        <v>74.71</v>
      </c>
      <c r="J9" s="6">
        <v>77.95</v>
      </c>
      <c r="K9" s="6">
        <v>81.8</v>
      </c>
      <c r="L9" s="6">
        <v>74.655</v>
      </c>
      <c r="M9" s="6">
        <v>69.79</v>
      </c>
      <c r="N9" s="6">
        <v>76.11</v>
      </c>
      <c r="O9" s="6">
        <v>76.46</v>
      </c>
      <c r="P9" s="6">
        <v>70.95</v>
      </c>
      <c r="Q9" s="6">
        <v>72.71</v>
      </c>
    </row>
    <row r="10" spans="1:17">
      <c r="A10" s="5">
        <v>20241010</v>
      </c>
      <c r="B10" s="6">
        <v>75.85</v>
      </c>
      <c r="C10" s="6">
        <v>79.4</v>
      </c>
      <c r="D10" s="6">
        <v>77.14</v>
      </c>
      <c r="E10" s="6">
        <v>553.2</v>
      </c>
      <c r="F10" s="6">
        <v>77.14</v>
      </c>
      <c r="G10" s="6">
        <v>77.14</v>
      </c>
      <c r="H10" s="6">
        <v>79.335</v>
      </c>
      <c r="I10" s="6">
        <v>74.325</v>
      </c>
      <c r="J10" s="6">
        <v>77.44</v>
      </c>
      <c r="K10" s="6">
        <v>81.34</v>
      </c>
      <c r="L10" s="6">
        <v>74.365</v>
      </c>
      <c r="M10" s="6">
        <v>71.23</v>
      </c>
      <c r="N10" s="6">
        <v>75.76</v>
      </c>
      <c r="O10" s="6">
        <v>76.11</v>
      </c>
      <c r="P10" s="6">
        <v>70.44</v>
      </c>
      <c r="Q10" s="6">
        <v>72.36</v>
      </c>
    </row>
    <row r="11" spans="1:17">
      <c r="A11" s="5">
        <v>20241011</v>
      </c>
      <c r="B11" s="6">
        <v>75.56</v>
      </c>
      <c r="C11" s="6">
        <v>79.04</v>
      </c>
      <c r="D11" s="6">
        <v>78.5</v>
      </c>
      <c r="E11" s="6">
        <v>568.6</v>
      </c>
      <c r="F11" s="6">
        <v>78.59</v>
      </c>
      <c r="G11" s="6">
        <v>78.59</v>
      </c>
      <c r="H11" s="6">
        <v>80.145</v>
      </c>
      <c r="I11" s="6">
        <v>75.805</v>
      </c>
      <c r="J11" s="6">
        <v>79.04</v>
      </c>
      <c r="K11" s="6">
        <v>83.04</v>
      </c>
      <c r="L11" s="6">
        <v>75.915</v>
      </c>
      <c r="M11" s="6">
        <v>72.34</v>
      </c>
      <c r="N11" s="6">
        <v>77.13</v>
      </c>
      <c r="O11" s="6">
        <v>77.48</v>
      </c>
      <c r="P11" s="6">
        <v>72.04</v>
      </c>
      <c r="Q11" s="6">
        <v>73.73</v>
      </c>
    </row>
    <row r="12" spans="1:17">
      <c r="A12" s="5">
        <v>20241014</v>
      </c>
      <c r="B12" s="6">
        <v>73.83</v>
      </c>
      <c r="C12" s="6">
        <v>77.46</v>
      </c>
      <c r="D12" s="6">
        <v>77.66</v>
      </c>
      <c r="E12" s="6">
        <v>575.1</v>
      </c>
      <c r="F12" s="6">
        <v>77.64</v>
      </c>
      <c r="G12" s="6">
        <v>77.66</v>
      </c>
      <c r="H12" s="6">
        <v>77.81</v>
      </c>
      <c r="I12" s="6">
        <v>74.785</v>
      </c>
      <c r="J12" s="6">
        <v>78.3</v>
      </c>
      <c r="K12" s="6">
        <v>82.3</v>
      </c>
      <c r="L12" s="6">
        <v>74.81</v>
      </c>
      <c r="M12" s="6">
        <v>70.76</v>
      </c>
      <c r="N12" s="6">
        <v>76.37</v>
      </c>
      <c r="O12" s="6">
        <v>76.72</v>
      </c>
      <c r="P12" s="6">
        <v>71.3</v>
      </c>
      <c r="Q12" s="6">
        <v>72.92</v>
      </c>
    </row>
    <row r="13" spans="1:17">
      <c r="A13" s="5">
        <v>20241015</v>
      </c>
      <c r="B13" s="6">
        <v>70.58</v>
      </c>
      <c r="C13" s="6">
        <v>74.25</v>
      </c>
      <c r="D13" s="6">
        <v>74.33</v>
      </c>
      <c r="E13" s="6">
        <v>560.8</v>
      </c>
      <c r="F13" s="6">
        <v>74.29</v>
      </c>
      <c r="G13" s="6">
        <v>74.31</v>
      </c>
      <c r="H13" s="6">
        <v>73.525</v>
      </c>
      <c r="I13" s="6">
        <v>71.36</v>
      </c>
      <c r="J13" s="6">
        <v>75.17</v>
      </c>
      <c r="K13" s="6">
        <v>78.72</v>
      </c>
      <c r="L13" s="6">
        <v>71.415</v>
      </c>
      <c r="M13" s="6">
        <v>67.13</v>
      </c>
      <c r="N13" s="6">
        <v>73.11</v>
      </c>
      <c r="O13" s="6">
        <v>73.46</v>
      </c>
      <c r="P13" s="6">
        <v>67.72</v>
      </c>
      <c r="Q13" s="6">
        <v>69.61</v>
      </c>
    </row>
    <row r="14" spans="1:17">
      <c r="A14" s="5">
        <v>20241016</v>
      </c>
      <c r="B14" s="6">
        <v>70.39</v>
      </c>
      <c r="C14" s="6">
        <v>74.22</v>
      </c>
      <c r="D14" s="6">
        <v>74.01</v>
      </c>
      <c r="E14" s="6">
        <v>539.5</v>
      </c>
      <c r="F14" s="6">
        <v>73.99</v>
      </c>
      <c r="G14" s="6">
        <v>74.03</v>
      </c>
      <c r="H14" s="6">
        <v>73.94</v>
      </c>
      <c r="I14" s="6">
        <v>71.215</v>
      </c>
      <c r="J14" s="6">
        <v>74.95</v>
      </c>
      <c r="K14" s="6">
        <v>78.6</v>
      </c>
      <c r="L14" s="6">
        <v>71.325</v>
      </c>
      <c r="M14" s="6">
        <v>67.27</v>
      </c>
      <c r="N14" s="6">
        <v>72.75</v>
      </c>
      <c r="O14" s="6">
        <v>73.1</v>
      </c>
      <c r="P14" s="6">
        <v>67.4</v>
      </c>
      <c r="Q14" s="6">
        <v>69.35</v>
      </c>
    </row>
    <row r="15" spans="1:17">
      <c r="A15" s="5">
        <v>20241017</v>
      </c>
      <c r="B15" s="6">
        <v>70.67</v>
      </c>
      <c r="C15" s="6">
        <v>74.45</v>
      </c>
      <c r="D15" s="6">
        <v>74.07</v>
      </c>
      <c r="E15" s="6">
        <v>537.5</v>
      </c>
      <c r="F15" s="6">
        <v>74.07</v>
      </c>
      <c r="G15" s="6">
        <v>74.11</v>
      </c>
      <c r="H15" s="6">
        <v>74.075</v>
      </c>
      <c r="I15" s="6">
        <v>71.36</v>
      </c>
      <c r="J15" s="6">
        <v>75.23</v>
      </c>
      <c r="K15" s="6">
        <v>78.88</v>
      </c>
      <c r="L15" s="6">
        <v>71.485</v>
      </c>
      <c r="M15" s="6">
        <v>67.33</v>
      </c>
      <c r="N15" s="6">
        <v>73.59</v>
      </c>
      <c r="O15" s="6">
        <v>73.94</v>
      </c>
      <c r="P15" s="6">
        <v>67.58</v>
      </c>
      <c r="Q15" s="6">
        <v>69.59</v>
      </c>
    </row>
    <row r="16" spans="1:17">
      <c r="A16" s="5">
        <v>20241018</v>
      </c>
      <c r="B16" s="6">
        <v>69.22</v>
      </c>
      <c r="C16" s="6">
        <v>73.06</v>
      </c>
      <c r="D16" s="6">
        <v>74.11</v>
      </c>
      <c r="E16" s="6">
        <v>534.3</v>
      </c>
      <c r="F16" s="6">
        <v>74.19</v>
      </c>
      <c r="G16" s="6">
        <v>74.19</v>
      </c>
      <c r="H16" s="6">
        <v>72.55</v>
      </c>
      <c r="I16" s="6">
        <v>71.38</v>
      </c>
      <c r="J16" s="6">
        <v>75.28</v>
      </c>
      <c r="K16" s="6">
        <v>78.88</v>
      </c>
      <c r="L16" s="6">
        <v>71.58</v>
      </c>
      <c r="M16" s="6">
        <v>65.82</v>
      </c>
      <c r="N16" s="6">
        <v>73.51</v>
      </c>
      <c r="O16" s="6">
        <v>73.86</v>
      </c>
      <c r="P16" s="6">
        <v>67.58</v>
      </c>
      <c r="Q16" s="6">
        <v>69.71</v>
      </c>
    </row>
    <row r="17" spans="1:17">
      <c r="A17" s="5">
        <v>20241021</v>
      </c>
      <c r="B17" s="6">
        <v>70.56</v>
      </c>
      <c r="C17" s="6">
        <v>74.29</v>
      </c>
      <c r="D17" s="6">
        <v>73.51</v>
      </c>
      <c r="E17" s="6">
        <v>527.4</v>
      </c>
      <c r="F17" s="6">
        <v>73.54</v>
      </c>
      <c r="G17" s="6">
        <v>73.54</v>
      </c>
      <c r="H17" s="6">
        <v>73.57</v>
      </c>
      <c r="I17" s="6">
        <v>70.775</v>
      </c>
      <c r="J17" s="6">
        <v>74.75</v>
      </c>
      <c r="K17" s="6">
        <v>78.35</v>
      </c>
      <c r="L17" s="6">
        <v>70.9</v>
      </c>
      <c r="M17" s="6">
        <v>66.94</v>
      </c>
      <c r="N17" s="6">
        <v>73.04</v>
      </c>
      <c r="O17" s="6">
        <v>73.39</v>
      </c>
      <c r="P17" s="6">
        <v>67.05</v>
      </c>
      <c r="Q17" s="6">
        <v>69.24</v>
      </c>
    </row>
    <row r="18" spans="1:17">
      <c r="A18" s="5">
        <v>20241022</v>
      </c>
      <c r="B18" s="6">
        <v>72.09</v>
      </c>
      <c r="C18" s="6">
        <v>76.04</v>
      </c>
      <c r="D18" s="6">
        <v>73.48</v>
      </c>
      <c r="E18" s="6">
        <v>533.5</v>
      </c>
      <c r="F18" s="6">
        <v>73.55</v>
      </c>
      <c r="G18" s="6">
        <v>73.55</v>
      </c>
      <c r="H18" s="6">
        <v>75.77</v>
      </c>
      <c r="I18" s="6">
        <v>70.915</v>
      </c>
      <c r="J18" s="6">
        <v>74.71</v>
      </c>
      <c r="K18" s="6">
        <v>78.31</v>
      </c>
      <c r="L18" s="6">
        <v>71.07</v>
      </c>
      <c r="M18" s="6">
        <v>69.19</v>
      </c>
      <c r="N18" s="6">
        <v>73.03</v>
      </c>
      <c r="O18" s="6">
        <v>73.38</v>
      </c>
      <c r="P18" s="6">
        <v>67.06</v>
      </c>
      <c r="Q18" s="6">
        <v>69.28</v>
      </c>
    </row>
    <row r="19" spans="1:17">
      <c r="A19" s="5">
        <v>20241023</v>
      </c>
      <c r="B19" s="6">
        <v>70.77</v>
      </c>
      <c r="C19" s="6">
        <v>74.96</v>
      </c>
      <c r="D19" s="6">
        <v>75.02</v>
      </c>
      <c r="E19" s="6">
        <v>543.2</v>
      </c>
      <c r="F19" s="6">
        <v>75.06</v>
      </c>
      <c r="G19" s="6">
        <v>75.06</v>
      </c>
      <c r="H19" s="6">
        <v>74.74</v>
      </c>
      <c r="I19" s="6">
        <v>72.685</v>
      </c>
      <c r="J19" s="6">
        <v>76.51</v>
      </c>
      <c r="K19" s="6">
        <v>80.16</v>
      </c>
      <c r="L19" s="6">
        <v>72.71</v>
      </c>
      <c r="M19" s="6">
        <v>68.21</v>
      </c>
      <c r="N19" s="6">
        <v>74.59</v>
      </c>
      <c r="O19" s="6">
        <v>74.94</v>
      </c>
      <c r="P19" s="6">
        <v>68.91</v>
      </c>
      <c r="Q19" s="6">
        <v>71.29</v>
      </c>
    </row>
    <row r="20" spans="1:17">
      <c r="A20" s="5">
        <v>20241024</v>
      </c>
      <c r="B20" s="6">
        <v>70.19</v>
      </c>
      <c r="C20" s="6">
        <v>74.38</v>
      </c>
      <c r="D20" s="6">
        <v>75.38</v>
      </c>
      <c r="E20" s="6">
        <v>541.9</v>
      </c>
      <c r="F20" s="6">
        <v>75.4</v>
      </c>
      <c r="G20" s="6">
        <v>75.4</v>
      </c>
      <c r="H20" s="6">
        <v>74.515</v>
      </c>
      <c r="I20" s="6">
        <v>73.095</v>
      </c>
      <c r="J20" s="6">
        <v>76.86</v>
      </c>
      <c r="K20" s="6">
        <v>80.51</v>
      </c>
      <c r="L20" s="6">
        <v>73.185</v>
      </c>
      <c r="M20" s="6">
        <v>67.91</v>
      </c>
      <c r="N20" s="6">
        <v>74.89</v>
      </c>
      <c r="O20" s="6">
        <v>75.24</v>
      </c>
      <c r="P20" s="6">
        <v>69.31</v>
      </c>
      <c r="Q20" s="6">
        <v>71.64</v>
      </c>
    </row>
    <row r="21" spans="1:17">
      <c r="A21" s="5">
        <v>20241025</v>
      </c>
      <c r="B21" s="6">
        <v>71.78</v>
      </c>
      <c r="C21" s="6">
        <v>76.05</v>
      </c>
      <c r="D21" s="6">
        <v>74.05</v>
      </c>
      <c r="E21" s="6">
        <v>537.1</v>
      </c>
      <c r="F21" s="6">
        <v>73.55</v>
      </c>
      <c r="G21" s="6">
        <v>73.55</v>
      </c>
      <c r="H21" s="6">
        <v>75.835</v>
      </c>
      <c r="I21" s="6">
        <v>71.385</v>
      </c>
      <c r="J21" s="6">
        <v>75.33</v>
      </c>
      <c r="K21" s="6">
        <v>78.88</v>
      </c>
      <c r="L21" s="6">
        <v>71.39</v>
      </c>
      <c r="M21" s="6">
        <v>69.4</v>
      </c>
      <c r="N21" s="6">
        <v>73.41</v>
      </c>
      <c r="O21" s="6">
        <v>73.76</v>
      </c>
      <c r="P21" s="6">
        <v>67.98</v>
      </c>
      <c r="Q21" s="6">
        <v>70.16</v>
      </c>
    </row>
    <row r="22" spans="1:17">
      <c r="A22" s="5">
        <v>20241028</v>
      </c>
      <c r="B22" s="6">
        <v>67.38</v>
      </c>
      <c r="C22" s="6">
        <v>71.42</v>
      </c>
      <c r="D22" s="6">
        <v>72.25</v>
      </c>
      <c r="E22" s="6">
        <v>536.5</v>
      </c>
      <c r="F22" s="6">
        <v>72</v>
      </c>
      <c r="G22" s="6">
        <v>72</v>
      </c>
      <c r="H22" s="6">
        <v>72.2</v>
      </c>
      <c r="I22" s="6">
        <v>69.5</v>
      </c>
      <c r="J22" s="6">
        <v>73.49</v>
      </c>
      <c r="K22" s="6">
        <v>76.99</v>
      </c>
      <c r="L22" s="6">
        <v>69.415</v>
      </c>
      <c r="M22" s="6">
        <v>65.62</v>
      </c>
      <c r="N22" s="6">
        <v>71.77</v>
      </c>
      <c r="O22" s="6">
        <v>72.12</v>
      </c>
      <c r="P22" s="6">
        <v>66.24</v>
      </c>
      <c r="Q22" s="6">
        <v>68.47</v>
      </c>
    </row>
    <row r="23" spans="1:17">
      <c r="A23" s="5">
        <v>20241029</v>
      </c>
      <c r="B23" s="6">
        <v>67.21</v>
      </c>
      <c r="C23" s="6">
        <v>71.12</v>
      </c>
      <c r="D23" s="6">
        <v>71.15</v>
      </c>
      <c r="E23" s="6">
        <v>516</v>
      </c>
      <c r="F23" s="6">
        <v>70.82</v>
      </c>
      <c r="G23" s="6">
        <v>70.82</v>
      </c>
      <c r="H23" s="6">
        <v>71.4</v>
      </c>
      <c r="I23" s="6">
        <v>68.775</v>
      </c>
      <c r="J23" s="6">
        <v>72.92</v>
      </c>
      <c r="K23" s="6">
        <v>76.12</v>
      </c>
      <c r="L23" s="6">
        <v>68.59</v>
      </c>
      <c r="M23" s="6">
        <v>64.78</v>
      </c>
      <c r="N23" s="6">
        <v>71.07</v>
      </c>
      <c r="O23" s="6">
        <v>71.42</v>
      </c>
      <c r="P23" s="6">
        <v>65.47</v>
      </c>
      <c r="Q23" s="6">
        <v>67.62</v>
      </c>
    </row>
    <row r="24" spans="1:17">
      <c r="A24" s="5">
        <v>20241030</v>
      </c>
      <c r="B24" s="6">
        <v>68.61</v>
      </c>
      <c r="C24" s="6">
        <v>72.55</v>
      </c>
      <c r="D24" s="6">
        <v>71.52</v>
      </c>
      <c r="E24" s="6">
        <v>514.3</v>
      </c>
      <c r="F24" s="6">
        <v>72.01</v>
      </c>
      <c r="G24" s="6">
        <v>72.01</v>
      </c>
      <c r="H24" s="6">
        <v>73.185</v>
      </c>
      <c r="I24" s="6">
        <v>69.045</v>
      </c>
      <c r="J24" s="6">
        <v>73.5</v>
      </c>
      <c r="K24" s="6">
        <v>76.45</v>
      </c>
      <c r="L24" s="6">
        <v>68.85</v>
      </c>
      <c r="M24" s="6">
        <v>66.5</v>
      </c>
      <c r="N24" s="6">
        <v>71.33</v>
      </c>
      <c r="O24" s="6">
        <v>71.68</v>
      </c>
      <c r="P24" s="6">
        <v>65.8</v>
      </c>
      <c r="Q24" s="6">
        <v>68.23</v>
      </c>
    </row>
    <row r="25" spans="1:17">
      <c r="A25" s="5">
        <v>20241031</v>
      </c>
      <c r="B25" s="6">
        <v>69.26</v>
      </c>
      <c r="C25" s="6">
        <v>73.16</v>
      </c>
      <c r="D25" s="6">
        <v>71.65</v>
      </c>
      <c r="E25" s="6">
        <v>520.2</v>
      </c>
      <c r="F25" s="6"/>
      <c r="G25" s="6"/>
      <c r="H25" s="6">
        <v>73.355</v>
      </c>
      <c r="I25" s="6"/>
      <c r="J25" s="6"/>
      <c r="K25" s="6"/>
      <c r="L25" s="6"/>
      <c r="M25" s="6"/>
      <c r="N25" s="6"/>
      <c r="O25" s="6"/>
      <c r="P25" s="6"/>
      <c r="Q25" s="6"/>
    </row>
    <row r="26" spans="1:17">
      <c r="A26" s="7" t="s">
        <v>17</v>
      </c>
      <c r="B26" s="8">
        <f>AVERAGE(B22:B25)</f>
        <v>68.115</v>
      </c>
      <c r="C26" s="8">
        <f t="shared" ref="C26:Q26" si="0">AVERAGE(C22:C25)</f>
        <v>72.0625</v>
      </c>
      <c r="D26" s="8">
        <f t="shared" si="0"/>
        <v>71.6425</v>
      </c>
      <c r="E26" s="8">
        <f t="shared" si="0"/>
        <v>521.75</v>
      </c>
      <c r="F26" s="8">
        <f t="shared" si="0"/>
        <v>71.61</v>
      </c>
      <c r="G26" s="8">
        <f t="shared" si="0"/>
        <v>71.61</v>
      </c>
      <c r="H26" s="8">
        <f t="shared" si="0"/>
        <v>72.535</v>
      </c>
      <c r="I26" s="8">
        <f t="shared" si="0"/>
        <v>69.1066666666667</v>
      </c>
      <c r="J26" s="8">
        <f t="shared" si="0"/>
        <v>73.3033333333333</v>
      </c>
      <c r="K26" s="8">
        <f t="shared" si="0"/>
        <v>76.52</v>
      </c>
      <c r="L26" s="8">
        <f t="shared" si="0"/>
        <v>68.9516666666667</v>
      </c>
      <c r="M26" s="8">
        <f t="shared" si="0"/>
        <v>65.6333333333333</v>
      </c>
      <c r="N26" s="8">
        <f t="shared" si="0"/>
        <v>71.39</v>
      </c>
      <c r="O26" s="8">
        <f t="shared" si="0"/>
        <v>71.74</v>
      </c>
      <c r="P26" s="8">
        <f t="shared" si="0"/>
        <v>65.8366666666667</v>
      </c>
      <c r="Q26" s="8">
        <f t="shared" si="0"/>
        <v>68.1066666666667</v>
      </c>
    </row>
    <row r="27" ht="22.5" spans="1:17">
      <c r="A27" s="3" t="s">
        <v>27</v>
      </c>
      <c r="B27" s="9">
        <f>AVERAGE(B3:B25)</f>
        <v>71.5617391304348</v>
      </c>
      <c r="C27" s="9">
        <f t="shared" ref="C27:Q27" si="1">AVERAGE(C3:C25)</f>
        <v>75.3769565217391</v>
      </c>
      <c r="D27" s="9">
        <f t="shared" si="1"/>
        <v>74.8195652173913</v>
      </c>
      <c r="E27" s="9">
        <f t="shared" si="1"/>
        <v>543.677777777778</v>
      </c>
      <c r="F27" s="9">
        <f t="shared" si="1"/>
        <v>74.94</v>
      </c>
      <c r="G27" s="9">
        <f t="shared" si="1"/>
        <v>74.9595454545454</v>
      </c>
      <c r="H27" s="9">
        <f t="shared" si="1"/>
        <v>75.6586956521739</v>
      </c>
      <c r="I27" s="9">
        <f t="shared" si="1"/>
        <v>72.4434090909091</v>
      </c>
      <c r="J27" s="9">
        <f t="shared" si="1"/>
        <v>75.9359090909091</v>
      </c>
      <c r="K27" s="9">
        <f t="shared" si="1"/>
        <v>79.5654545454546</v>
      </c>
      <c r="L27" s="9">
        <f t="shared" si="1"/>
        <v>72.4747727272727</v>
      </c>
      <c r="M27" s="9">
        <f t="shared" si="1"/>
        <v>68.8318181818182</v>
      </c>
      <c r="N27" s="9">
        <f t="shared" si="1"/>
        <v>74.085</v>
      </c>
      <c r="O27" s="9">
        <f t="shared" si="1"/>
        <v>74.435</v>
      </c>
      <c r="P27" s="9">
        <f t="shared" si="1"/>
        <v>68.6654545454546</v>
      </c>
      <c r="Q27" s="9">
        <f t="shared" si="1"/>
        <v>70.56</v>
      </c>
    </row>
    <row r="28" ht="23.25" spans="1:17">
      <c r="A28" s="10" t="s">
        <v>19</v>
      </c>
      <c r="B28" s="24">
        <f>(B27-B2)/B2</f>
        <v>0.0315577372940972</v>
      </c>
      <c r="C28" s="24">
        <f t="shared" ref="C28:Q28" si="2">(C27-C2)/C2</f>
        <v>0.0343896169722875</v>
      </c>
      <c r="D28" s="24">
        <f t="shared" si="2"/>
        <v>0.0180719938607791</v>
      </c>
      <c r="E28" s="24">
        <f t="shared" si="2"/>
        <v>0.0413813111456118</v>
      </c>
      <c r="F28" s="24">
        <f t="shared" si="2"/>
        <v>0.0194003070365789</v>
      </c>
      <c r="G28" s="24">
        <f t="shared" si="2"/>
        <v>0.0194647703317831</v>
      </c>
      <c r="H28" s="24">
        <f t="shared" si="2"/>
        <v>0.0178821519973172</v>
      </c>
      <c r="I28" s="24">
        <f t="shared" si="2"/>
        <v>0.0224658430652176</v>
      </c>
      <c r="J28" s="24">
        <f t="shared" si="2"/>
        <v>0.00320471760052552</v>
      </c>
      <c r="K28" s="24">
        <f t="shared" si="2"/>
        <v>0.0340466039474616</v>
      </c>
      <c r="L28" s="24">
        <f t="shared" si="2"/>
        <v>0.0179755983885488</v>
      </c>
      <c r="M28" s="24">
        <f t="shared" si="2"/>
        <v>0.0134817294551985</v>
      </c>
      <c r="N28" s="24">
        <f t="shared" si="2"/>
        <v>0.0194315032140117</v>
      </c>
      <c r="O28" s="24">
        <f t="shared" si="2"/>
        <v>0.0193383676344005</v>
      </c>
      <c r="P28" s="24">
        <f t="shared" si="2"/>
        <v>0.00882531024692575</v>
      </c>
      <c r="Q28" s="24">
        <f t="shared" si="2"/>
        <v>0.0466772151898733</v>
      </c>
    </row>
    <row r="29" ht="15"/>
  </sheetData>
  <pageMargins left="0.75" right="0.75" top="1" bottom="1" header="0.5" footer="0.5"/>
  <pageSetup paperSize="9" orientation="portrait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Q27"/>
  <sheetViews>
    <sheetView workbookViewId="0">
      <selection activeCell="E25" sqref="E25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38</v>
      </c>
      <c r="B2" s="9">
        <v>75.4336363636364</v>
      </c>
      <c r="C2" s="9">
        <v>78.875</v>
      </c>
      <c r="D2" s="9">
        <v>77.5372727272728</v>
      </c>
      <c r="E2" s="9">
        <v>561.268181818182</v>
      </c>
      <c r="F2" s="9">
        <v>77.5957142857143</v>
      </c>
      <c r="G2" s="9">
        <v>77.6238095238095</v>
      </c>
      <c r="H2" s="9">
        <v>80.9064285714286</v>
      </c>
      <c r="I2" s="9">
        <v>76.3278571428571</v>
      </c>
      <c r="J2" s="9">
        <v>81.5376190476191</v>
      </c>
      <c r="K2" s="9">
        <v>81.7328571428571</v>
      </c>
      <c r="L2" s="9">
        <v>76.3533333333333</v>
      </c>
      <c r="M2" s="9">
        <v>71.539</v>
      </c>
      <c r="N2" s="9">
        <v>75.586</v>
      </c>
      <c r="O2" s="9">
        <v>75.936</v>
      </c>
      <c r="P2" s="9">
        <v>71.3405</v>
      </c>
      <c r="Q2" s="9">
        <v>71.6252380952381</v>
      </c>
    </row>
    <row r="3" spans="1:17">
      <c r="A3" s="5">
        <v>20240902</v>
      </c>
      <c r="B3" s="6"/>
      <c r="C3" s="6">
        <v>77.52</v>
      </c>
      <c r="D3" s="6">
        <v>76.41</v>
      </c>
      <c r="E3" s="6">
        <v>544.2</v>
      </c>
      <c r="F3" s="6">
        <v>76.49</v>
      </c>
      <c r="G3" s="6">
        <v>76.49</v>
      </c>
      <c r="H3" s="6">
        <v>79.62</v>
      </c>
      <c r="I3" s="6">
        <v>73.72</v>
      </c>
      <c r="J3" s="6">
        <v>79.75</v>
      </c>
      <c r="K3" s="6">
        <v>80.4</v>
      </c>
      <c r="L3" s="6">
        <v>74.035</v>
      </c>
      <c r="M3" s="6">
        <v>71.97</v>
      </c>
      <c r="N3" s="6">
        <v>75.41</v>
      </c>
      <c r="O3" s="6">
        <v>75.76</v>
      </c>
      <c r="P3" s="6">
        <v>71.35</v>
      </c>
      <c r="Q3" s="6">
        <v>70.26</v>
      </c>
    </row>
    <row r="4" spans="1:17">
      <c r="A4" s="5">
        <v>20240903</v>
      </c>
      <c r="B4" s="6">
        <v>70.34</v>
      </c>
      <c r="C4" s="6">
        <v>73.75</v>
      </c>
      <c r="D4" s="6">
        <v>76.63</v>
      </c>
      <c r="E4" s="6">
        <v>547.4</v>
      </c>
      <c r="F4" s="6">
        <v>76.63</v>
      </c>
      <c r="G4" s="6">
        <v>76.66</v>
      </c>
      <c r="H4" s="6">
        <v>75.83</v>
      </c>
      <c r="I4" s="6">
        <v>74.725</v>
      </c>
      <c r="J4" s="6">
        <v>79.87</v>
      </c>
      <c r="K4" s="6">
        <v>80.52</v>
      </c>
      <c r="L4" s="6">
        <v>75.305</v>
      </c>
      <c r="M4" s="6">
        <v>69.1</v>
      </c>
      <c r="N4" s="6">
        <v>75.66</v>
      </c>
      <c r="O4" s="6">
        <v>76.01</v>
      </c>
      <c r="P4" s="6">
        <v>71.47</v>
      </c>
      <c r="Q4" s="6">
        <v>70.51</v>
      </c>
    </row>
    <row r="5" spans="1:17">
      <c r="A5" s="5">
        <v>20240904</v>
      </c>
      <c r="B5" s="6">
        <v>69.2</v>
      </c>
      <c r="C5" s="6">
        <v>72.7</v>
      </c>
      <c r="D5" s="6">
        <v>73.39</v>
      </c>
      <c r="E5" s="6">
        <v>528.4</v>
      </c>
      <c r="F5" s="6">
        <v>73.38</v>
      </c>
      <c r="G5" s="6">
        <v>73.38</v>
      </c>
      <c r="H5" s="6">
        <v>75.225</v>
      </c>
      <c r="I5" s="6">
        <v>71.15</v>
      </c>
      <c r="J5" s="6">
        <v>76.44</v>
      </c>
      <c r="K5" s="6">
        <v>77.14</v>
      </c>
      <c r="L5" s="6">
        <v>71.66</v>
      </c>
      <c r="M5" s="6">
        <v>68.57</v>
      </c>
      <c r="N5" s="6">
        <v>72.39</v>
      </c>
      <c r="O5" s="6">
        <v>72.74</v>
      </c>
      <c r="P5" s="6">
        <v>68.14</v>
      </c>
      <c r="Q5" s="6">
        <v>67.24</v>
      </c>
    </row>
    <row r="6" spans="1:17">
      <c r="A6" s="5">
        <v>20240905</v>
      </c>
      <c r="B6" s="6">
        <v>69.15</v>
      </c>
      <c r="C6" s="6">
        <v>72.69</v>
      </c>
      <c r="D6" s="6">
        <v>73.41</v>
      </c>
      <c r="E6" s="6">
        <v>523.2</v>
      </c>
      <c r="F6" s="6">
        <v>73.39</v>
      </c>
      <c r="G6" s="6">
        <v>73.41</v>
      </c>
      <c r="H6" s="6">
        <v>75.04</v>
      </c>
      <c r="I6" s="6">
        <v>71.305</v>
      </c>
      <c r="J6" s="6">
        <v>76.38</v>
      </c>
      <c r="K6" s="6">
        <v>77.18</v>
      </c>
      <c r="L6" s="6">
        <v>71.935</v>
      </c>
      <c r="M6" s="6">
        <v>68.48</v>
      </c>
      <c r="N6" s="6">
        <v>72.43</v>
      </c>
      <c r="O6" s="6">
        <v>72.78</v>
      </c>
      <c r="P6" s="6">
        <v>68.13</v>
      </c>
      <c r="Q6" s="6">
        <v>67.28</v>
      </c>
    </row>
    <row r="7" spans="1:17">
      <c r="A7" s="5">
        <v>20240906</v>
      </c>
      <c r="B7" s="6">
        <v>67.67</v>
      </c>
      <c r="C7" s="6">
        <v>71.06</v>
      </c>
      <c r="D7" s="6">
        <v>73.37</v>
      </c>
      <c r="E7" s="6">
        <v>521.8</v>
      </c>
      <c r="F7" s="6">
        <v>73.41</v>
      </c>
      <c r="G7" s="6">
        <v>73.45</v>
      </c>
      <c r="H7" s="6">
        <v>73.025</v>
      </c>
      <c r="I7" s="6">
        <v>71.19</v>
      </c>
      <c r="J7" s="6">
        <v>76.34</v>
      </c>
      <c r="K7" s="6">
        <v>77.14</v>
      </c>
      <c r="L7" s="6">
        <v>71.745</v>
      </c>
      <c r="M7" s="6">
        <v>66.83</v>
      </c>
      <c r="N7" s="6">
        <v>72.4</v>
      </c>
      <c r="O7" s="6">
        <v>72.75</v>
      </c>
      <c r="P7" s="6">
        <v>68.04</v>
      </c>
      <c r="Q7" s="6">
        <v>67.3</v>
      </c>
    </row>
    <row r="8" spans="1:17">
      <c r="A8" s="5">
        <v>20240909</v>
      </c>
      <c r="B8" s="6">
        <v>68.71</v>
      </c>
      <c r="C8" s="6">
        <v>71.84</v>
      </c>
      <c r="D8" s="6">
        <v>72.32</v>
      </c>
      <c r="E8" s="6">
        <v>512</v>
      </c>
      <c r="F8" s="6">
        <v>72.28</v>
      </c>
      <c r="G8" s="6">
        <v>72.33</v>
      </c>
      <c r="H8" s="6">
        <v>72.125</v>
      </c>
      <c r="I8" s="6">
        <v>69.97</v>
      </c>
      <c r="J8" s="6">
        <v>75.11</v>
      </c>
      <c r="K8" s="6">
        <v>75.86</v>
      </c>
      <c r="L8" s="6">
        <v>70.42</v>
      </c>
      <c r="M8" s="6">
        <v>66.02</v>
      </c>
      <c r="N8" s="6">
        <v>71.29</v>
      </c>
      <c r="O8" s="6">
        <v>71.64</v>
      </c>
      <c r="P8" s="6">
        <v>66.81</v>
      </c>
      <c r="Q8" s="6">
        <v>66.19</v>
      </c>
    </row>
    <row r="9" spans="1:17">
      <c r="A9" s="5">
        <v>20240910</v>
      </c>
      <c r="B9" s="6">
        <v>65.75</v>
      </c>
      <c r="C9" s="6">
        <v>69.19</v>
      </c>
      <c r="D9" s="6">
        <v>71.84</v>
      </c>
      <c r="E9" s="6">
        <v>510</v>
      </c>
      <c r="F9" s="6">
        <v>71.88</v>
      </c>
      <c r="G9" s="6">
        <v>71.88</v>
      </c>
      <c r="H9" s="6">
        <v>70.56</v>
      </c>
      <c r="I9" s="6">
        <v>69.43</v>
      </c>
      <c r="J9" s="6">
        <v>74.49</v>
      </c>
      <c r="K9" s="6">
        <v>75.24</v>
      </c>
      <c r="L9" s="6">
        <v>69.8</v>
      </c>
      <c r="M9" s="6">
        <v>64.3</v>
      </c>
      <c r="N9" s="6">
        <v>70.81</v>
      </c>
      <c r="O9" s="6">
        <v>71.16</v>
      </c>
      <c r="P9" s="6">
        <v>66.24</v>
      </c>
      <c r="Q9" s="6">
        <v>65.71</v>
      </c>
    </row>
    <row r="10" spans="1:17">
      <c r="A10" s="5">
        <v>20240911</v>
      </c>
      <c r="B10" s="6">
        <v>67.31</v>
      </c>
      <c r="C10" s="6">
        <v>70.61</v>
      </c>
      <c r="D10" s="6">
        <v>70.85</v>
      </c>
      <c r="E10" s="6">
        <v>500.4</v>
      </c>
      <c r="F10" s="6">
        <v>70.95</v>
      </c>
      <c r="G10" s="6">
        <v>71.01</v>
      </c>
      <c r="H10" s="6">
        <v>71.075</v>
      </c>
      <c r="I10" s="6">
        <v>68.19</v>
      </c>
      <c r="J10" s="6">
        <v>73.5</v>
      </c>
      <c r="K10" s="6">
        <v>74.3</v>
      </c>
      <c r="L10" s="6">
        <v>68.545</v>
      </c>
      <c r="M10" s="6">
        <v>64.44</v>
      </c>
      <c r="N10" s="6">
        <v>69.99</v>
      </c>
      <c r="O10" s="6">
        <v>70.34</v>
      </c>
      <c r="P10" s="6">
        <v>65.35</v>
      </c>
      <c r="Q10" s="6">
        <v>64.84</v>
      </c>
    </row>
    <row r="11" spans="1:17">
      <c r="A11" s="5">
        <v>20240912</v>
      </c>
      <c r="B11" s="6">
        <v>68.97</v>
      </c>
      <c r="C11" s="6">
        <v>71.97</v>
      </c>
      <c r="D11" s="6">
        <v>71.92</v>
      </c>
      <c r="E11" s="6">
        <v>502.9</v>
      </c>
      <c r="F11" s="6">
        <v>71.9</v>
      </c>
      <c r="G11" s="6">
        <v>71.92</v>
      </c>
      <c r="H11" s="6">
        <v>74.55</v>
      </c>
      <c r="I11" s="6">
        <v>69.26</v>
      </c>
      <c r="J11" s="6">
        <v>74.43</v>
      </c>
      <c r="K11" s="6">
        <v>75.18</v>
      </c>
      <c r="L11" s="6">
        <v>69.445</v>
      </c>
      <c r="M11" s="6">
        <v>67.57</v>
      </c>
      <c r="N11" s="6">
        <v>70.95</v>
      </c>
      <c r="O11" s="6">
        <v>71.3</v>
      </c>
      <c r="P11" s="6">
        <v>66.38</v>
      </c>
      <c r="Q11" s="6">
        <v>65.75</v>
      </c>
    </row>
    <row r="12" spans="1:17">
      <c r="A12" s="5">
        <v>20240913</v>
      </c>
      <c r="B12" s="6">
        <v>68.65</v>
      </c>
      <c r="C12" s="6">
        <v>71.61</v>
      </c>
      <c r="D12" s="6">
        <v>72.72</v>
      </c>
      <c r="E12" s="6">
        <v>513.4</v>
      </c>
      <c r="F12" s="6">
        <v>72.79</v>
      </c>
      <c r="G12" s="6">
        <v>72.85</v>
      </c>
      <c r="H12" s="6">
        <v>73.995</v>
      </c>
      <c r="I12" s="6">
        <v>70.29</v>
      </c>
      <c r="J12" s="6">
        <v>75.28</v>
      </c>
      <c r="K12" s="6">
        <v>76.08</v>
      </c>
      <c r="L12" s="6">
        <v>70.45</v>
      </c>
      <c r="M12" s="6">
        <v>67.25</v>
      </c>
      <c r="N12" s="6">
        <v>71.9</v>
      </c>
      <c r="O12" s="6">
        <v>72.25</v>
      </c>
      <c r="P12" s="6">
        <v>67.33</v>
      </c>
      <c r="Q12" s="6">
        <v>66.65</v>
      </c>
    </row>
    <row r="13" spans="1:17">
      <c r="A13" s="5">
        <v>20240916</v>
      </c>
      <c r="B13" s="6">
        <v>70.09</v>
      </c>
      <c r="C13" s="6">
        <v>72.75</v>
      </c>
      <c r="D13" s="6">
        <v>72.44</v>
      </c>
      <c r="E13" s="6"/>
      <c r="F13" s="6">
        <v>72.455</v>
      </c>
      <c r="G13" s="6">
        <v>72.48</v>
      </c>
      <c r="H13" s="6">
        <v>73.865</v>
      </c>
      <c r="I13" s="6">
        <v>69.895</v>
      </c>
      <c r="J13" s="6">
        <v>74.88</v>
      </c>
      <c r="K13" s="6">
        <v>75.73</v>
      </c>
      <c r="L13" s="6">
        <v>70.055</v>
      </c>
      <c r="M13" s="6">
        <v>67.57</v>
      </c>
      <c r="N13" s="6">
        <v>71.58</v>
      </c>
      <c r="O13" s="6">
        <v>71.93</v>
      </c>
      <c r="P13" s="6">
        <v>67.08</v>
      </c>
      <c r="Q13" s="6">
        <v>66.23</v>
      </c>
    </row>
    <row r="14" spans="1:17">
      <c r="A14" s="5">
        <v>20240917</v>
      </c>
      <c r="B14" s="6">
        <v>71.19</v>
      </c>
      <c r="C14" s="6">
        <v>73.7</v>
      </c>
      <c r="D14" s="6">
        <v>73.28</v>
      </c>
      <c r="E14" s="6"/>
      <c r="F14" s="6">
        <v>73.3</v>
      </c>
      <c r="G14" s="6">
        <v>73.3</v>
      </c>
      <c r="H14" s="6">
        <v>74.715</v>
      </c>
      <c r="I14" s="6">
        <v>70.535</v>
      </c>
      <c r="J14" s="6">
        <v>75.55</v>
      </c>
      <c r="K14" s="6">
        <v>76.45</v>
      </c>
      <c r="L14" s="6">
        <v>70.785</v>
      </c>
      <c r="M14" s="6">
        <v>68.37</v>
      </c>
      <c r="N14" s="6">
        <v>72.32</v>
      </c>
      <c r="O14" s="6">
        <v>72.67</v>
      </c>
      <c r="P14" s="6">
        <v>67.8</v>
      </c>
      <c r="Q14" s="6">
        <v>67.02</v>
      </c>
    </row>
    <row r="15" spans="1:17">
      <c r="A15" s="5">
        <v>20240918</v>
      </c>
      <c r="B15" s="6">
        <v>70.91</v>
      </c>
      <c r="C15" s="6">
        <v>73.65</v>
      </c>
      <c r="D15" s="6">
        <v>73.46</v>
      </c>
      <c r="E15" s="6">
        <v>517.9</v>
      </c>
      <c r="F15" s="6">
        <v>73.45</v>
      </c>
      <c r="G15" s="6">
        <v>73.45</v>
      </c>
      <c r="H15" s="6">
        <v>75.08</v>
      </c>
      <c r="I15" s="6">
        <v>70.435</v>
      </c>
      <c r="J15" s="6">
        <v>75.23</v>
      </c>
      <c r="K15" s="6">
        <v>76.48</v>
      </c>
      <c r="L15" s="6">
        <v>70.57</v>
      </c>
      <c r="M15" s="6">
        <v>68.41</v>
      </c>
      <c r="N15" s="6">
        <v>72.31</v>
      </c>
      <c r="O15" s="6">
        <v>72.66</v>
      </c>
      <c r="P15" s="6">
        <v>67.88</v>
      </c>
      <c r="Q15" s="6">
        <v>67.06</v>
      </c>
    </row>
    <row r="16" spans="1:17">
      <c r="A16" s="5">
        <v>20240919</v>
      </c>
      <c r="B16" s="6">
        <v>71.95</v>
      </c>
      <c r="C16" s="6">
        <v>74.88</v>
      </c>
      <c r="D16" s="6">
        <v>74.82</v>
      </c>
      <c r="E16" s="6">
        <v>516.6</v>
      </c>
      <c r="F16" s="6">
        <v>74.845</v>
      </c>
      <c r="G16" s="6">
        <v>74.845</v>
      </c>
      <c r="H16" s="6">
        <v>76.58</v>
      </c>
      <c r="I16" s="6">
        <v>71.77</v>
      </c>
      <c r="J16" s="6">
        <v>76.41</v>
      </c>
      <c r="K16" s="6">
        <v>77.86</v>
      </c>
      <c r="L16" s="6">
        <v>71.92</v>
      </c>
      <c r="M16" s="6">
        <v>69.61</v>
      </c>
      <c r="N16" s="6">
        <v>73.69</v>
      </c>
      <c r="O16" s="6">
        <v>74.04</v>
      </c>
      <c r="P16" s="6">
        <v>69.21</v>
      </c>
      <c r="Q16" s="6">
        <v>68.44</v>
      </c>
    </row>
    <row r="17" spans="1:17">
      <c r="A17" s="5">
        <v>20240920</v>
      </c>
      <c r="B17" s="6">
        <v>71.92</v>
      </c>
      <c r="C17" s="6">
        <v>74.49</v>
      </c>
      <c r="D17" s="6">
        <v>74.4</v>
      </c>
      <c r="E17" s="6">
        <v>524.3</v>
      </c>
      <c r="F17" s="6">
        <v>74.19</v>
      </c>
      <c r="G17" s="6">
        <v>74.19</v>
      </c>
      <c r="H17" s="6">
        <v>76.01</v>
      </c>
      <c r="I17" s="6">
        <v>71.77</v>
      </c>
      <c r="J17" s="6">
        <v>76.14</v>
      </c>
      <c r="K17" s="6">
        <v>77.79</v>
      </c>
      <c r="L17" s="6">
        <v>72.25</v>
      </c>
      <c r="M17" s="6">
        <v>69.38</v>
      </c>
      <c r="N17" s="6">
        <v>73.9</v>
      </c>
      <c r="O17" s="6">
        <v>74.25</v>
      </c>
      <c r="P17" s="6">
        <v>69.14</v>
      </c>
      <c r="Q17" s="6">
        <v>68.15</v>
      </c>
    </row>
    <row r="18" spans="1:17">
      <c r="A18" s="5">
        <v>20240923</v>
      </c>
      <c r="B18" s="6">
        <v>70.37</v>
      </c>
      <c r="C18" s="6">
        <v>73.9</v>
      </c>
      <c r="D18" s="6">
        <v>74.36</v>
      </c>
      <c r="E18" s="6">
        <v>522.7</v>
      </c>
      <c r="F18" s="6">
        <v>74.27</v>
      </c>
      <c r="G18" s="6">
        <v>74.27</v>
      </c>
      <c r="H18" s="6">
        <v>75.17</v>
      </c>
      <c r="I18" s="6">
        <v>71.775</v>
      </c>
      <c r="J18" s="6">
        <v>76.11</v>
      </c>
      <c r="K18" s="6">
        <v>77.96</v>
      </c>
      <c r="L18" s="6">
        <v>72.31</v>
      </c>
      <c r="M18" s="6">
        <v>68.94</v>
      </c>
      <c r="N18" s="6">
        <v>73.89</v>
      </c>
      <c r="O18" s="6">
        <v>74.24</v>
      </c>
      <c r="P18" s="6">
        <v>69.26</v>
      </c>
      <c r="Q18" s="6">
        <v>68.19</v>
      </c>
    </row>
    <row r="19" spans="1:17">
      <c r="A19" s="5">
        <v>20240924</v>
      </c>
      <c r="B19" s="6">
        <v>71.56</v>
      </c>
      <c r="C19" s="6">
        <v>75.17</v>
      </c>
      <c r="D19" s="6">
        <v>75.07</v>
      </c>
      <c r="E19" s="6">
        <v>522.9</v>
      </c>
      <c r="F19" s="6">
        <v>74.85</v>
      </c>
      <c r="G19" s="6">
        <v>74.85</v>
      </c>
      <c r="H19" s="6">
        <v>75.82</v>
      </c>
      <c r="I19" s="6">
        <v>72.26</v>
      </c>
      <c r="J19" s="6">
        <v>76.62</v>
      </c>
      <c r="K19" s="6">
        <v>78.52</v>
      </c>
      <c r="L19" s="6">
        <v>72.85</v>
      </c>
      <c r="M19" s="6">
        <v>69.74</v>
      </c>
      <c r="N19" s="6">
        <v>74.62</v>
      </c>
      <c r="O19" s="6">
        <v>74.97</v>
      </c>
      <c r="P19" s="6">
        <v>69.77</v>
      </c>
      <c r="Q19" s="6">
        <v>68.92</v>
      </c>
    </row>
    <row r="20" spans="1:17">
      <c r="A20" s="5">
        <v>20240925</v>
      </c>
      <c r="B20" s="6">
        <v>69.69</v>
      </c>
      <c r="C20" s="6">
        <v>73.46</v>
      </c>
      <c r="D20" s="6">
        <v>75.15</v>
      </c>
      <c r="E20" s="6">
        <v>531.1</v>
      </c>
      <c r="F20" s="6">
        <v>74.99</v>
      </c>
      <c r="G20" s="6">
        <v>74.99</v>
      </c>
      <c r="H20" s="6">
        <v>75.265</v>
      </c>
      <c r="I20" s="6">
        <v>72.205</v>
      </c>
      <c r="J20" s="6">
        <v>76.7</v>
      </c>
      <c r="K20" s="6">
        <v>78.55</v>
      </c>
      <c r="L20" s="6">
        <v>72.55</v>
      </c>
      <c r="M20" s="6">
        <v>69.54</v>
      </c>
      <c r="N20" s="6">
        <v>74.66</v>
      </c>
      <c r="O20" s="6">
        <v>75.01</v>
      </c>
      <c r="P20" s="6">
        <v>69.85</v>
      </c>
      <c r="Q20" s="6">
        <v>69.01</v>
      </c>
    </row>
    <row r="21" spans="1:17">
      <c r="A21" s="5">
        <v>20240926</v>
      </c>
      <c r="B21" s="6">
        <v>67.67</v>
      </c>
      <c r="C21" s="6">
        <v>71.6</v>
      </c>
      <c r="D21" s="6">
        <v>72.21</v>
      </c>
      <c r="E21" s="6">
        <v>532</v>
      </c>
      <c r="F21" s="6">
        <v>72.295</v>
      </c>
      <c r="G21" s="6">
        <v>72.295</v>
      </c>
      <c r="H21" s="6">
        <v>72.5</v>
      </c>
      <c r="I21" s="6">
        <v>68.98</v>
      </c>
      <c r="J21" s="6">
        <v>73.79</v>
      </c>
      <c r="K21" s="6">
        <v>75.64</v>
      </c>
      <c r="L21" s="6">
        <v>69.195</v>
      </c>
      <c r="M21" s="6">
        <v>67.18</v>
      </c>
      <c r="N21" s="6">
        <v>71.85</v>
      </c>
      <c r="O21" s="6">
        <v>72.2</v>
      </c>
      <c r="P21" s="6">
        <v>66.99</v>
      </c>
      <c r="Q21" s="6">
        <v>66.15</v>
      </c>
    </row>
    <row r="22" spans="1:17">
      <c r="A22" s="5">
        <v>20240927</v>
      </c>
      <c r="B22" s="6">
        <v>68.18</v>
      </c>
      <c r="C22" s="6">
        <v>71.98</v>
      </c>
      <c r="D22" s="6">
        <v>72.47</v>
      </c>
      <c r="E22" s="6">
        <v>520.8</v>
      </c>
      <c r="F22" s="6">
        <v>72.715</v>
      </c>
      <c r="G22" s="6">
        <v>72.715</v>
      </c>
      <c r="H22" s="6">
        <v>71.975</v>
      </c>
      <c r="I22" s="6">
        <v>69</v>
      </c>
      <c r="J22" s="6">
        <v>72.94</v>
      </c>
      <c r="K22" s="6">
        <v>75.39</v>
      </c>
      <c r="L22" s="6">
        <v>69.11</v>
      </c>
      <c r="M22" s="6">
        <v>66.24</v>
      </c>
      <c r="N22" s="6">
        <v>71.76</v>
      </c>
      <c r="O22" s="6">
        <v>72.11</v>
      </c>
      <c r="P22" s="6">
        <v>66.34</v>
      </c>
      <c r="Q22" s="6">
        <v>66.66</v>
      </c>
    </row>
    <row r="23" spans="1:17">
      <c r="A23" s="5">
        <v>20240930</v>
      </c>
      <c r="B23" s="6">
        <v>68.17</v>
      </c>
      <c r="C23" s="6">
        <v>71.77</v>
      </c>
      <c r="D23" s="6">
        <v>72.8</v>
      </c>
      <c r="E23" s="6">
        <v>527.4</v>
      </c>
      <c r="F23" s="6">
        <v>73.33</v>
      </c>
      <c r="G23" s="6">
        <v>73.33</v>
      </c>
      <c r="H23" s="6">
        <v>72.895</v>
      </c>
      <c r="I23" s="6">
        <v>70.03</v>
      </c>
      <c r="J23" s="6">
        <v>73.6</v>
      </c>
      <c r="K23" s="6">
        <v>76.45</v>
      </c>
      <c r="L23" s="6">
        <v>70.16</v>
      </c>
      <c r="M23" s="6">
        <v>66.73</v>
      </c>
      <c r="N23" s="6">
        <v>72.32</v>
      </c>
      <c r="O23" s="6">
        <v>72.67</v>
      </c>
      <c r="P23" s="6">
        <v>66.8</v>
      </c>
      <c r="Q23" s="6">
        <v>68.12</v>
      </c>
    </row>
    <row r="24" spans="1:17">
      <c r="A24" s="7" t="s">
        <v>17</v>
      </c>
      <c r="B24" s="8">
        <f>AVERAGE(B23)</f>
        <v>68.17</v>
      </c>
      <c r="C24" s="8">
        <f t="shared" ref="C24:Q24" si="0">AVERAGE(C23)</f>
        <v>71.77</v>
      </c>
      <c r="D24" s="8">
        <f t="shared" si="0"/>
        <v>72.8</v>
      </c>
      <c r="E24" s="8">
        <f t="shared" si="0"/>
        <v>527.4</v>
      </c>
      <c r="F24" s="8">
        <f t="shared" si="0"/>
        <v>73.33</v>
      </c>
      <c r="G24" s="8">
        <f t="shared" si="0"/>
        <v>73.33</v>
      </c>
      <c r="H24" s="8">
        <f t="shared" si="0"/>
        <v>72.895</v>
      </c>
      <c r="I24" s="8">
        <f t="shared" si="0"/>
        <v>70.03</v>
      </c>
      <c r="J24" s="8">
        <f t="shared" si="0"/>
        <v>73.6</v>
      </c>
      <c r="K24" s="8">
        <f t="shared" si="0"/>
        <v>76.45</v>
      </c>
      <c r="L24" s="8">
        <f t="shared" si="0"/>
        <v>70.16</v>
      </c>
      <c r="M24" s="8">
        <f t="shared" si="0"/>
        <v>66.73</v>
      </c>
      <c r="N24" s="8">
        <f t="shared" si="0"/>
        <v>72.32</v>
      </c>
      <c r="O24" s="8">
        <f t="shared" si="0"/>
        <v>72.67</v>
      </c>
      <c r="P24" s="8">
        <f t="shared" si="0"/>
        <v>66.8</v>
      </c>
      <c r="Q24" s="8">
        <f t="shared" si="0"/>
        <v>68.12</v>
      </c>
    </row>
    <row r="25" ht="22.5" spans="1:17">
      <c r="A25" s="3" t="s">
        <v>29</v>
      </c>
      <c r="B25" s="9">
        <f>AVERAGE(B3:B23)</f>
        <v>69.3725</v>
      </c>
      <c r="C25" s="9">
        <f t="shared" ref="C25:Q25" si="1">AVERAGE(C3:C23)</f>
        <v>72.8709523809524</v>
      </c>
      <c r="D25" s="9">
        <f t="shared" si="1"/>
        <v>73.4914285714286</v>
      </c>
      <c r="E25" s="9">
        <f t="shared" si="1"/>
        <v>522.073684210526</v>
      </c>
      <c r="F25" s="9">
        <f t="shared" si="1"/>
        <v>73.5138095238095</v>
      </c>
      <c r="G25" s="9">
        <f t="shared" si="1"/>
        <v>73.5283333333333</v>
      </c>
      <c r="H25" s="9">
        <f t="shared" si="1"/>
        <v>74.3295238095238</v>
      </c>
      <c r="I25" s="9">
        <f t="shared" si="1"/>
        <v>70.8516666666667</v>
      </c>
      <c r="J25" s="9">
        <f t="shared" si="1"/>
        <v>75.6933333333333</v>
      </c>
      <c r="K25" s="9">
        <f t="shared" si="1"/>
        <v>76.9457142857143</v>
      </c>
      <c r="L25" s="9">
        <f t="shared" si="1"/>
        <v>71.195</v>
      </c>
      <c r="M25" s="9">
        <f t="shared" si="1"/>
        <v>67.9161904761905</v>
      </c>
      <c r="N25" s="9">
        <f t="shared" si="1"/>
        <v>72.6728571428572</v>
      </c>
      <c r="O25" s="9">
        <f t="shared" si="1"/>
        <v>73.0228571428571</v>
      </c>
      <c r="P25" s="9">
        <f t="shared" si="1"/>
        <v>68.0647619047619</v>
      </c>
      <c r="Q25" s="9">
        <f t="shared" si="1"/>
        <v>67.4133333333333</v>
      </c>
    </row>
    <row r="26" ht="23.25" spans="1:17">
      <c r="A26" s="10" t="s">
        <v>19</v>
      </c>
      <c r="B26" s="23">
        <f>(B25-B2)/B2</f>
        <v>-0.0803505790761295</v>
      </c>
      <c r="C26" s="23">
        <f t="shared" ref="C26:Q26" si="2">(C25-C2)/C2</f>
        <v>-0.0761210474681159</v>
      </c>
      <c r="D26" s="23">
        <f t="shared" si="2"/>
        <v>-0.0521793456686942</v>
      </c>
      <c r="E26" s="23">
        <f t="shared" si="2"/>
        <v>-0.0698320319542938</v>
      </c>
      <c r="F26" s="23">
        <f t="shared" si="2"/>
        <v>-0.0526047707593084</v>
      </c>
      <c r="G26" s="23">
        <f t="shared" si="2"/>
        <v>-0.0527605668363906</v>
      </c>
      <c r="H26" s="23">
        <f t="shared" si="2"/>
        <v>-0.0812902618250948</v>
      </c>
      <c r="I26" s="23">
        <f t="shared" si="2"/>
        <v>-0.0717456336543171</v>
      </c>
      <c r="J26" s="23">
        <f t="shared" si="2"/>
        <v>-0.0716759427433441</v>
      </c>
      <c r="K26" s="23">
        <f t="shared" si="2"/>
        <v>-0.0585706045828743</v>
      </c>
      <c r="L26" s="23">
        <f t="shared" si="2"/>
        <v>-0.0675587182397627</v>
      </c>
      <c r="M26" s="23">
        <f t="shared" si="2"/>
        <v>-0.0506410422819652</v>
      </c>
      <c r="N26" s="23">
        <f t="shared" si="2"/>
        <v>-0.0385407728566511</v>
      </c>
      <c r="O26" s="23">
        <f t="shared" si="2"/>
        <v>-0.0383631328637654</v>
      </c>
      <c r="P26" s="23">
        <f t="shared" si="2"/>
        <v>-0.0459169489313659</v>
      </c>
      <c r="Q26" s="23">
        <f t="shared" si="2"/>
        <v>-0.0588047575674973</v>
      </c>
    </row>
    <row r="27" ht="15"/>
  </sheetData>
  <pageMargins left="0.75" right="0.75" top="1" bottom="1" header="0.5" footer="0.5"/>
  <pageSetup paperSize="9" orientation="portrait"/>
  <headerFooter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Q28"/>
  <sheetViews>
    <sheetView workbookViewId="0">
      <selection activeCell="E26" sqref="E26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31</v>
      </c>
      <c r="B2" s="9">
        <v>80.4813636363636</v>
      </c>
      <c r="C2" s="9">
        <v>83.8791304347826</v>
      </c>
      <c r="D2" s="9">
        <v>83.8513043478261</v>
      </c>
      <c r="E2" s="9">
        <v>610.995652173913</v>
      </c>
      <c r="F2" s="9">
        <v>83.8297826086957</v>
      </c>
      <c r="G2" s="9">
        <v>83.8323913043478</v>
      </c>
      <c r="H2" s="9">
        <v>85.3058695652174</v>
      </c>
      <c r="I2" s="9">
        <v>81.4576086956522</v>
      </c>
      <c r="J2" s="9">
        <v>85.1604347826087</v>
      </c>
      <c r="K2" s="9">
        <v>87.225652173913</v>
      </c>
      <c r="L2" s="9">
        <v>81.1380434782609</v>
      </c>
      <c r="M2" s="9">
        <v>75.4882608695652</v>
      </c>
      <c r="N2" s="9">
        <v>79.8678260869565</v>
      </c>
      <c r="O2" s="9">
        <v>80.2178260869565</v>
      </c>
      <c r="P2" s="9">
        <v>75.4626086956522</v>
      </c>
      <c r="Q2" s="9">
        <v>78.3939130434783</v>
      </c>
    </row>
    <row r="3" spans="1:17">
      <c r="A3" s="5">
        <v>20240801</v>
      </c>
      <c r="B3" s="6">
        <v>76.31</v>
      </c>
      <c r="C3" s="6">
        <v>79.52</v>
      </c>
      <c r="D3" s="6">
        <v>80.61</v>
      </c>
      <c r="E3" s="6">
        <v>586.6</v>
      </c>
      <c r="F3" s="6">
        <v>80.54</v>
      </c>
      <c r="G3" s="6">
        <v>80.54</v>
      </c>
      <c r="H3" s="6">
        <v>81.825</v>
      </c>
      <c r="I3" s="6">
        <v>78.49</v>
      </c>
      <c r="J3" s="6">
        <v>84.25</v>
      </c>
      <c r="K3" s="6">
        <v>83.9</v>
      </c>
      <c r="L3" s="6">
        <v>78.18</v>
      </c>
      <c r="M3" s="6">
        <v>72.7</v>
      </c>
      <c r="N3" s="6">
        <v>77.35</v>
      </c>
      <c r="O3" s="6">
        <v>77.7</v>
      </c>
      <c r="P3" s="6">
        <v>73</v>
      </c>
      <c r="Q3" s="6">
        <v>74.5</v>
      </c>
    </row>
    <row r="4" spans="1:17">
      <c r="A4" s="5">
        <v>20240802</v>
      </c>
      <c r="B4" s="6">
        <v>73.52</v>
      </c>
      <c r="C4" s="6">
        <v>76.81</v>
      </c>
      <c r="D4" s="6">
        <v>79.2</v>
      </c>
      <c r="E4" s="6">
        <v>586.2</v>
      </c>
      <c r="F4" s="6">
        <v>79.23</v>
      </c>
      <c r="G4" s="6">
        <v>79.23</v>
      </c>
      <c r="H4" s="6">
        <v>78.265</v>
      </c>
      <c r="I4" s="6">
        <v>77.26</v>
      </c>
      <c r="J4" s="6">
        <v>83.09</v>
      </c>
      <c r="K4" s="6">
        <v>82.84</v>
      </c>
      <c r="L4" s="6">
        <v>76.99</v>
      </c>
      <c r="M4" s="6">
        <v>69.29</v>
      </c>
      <c r="N4" s="6">
        <v>76.17</v>
      </c>
      <c r="O4" s="6">
        <v>76.52</v>
      </c>
      <c r="P4" s="6">
        <v>71.94</v>
      </c>
      <c r="Q4" s="6">
        <v>73.22</v>
      </c>
    </row>
    <row r="5" spans="1:17">
      <c r="A5" s="5">
        <v>20240805</v>
      </c>
      <c r="B5" s="6">
        <v>72.94</v>
      </c>
      <c r="C5" s="6">
        <v>76.3</v>
      </c>
      <c r="D5" s="6">
        <v>74.55</v>
      </c>
      <c r="E5" s="6">
        <v>557.6</v>
      </c>
      <c r="F5" s="6">
        <v>74.49</v>
      </c>
      <c r="G5" s="6">
        <v>74.49</v>
      </c>
      <c r="H5" s="6">
        <v>76.7</v>
      </c>
      <c r="I5" s="6">
        <v>73.23</v>
      </c>
      <c r="J5" s="6">
        <v>79.12</v>
      </c>
      <c r="K5" s="6">
        <v>78.92</v>
      </c>
      <c r="L5" s="6">
        <v>72.94</v>
      </c>
      <c r="M5" s="6">
        <v>68.84</v>
      </c>
      <c r="N5" s="6">
        <v>71.79</v>
      </c>
      <c r="O5" s="6">
        <v>72.14</v>
      </c>
      <c r="P5" s="6">
        <v>68.02</v>
      </c>
      <c r="Q5" s="6">
        <v>68.74</v>
      </c>
    </row>
    <row r="6" spans="1:17">
      <c r="A6" s="5">
        <v>20240806</v>
      </c>
      <c r="B6" s="6">
        <v>73.2</v>
      </c>
      <c r="C6" s="6">
        <v>76.48</v>
      </c>
      <c r="D6" s="6">
        <v>75.01</v>
      </c>
      <c r="E6" s="6">
        <v>548.5</v>
      </c>
      <c r="F6" s="6">
        <v>75.04</v>
      </c>
      <c r="G6" s="6">
        <v>75.04</v>
      </c>
      <c r="H6" s="6">
        <v>76.275</v>
      </c>
      <c r="I6" s="6">
        <v>73.765</v>
      </c>
      <c r="J6" s="6">
        <v>79.67</v>
      </c>
      <c r="K6" s="6">
        <v>79.47</v>
      </c>
      <c r="L6" s="6">
        <v>73.47</v>
      </c>
      <c r="M6" s="6">
        <v>69</v>
      </c>
      <c r="N6" s="6">
        <v>72.45</v>
      </c>
      <c r="O6" s="6">
        <v>72.8</v>
      </c>
      <c r="P6" s="6">
        <v>68.67</v>
      </c>
      <c r="Q6" s="6">
        <v>69.4</v>
      </c>
    </row>
    <row r="7" spans="1:17">
      <c r="A7" s="5">
        <v>20240807</v>
      </c>
      <c r="B7" s="6">
        <v>75.23</v>
      </c>
      <c r="C7" s="6">
        <v>78.33</v>
      </c>
      <c r="D7" s="6">
        <v>75.49</v>
      </c>
      <c r="E7" s="6">
        <v>545.9</v>
      </c>
      <c r="F7" s="6">
        <v>75.5</v>
      </c>
      <c r="G7" s="6">
        <v>75.5</v>
      </c>
      <c r="H7" s="6">
        <v>79.91</v>
      </c>
      <c r="I7" s="6">
        <v>74.115</v>
      </c>
      <c r="J7" s="6">
        <v>79.59</v>
      </c>
      <c r="K7" s="6">
        <v>79.49</v>
      </c>
      <c r="L7" s="6">
        <v>73.92</v>
      </c>
      <c r="M7" s="6">
        <v>71.29</v>
      </c>
      <c r="N7" s="6">
        <v>72.7</v>
      </c>
      <c r="O7" s="6">
        <v>73.05</v>
      </c>
      <c r="P7" s="6">
        <v>68.59</v>
      </c>
      <c r="Q7" s="6">
        <v>69.75</v>
      </c>
    </row>
    <row r="8" spans="1:17">
      <c r="A8" s="5">
        <v>20240808</v>
      </c>
      <c r="B8" s="6">
        <v>76.19</v>
      </c>
      <c r="C8" s="6">
        <v>79.16</v>
      </c>
      <c r="D8" s="6">
        <v>76.76</v>
      </c>
      <c r="E8" s="6">
        <v>555.4</v>
      </c>
      <c r="F8" s="6">
        <v>77.14</v>
      </c>
      <c r="G8" s="6">
        <v>77.14</v>
      </c>
      <c r="H8" s="6">
        <v>81.1</v>
      </c>
      <c r="I8" s="6">
        <v>75.535</v>
      </c>
      <c r="J8" s="6">
        <v>81.04</v>
      </c>
      <c r="K8" s="6">
        <v>80.94</v>
      </c>
      <c r="L8" s="6">
        <v>75.305</v>
      </c>
      <c r="M8" s="6">
        <v>71.37</v>
      </c>
      <c r="N8" s="6">
        <v>74.02</v>
      </c>
      <c r="O8" s="6">
        <v>74.37</v>
      </c>
      <c r="P8" s="6">
        <v>70.04</v>
      </c>
      <c r="Q8" s="6">
        <v>71.07</v>
      </c>
    </row>
    <row r="9" spans="1:17">
      <c r="A9" s="5">
        <v>20240809</v>
      </c>
      <c r="B9" s="6">
        <v>76.84</v>
      </c>
      <c r="C9" s="6">
        <v>79.66</v>
      </c>
      <c r="D9" s="6">
        <v>77.46</v>
      </c>
      <c r="E9" s="6">
        <v>559.3</v>
      </c>
      <c r="F9" s="6"/>
      <c r="G9" s="6"/>
      <c r="H9" s="6">
        <v>81.615</v>
      </c>
      <c r="I9" s="6"/>
      <c r="J9" s="6"/>
      <c r="K9" s="6"/>
      <c r="L9" s="6"/>
      <c r="M9" s="6"/>
      <c r="N9" s="6"/>
      <c r="O9" s="6"/>
      <c r="P9" s="6"/>
      <c r="Q9" s="6"/>
    </row>
    <row r="10" spans="1:17">
      <c r="A10" s="5">
        <v>20240812</v>
      </c>
      <c r="B10" s="6">
        <v>80.06</v>
      </c>
      <c r="C10" s="6">
        <v>82.3</v>
      </c>
      <c r="D10" s="6">
        <v>78.72</v>
      </c>
      <c r="E10" s="6">
        <v>562.7</v>
      </c>
      <c r="F10" s="6">
        <v>78.67</v>
      </c>
      <c r="G10" s="6">
        <v>78.67</v>
      </c>
      <c r="H10" s="6">
        <v>83.31</v>
      </c>
      <c r="I10" s="6">
        <v>77.5</v>
      </c>
      <c r="J10" s="6">
        <v>82.67</v>
      </c>
      <c r="K10" s="6">
        <v>82.62</v>
      </c>
      <c r="L10" s="6">
        <v>77.475</v>
      </c>
      <c r="M10" s="6">
        <v>72.37</v>
      </c>
      <c r="N10" s="6">
        <v>75.84</v>
      </c>
      <c r="O10" s="6">
        <v>76.19</v>
      </c>
      <c r="P10" s="6">
        <v>71.72</v>
      </c>
      <c r="Q10" s="6">
        <v>72.84</v>
      </c>
    </row>
    <row r="11" spans="1:17">
      <c r="A11" s="5">
        <v>20240813</v>
      </c>
      <c r="B11" s="6">
        <v>78.35</v>
      </c>
      <c r="C11" s="6">
        <v>80.69</v>
      </c>
      <c r="D11" s="6">
        <v>80.03</v>
      </c>
      <c r="E11" s="6">
        <v>575.8</v>
      </c>
      <c r="F11" s="6">
        <v>79.99</v>
      </c>
      <c r="G11" s="6">
        <v>79.99</v>
      </c>
      <c r="H11" s="6">
        <v>83.295</v>
      </c>
      <c r="I11" s="6">
        <v>79.245</v>
      </c>
      <c r="J11" s="6">
        <v>84.3</v>
      </c>
      <c r="K11" s="6">
        <v>84.2</v>
      </c>
      <c r="L11" s="6">
        <v>79.155</v>
      </c>
      <c r="M11" s="6">
        <v>72.35</v>
      </c>
      <c r="N11" s="6">
        <v>77.17</v>
      </c>
      <c r="O11" s="6">
        <v>77.52</v>
      </c>
      <c r="P11" s="6">
        <v>73.25</v>
      </c>
      <c r="Q11" s="6">
        <v>74.17</v>
      </c>
    </row>
    <row r="12" spans="1:17">
      <c r="A12" s="5">
        <v>20240814</v>
      </c>
      <c r="B12" s="6">
        <v>76.98</v>
      </c>
      <c r="C12" s="6">
        <v>79.76</v>
      </c>
      <c r="D12" s="6">
        <v>79.24</v>
      </c>
      <c r="E12" s="6">
        <v>575.4</v>
      </c>
      <c r="F12" s="6">
        <v>79.21</v>
      </c>
      <c r="G12" s="6">
        <v>79.28</v>
      </c>
      <c r="H12" s="6">
        <v>82.895</v>
      </c>
      <c r="I12" s="6">
        <v>78.59</v>
      </c>
      <c r="J12" s="6">
        <v>83.71</v>
      </c>
      <c r="K12" s="6">
        <v>83.61</v>
      </c>
      <c r="L12" s="6">
        <v>78.435</v>
      </c>
      <c r="M12" s="6">
        <v>71.82</v>
      </c>
      <c r="N12" s="6">
        <v>76.63</v>
      </c>
      <c r="O12" s="6">
        <v>76.98</v>
      </c>
      <c r="P12" s="6">
        <v>72.71</v>
      </c>
      <c r="Q12" s="6">
        <v>73.48</v>
      </c>
    </row>
    <row r="13" spans="1:17">
      <c r="A13" s="5">
        <v>20240815</v>
      </c>
      <c r="B13" s="6">
        <v>78.16</v>
      </c>
      <c r="C13" s="6">
        <v>81.04</v>
      </c>
      <c r="D13" s="6">
        <v>78.67</v>
      </c>
      <c r="E13" s="6">
        <v>569.4</v>
      </c>
      <c r="F13" s="6">
        <v>78.67</v>
      </c>
      <c r="G13" s="6">
        <v>78.67</v>
      </c>
      <c r="H13" s="6">
        <v>84.17</v>
      </c>
      <c r="I13" s="6">
        <v>77.535</v>
      </c>
      <c r="J13" s="6">
        <v>82.54</v>
      </c>
      <c r="K13" s="6">
        <v>82.39</v>
      </c>
      <c r="L13" s="6">
        <v>77.275</v>
      </c>
      <c r="M13" s="6">
        <v>72.91</v>
      </c>
      <c r="N13" s="6">
        <v>75.94</v>
      </c>
      <c r="O13" s="6">
        <v>76.29</v>
      </c>
      <c r="P13" s="6">
        <v>71.54</v>
      </c>
      <c r="Q13" s="6">
        <v>72.79</v>
      </c>
    </row>
    <row r="14" spans="1:17">
      <c r="A14" s="5">
        <v>20240816</v>
      </c>
      <c r="B14" s="6">
        <v>76.65</v>
      </c>
      <c r="C14" s="6">
        <v>79.68</v>
      </c>
      <c r="D14" s="6">
        <v>79.08</v>
      </c>
      <c r="E14" s="6">
        <v>574.7</v>
      </c>
      <c r="F14" s="6">
        <v>79.04</v>
      </c>
      <c r="G14" s="6">
        <v>79.04</v>
      </c>
      <c r="H14" s="6">
        <v>82.245</v>
      </c>
      <c r="I14" s="6">
        <v>78.065</v>
      </c>
      <c r="J14" s="6">
        <v>83.16</v>
      </c>
      <c r="K14" s="6">
        <v>83.06</v>
      </c>
      <c r="L14" s="6">
        <v>78</v>
      </c>
      <c r="M14" s="6">
        <v>71.39</v>
      </c>
      <c r="N14" s="6">
        <v>76.31</v>
      </c>
      <c r="O14" s="6">
        <v>76.66</v>
      </c>
      <c r="P14" s="6">
        <v>72.21</v>
      </c>
      <c r="Q14" s="6">
        <v>73.16</v>
      </c>
    </row>
    <row r="15" spans="1:17">
      <c r="A15" s="5">
        <v>20240819</v>
      </c>
      <c r="B15" s="6">
        <v>74.37</v>
      </c>
      <c r="C15" s="6">
        <v>77.66</v>
      </c>
      <c r="D15" s="6">
        <v>77.84</v>
      </c>
      <c r="E15" s="6">
        <v>563.4</v>
      </c>
      <c r="F15" s="6">
        <v>77.81</v>
      </c>
      <c r="G15" s="6">
        <v>77.81</v>
      </c>
      <c r="H15" s="6">
        <v>81.755</v>
      </c>
      <c r="I15" s="6">
        <v>76.77</v>
      </c>
      <c r="J15" s="6">
        <v>81.49</v>
      </c>
      <c r="K15" s="6">
        <v>81.69</v>
      </c>
      <c r="L15" s="6">
        <v>76.83</v>
      </c>
      <c r="M15" s="6">
        <v>71.06</v>
      </c>
      <c r="N15" s="6">
        <v>75.01</v>
      </c>
      <c r="O15" s="6">
        <v>75.36</v>
      </c>
      <c r="P15" s="6">
        <v>70.79</v>
      </c>
      <c r="Q15" s="6">
        <v>71.86</v>
      </c>
    </row>
    <row r="16" spans="1:17">
      <c r="A16" s="5">
        <v>20240820</v>
      </c>
      <c r="B16" s="6">
        <v>74.04</v>
      </c>
      <c r="C16" s="6">
        <v>77.2</v>
      </c>
      <c r="D16" s="6">
        <v>75.71</v>
      </c>
      <c r="E16" s="6">
        <v>554.1</v>
      </c>
      <c r="F16" s="6">
        <v>75.68</v>
      </c>
      <c r="G16" s="6">
        <v>75.71</v>
      </c>
      <c r="H16" s="6">
        <v>79.495</v>
      </c>
      <c r="I16" s="6">
        <v>74.455</v>
      </c>
      <c r="J16" s="6">
        <v>79.35</v>
      </c>
      <c r="K16" s="6">
        <v>79.85</v>
      </c>
      <c r="L16" s="6">
        <v>74.66</v>
      </c>
      <c r="M16" s="6">
        <v>69.49</v>
      </c>
      <c r="N16" s="6">
        <v>73.61</v>
      </c>
      <c r="O16" s="6">
        <v>73.96</v>
      </c>
      <c r="P16" s="6">
        <v>69.15</v>
      </c>
      <c r="Q16" s="6">
        <v>69.81</v>
      </c>
    </row>
    <row r="17" spans="1:17">
      <c r="A17" s="5">
        <v>20240821</v>
      </c>
      <c r="B17" s="6">
        <v>71.93</v>
      </c>
      <c r="C17" s="6">
        <v>76.05</v>
      </c>
      <c r="D17" s="6">
        <v>76.16</v>
      </c>
      <c r="E17" s="6">
        <v>548.9</v>
      </c>
      <c r="F17" s="6">
        <v>76.15</v>
      </c>
      <c r="G17" s="6">
        <v>76.19</v>
      </c>
      <c r="H17" s="6">
        <v>79.665</v>
      </c>
      <c r="I17" s="6">
        <v>74.98</v>
      </c>
      <c r="J17" s="6">
        <v>79.71</v>
      </c>
      <c r="K17" s="6">
        <v>80.26</v>
      </c>
      <c r="L17" s="6">
        <v>75.13</v>
      </c>
      <c r="M17" s="6">
        <v>69.95</v>
      </c>
      <c r="N17" s="6">
        <v>74.79</v>
      </c>
      <c r="O17" s="6">
        <v>75.14</v>
      </c>
      <c r="P17" s="6">
        <v>69.86</v>
      </c>
      <c r="Q17" s="6">
        <v>70.24</v>
      </c>
    </row>
    <row r="18" spans="1:17">
      <c r="A18" s="5">
        <v>20240822</v>
      </c>
      <c r="B18" s="6">
        <v>73.01</v>
      </c>
      <c r="C18" s="6">
        <v>77.22</v>
      </c>
      <c r="D18" s="6">
        <v>75.15</v>
      </c>
      <c r="E18" s="6">
        <v>543.5</v>
      </c>
      <c r="F18" s="6">
        <v>75.15</v>
      </c>
      <c r="G18" s="6">
        <v>75.18</v>
      </c>
      <c r="H18" s="6">
        <v>79.625</v>
      </c>
      <c r="I18" s="6">
        <v>73.92</v>
      </c>
      <c r="J18" s="6">
        <v>78.63</v>
      </c>
      <c r="K18" s="6">
        <v>79.38</v>
      </c>
      <c r="L18" s="6">
        <v>74.165</v>
      </c>
      <c r="M18" s="6">
        <v>70.41</v>
      </c>
      <c r="N18" s="6">
        <v>74.77</v>
      </c>
      <c r="O18" s="6">
        <v>75.12</v>
      </c>
      <c r="P18" s="6">
        <v>69.28</v>
      </c>
      <c r="Q18" s="6">
        <v>69.22</v>
      </c>
    </row>
    <row r="19" spans="1:17">
      <c r="A19" s="5">
        <v>20240823</v>
      </c>
      <c r="B19" s="6">
        <v>74.83</v>
      </c>
      <c r="C19" s="6">
        <v>79.02</v>
      </c>
      <c r="D19" s="6">
        <v>76.62</v>
      </c>
      <c r="E19" s="6">
        <v>543.8</v>
      </c>
      <c r="F19" s="6">
        <v>76.69</v>
      </c>
      <c r="G19" s="6">
        <v>76.69</v>
      </c>
      <c r="H19" s="6">
        <v>81.065</v>
      </c>
      <c r="I19" s="6">
        <v>75.285</v>
      </c>
      <c r="J19" s="6">
        <v>79.95</v>
      </c>
      <c r="K19" s="6">
        <v>80.6</v>
      </c>
      <c r="L19" s="6">
        <v>75.58</v>
      </c>
      <c r="M19" s="6">
        <v>72.55</v>
      </c>
      <c r="N19" s="6">
        <v>76.54</v>
      </c>
      <c r="O19" s="6">
        <v>76.89</v>
      </c>
      <c r="P19" s="6">
        <v>71.3</v>
      </c>
      <c r="Q19" s="6">
        <v>70.54</v>
      </c>
    </row>
    <row r="20" spans="1:17">
      <c r="A20" s="5">
        <v>20240826</v>
      </c>
      <c r="B20" s="6">
        <v>77.42</v>
      </c>
      <c r="C20" s="6">
        <v>81.43</v>
      </c>
      <c r="D20" s="6">
        <v>78.7</v>
      </c>
      <c r="E20" s="6">
        <v>554.7</v>
      </c>
      <c r="F20" s="6">
        <v>78.55</v>
      </c>
      <c r="G20" s="6">
        <v>78.72</v>
      </c>
      <c r="H20" s="6"/>
      <c r="I20" s="6">
        <v>77.33</v>
      </c>
      <c r="J20" s="6">
        <v>82.18</v>
      </c>
      <c r="K20" s="6">
        <v>82.73</v>
      </c>
      <c r="L20" s="6">
        <v>77.65</v>
      </c>
      <c r="M20" s="6"/>
      <c r="N20" s="6"/>
      <c r="O20" s="6"/>
      <c r="P20" s="6"/>
      <c r="Q20" s="6">
        <v>72.46</v>
      </c>
    </row>
    <row r="21" spans="1:17">
      <c r="A21" s="5">
        <v>20240827</v>
      </c>
      <c r="B21" s="6">
        <v>75.53</v>
      </c>
      <c r="C21" s="6">
        <v>79.55</v>
      </c>
      <c r="D21" s="6">
        <v>79.22</v>
      </c>
      <c r="E21" s="6">
        <v>569.1</v>
      </c>
      <c r="F21" s="6">
        <v>79.19</v>
      </c>
      <c r="G21" s="6">
        <v>79.34</v>
      </c>
      <c r="H21" s="6">
        <v>82.35</v>
      </c>
      <c r="I21" s="6">
        <v>78.475</v>
      </c>
      <c r="J21" s="6">
        <v>83.12</v>
      </c>
      <c r="K21" s="6">
        <v>83.67</v>
      </c>
      <c r="L21" s="6">
        <v>78.805</v>
      </c>
      <c r="M21" s="6">
        <v>74.35</v>
      </c>
      <c r="N21" s="6">
        <v>79.08</v>
      </c>
      <c r="O21" s="6">
        <v>79.43</v>
      </c>
      <c r="P21" s="6">
        <v>74.87</v>
      </c>
      <c r="Q21" s="6">
        <v>73.03</v>
      </c>
    </row>
    <row r="22" spans="1:17">
      <c r="A22" s="5">
        <v>20240828</v>
      </c>
      <c r="B22" s="6">
        <v>74.52</v>
      </c>
      <c r="C22" s="6">
        <v>78.65</v>
      </c>
      <c r="D22" s="6">
        <v>77.13</v>
      </c>
      <c r="E22" s="6">
        <v>562.1</v>
      </c>
      <c r="F22" s="6">
        <v>77.7</v>
      </c>
      <c r="G22" s="6">
        <v>77.75</v>
      </c>
      <c r="H22" s="6">
        <v>81.065</v>
      </c>
      <c r="I22" s="6">
        <v>75.99</v>
      </c>
      <c r="J22" s="6">
        <v>81.23</v>
      </c>
      <c r="K22" s="6">
        <v>81.88</v>
      </c>
      <c r="L22" s="6">
        <v>76.425</v>
      </c>
      <c r="M22" s="6">
        <v>73.11</v>
      </c>
      <c r="N22" s="6">
        <v>77.06</v>
      </c>
      <c r="O22" s="6">
        <v>77.41</v>
      </c>
      <c r="P22" s="6">
        <v>72.98</v>
      </c>
      <c r="Q22" s="6">
        <v>71.11</v>
      </c>
    </row>
    <row r="23" spans="1:17">
      <c r="A23" s="5">
        <v>20240829</v>
      </c>
      <c r="B23" s="6">
        <v>75.91</v>
      </c>
      <c r="C23" s="6">
        <v>79.94</v>
      </c>
      <c r="D23" s="6">
        <v>76.42</v>
      </c>
      <c r="E23" s="6">
        <v>553.3</v>
      </c>
      <c r="F23" s="6">
        <v>76.66</v>
      </c>
      <c r="G23" s="6">
        <v>76.71</v>
      </c>
      <c r="H23" s="6">
        <v>82.425</v>
      </c>
      <c r="I23" s="6">
        <v>75.43</v>
      </c>
      <c r="J23" s="6">
        <v>80.68</v>
      </c>
      <c r="K23" s="6">
        <v>81.38</v>
      </c>
      <c r="L23" s="6">
        <v>75.805</v>
      </c>
      <c r="M23" s="6">
        <v>74.23</v>
      </c>
      <c r="N23" s="6">
        <v>76.44</v>
      </c>
      <c r="O23" s="6">
        <v>76.79</v>
      </c>
      <c r="P23" s="6">
        <v>72.43</v>
      </c>
      <c r="Q23" s="6">
        <v>70.54</v>
      </c>
    </row>
    <row r="24" spans="1:17">
      <c r="A24" s="5">
        <v>20240830</v>
      </c>
      <c r="B24" s="6">
        <v>73.55</v>
      </c>
      <c r="C24" s="6">
        <v>78.8</v>
      </c>
      <c r="D24" s="6">
        <v>78.05</v>
      </c>
      <c r="E24" s="6">
        <v>557.5</v>
      </c>
      <c r="F24" s="6">
        <v>78.41</v>
      </c>
      <c r="G24" s="6">
        <v>78.41</v>
      </c>
      <c r="H24" s="6">
        <v>79.985</v>
      </c>
      <c r="I24" s="6">
        <v>76.92</v>
      </c>
      <c r="J24" s="6">
        <v>82.81</v>
      </c>
      <c r="K24" s="6">
        <v>83.51</v>
      </c>
      <c r="L24" s="6">
        <v>77.225</v>
      </c>
      <c r="M24" s="6">
        <v>72.3</v>
      </c>
      <c r="N24" s="6">
        <v>78.05</v>
      </c>
      <c r="O24" s="6">
        <v>78.4</v>
      </c>
      <c r="P24" s="6">
        <v>74.46</v>
      </c>
      <c r="Q24" s="6">
        <v>72.2</v>
      </c>
    </row>
    <row r="25" spans="1:17">
      <c r="A25" s="7" t="s">
        <v>17</v>
      </c>
      <c r="B25" s="8">
        <f>AVERAGE(B20:B24)</f>
        <v>75.386</v>
      </c>
      <c r="C25" s="8">
        <f t="shared" ref="C25:Q25" si="0">AVERAGE(C20:C24)</f>
        <v>79.674</v>
      </c>
      <c r="D25" s="8">
        <f t="shared" si="0"/>
        <v>77.904</v>
      </c>
      <c r="E25" s="8">
        <f t="shared" si="0"/>
        <v>559.34</v>
      </c>
      <c r="F25" s="8">
        <f t="shared" si="0"/>
        <v>78.102</v>
      </c>
      <c r="G25" s="8">
        <f t="shared" si="0"/>
        <v>78.186</v>
      </c>
      <c r="H25" s="8">
        <f t="shared" si="0"/>
        <v>81.45625</v>
      </c>
      <c r="I25" s="8">
        <f t="shared" si="0"/>
        <v>76.829</v>
      </c>
      <c r="J25" s="8">
        <f t="shared" si="0"/>
        <v>82.004</v>
      </c>
      <c r="K25" s="8">
        <f t="shared" si="0"/>
        <v>82.634</v>
      </c>
      <c r="L25" s="8">
        <f t="shared" si="0"/>
        <v>77.182</v>
      </c>
      <c r="M25" s="8">
        <f t="shared" si="0"/>
        <v>73.4975</v>
      </c>
      <c r="N25" s="8">
        <f t="shared" si="0"/>
        <v>77.6575</v>
      </c>
      <c r="O25" s="8">
        <f t="shared" si="0"/>
        <v>78.0075</v>
      </c>
      <c r="P25" s="8">
        <f t="shared" si="0"/>
        <v>73.685</v>
      </c>
      <c r="Q25" s="8">
        <f t="shared" si="0"/>
        <v>71.868</v>
      </c>
    </row>
    <row r="26" ht="22.5" spans="1:17">
      <c r="A26" s="3" t="s">
        <v>38</v>
      </c>
      <c r="B26" s="9">
        <f>AVERAGE(B3:B24)</f>
        <v>75.4336363636364</v>
      </c>
      <c r="C26" s="9">
        <f t="shared" ref="C26:Q26" si="1">AVERAGE(C3:C24)</f>
        <v>78.875</v>
      </c>
      <c r="D26" s="9">
        <f t="shared" si="1"/>
        <v>77.5372727272728</v>
      </c>
      <c r="E26" s="9">
        <f t="shared" si="1"/>
        <v>561.268181818182</v>
      </c>
      <c r="F26" s="9">
        <f t="shared" si="1"/>
        <v>77.5957142857143</v>
      </c>
      <c r="G26" s="9">
        <f t="shared" si="1"/>
        <v>77.6238095238095</v>
      </c>
      <c r="H26" s="9">
        <f t="shared" si="1"/>
        <v>80.9064285714286</v>
      </c>
      <c r="I26" s="9">
        <f t="shared" si="1"/>
        <v>76.3278571428571</v>
      </c>
      <c r="J26" s="9">
        <f t="shared" si="1"/>
        <v>81.5376190476191</v>
      </c>
      <c r="K26" s="9">
        <f t="shared" si="1"/>
        <v>81.7328571428571</v>
      </c>
      <c r="L26" s="9">
        <f t="shared" si="1"/>
        <v>76.3533333333333</v>
      </c>
      <c r="M26" s="9">
        <f t="shared" si="1"/>
        <v>71.539</v>
      </c>
      <c r="N26" s="9">
        <f t="shared" si="1"/>
        <v>75.586</v>
      </c>
      <c r="O26" s="9">
        <f t="shared" si="1"/>
        <v>75.936</v>
      </c>
      <c r="P26" s="9">
        <f t="shared" si="1"/>
        <v>71.3405</v>
      </c>
      <c r="Q26" s="9">
        <f t="shared" si="1"/>
        <v>71.6252380952381</v>
      </c>
    </row>
    <row r="27" ht="23.25" spans="1:17">
      <c r="A27" s="10" t="s">
        <v>19</v>
      </c>
      <c r="B27" s="23">
        <f t="shared" ref="B27:Q27" si="2">(B26-B2)/B2</f>
        <v>-0.0627192065921529</v>
      </c>
      <c r="C27" s="23">
        <f t="shared" si="2"/>
        <v>-0.0596588258467151</v>
      </c>
      <c r="D27" s="23">
        <f t="shared" si="2"/>
        <v>-0.0753003387325011</v>
      </c>
      <c r="E27" s="23">
        <f t="shared" si="2"/>
        <v>-0.0813876010063275</v>
      </c>
      <c r="F27" s="23">
        <f t="shared" si="2"/>
        <v>-0.0743657937427919</v>
      </c>
      <c r="G27" s="23">
        <f t="shared" si="2"/>
        <v>-0.0740594617896378</v>
      </c>
      <c r="H27" s="23">
        <f t="shared" si="2"/>
        <v>-0.051572547307843</v>
      </c>
      <c r="I27" s="23">
        <f t="shared" si="2"/>
        <v>-0.0629744923149067</v>
      </c>
      <c r="J27" s="23">
        <f t="shared" si="2"/>
        <v>-0.0425410666847542</v>
      </c>
      <c r="K27" s="23">
        <f t="shared" si="2"/>
        <v>-0.0629722437626974</v>
      </c>
      <c r="L27" s="23">
        <f t="shared" si="2"/>
        <v>-0.0589699965615944</v>
      </c>
      <c r="M27" s="23">
        <f t="shared" si="2"/>
        <v>-0.0523162253848857</v>
      </c>
      <c r="N27" s="23">
        <f t="shared" si="2"/>
        <v>-0.0536114014458673</v>
      </c>
      <c r="O27" s="23">
        <f t="shared" si="2"/>
        <v>-0.0533774884688971</v>
      </c>
      <c r="P27" s="23">
        <f t="shared" si="2"/>
        <v>-0.0546245189094513</v>
      </c>
      <c r="Q27" s="23">
        <f t="shared" si="2"/>
        <v>-0.0863418432051757</v>
      </c>
    </row>
    <row r="28" ht="15"/>
  </sheetData>
  <pageMargins left="0.75" right="0.75" top="1" bottom="1" header="0.5" footer="0.5"/>
  <pageSetup paperSize="9" orientation="portrait"/>
  <headerFooter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Q29"/>
  <sheetViews>
    <sheetView workbookViewId="0">
      <selection activeCell="E25" sqref="E3:E25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39</v>
      </c>
      <c r="B2" s="9">
        <v>78.6984210526316</v>
      </c>
      <c r="C2" s="9">
        <v>82.9985</v>
      </c>
      <c r="D2" s="9">
        <v>82.504</v>
      </c>
      <c r="E2" s="9">
        <v>604.436842105263</v>
      </c>
      <c r="F2" s="9">
        <v>82.5486842105263</v>
      </c>
      <c r="G2" s="9">
        <v>82.5486842105263</v>
      </c>
      <c r="H2" s="9">
        <v>82.60775</v>
      </c>
      <c r="I2" s="9">
        <v>76.3192105263158</v>
      </c>
      <c r="J2" s="9">
        <v>82.161052631579</v>
      </c>
      <c r="K2" s="9">
        <v>86.168947368421</v>
      </c>
      <c r="L2" s="9">
        <v>65.3428947368421</v>
      </c>
      <c r="M2" s="9">
        <v>73.1915789473684</v>
      </c>
      <c r="N2" s="9">
        <v>78.1284210526316</v>
      </c>
      <c r="O2" s="9">
        <v>78.4152631578947</v>
      </c>
      <c r="P2" s="9">
        <v>73.1742105263158</v>
      </c>
      <c r="Q2" s="9">
        <v>77.76</v>
      </c>
    </row>
    <row r="3" spans="1:17">
      <c r="A3" s="5">
        <v>20240701</v>
      </c>
      <c r="B3" s="6">
        <v>83.38</v>
      </c>
      <c r="C3" s="6">
        <v>86.6</v>
      </c>
      <c r="D3" s="6">
        <v>85.56</v>
      </c>
      <c r="E3" s="6">
        <v>623</v>
      </c>
      <c r="F3" s="6">
        <v>85.66</v>
      </c>
      <c r="G3" s="6">
        <v>85.66</v>
      </c>
      <c r="H3" s="6">
        <v>88.01</v>
      </c>
      <c r="I3" s="6">
        <v>82.78</v>
      </c>
      <c r="J3" s="6">
        <v>84.99</v>
      </c>
      <c r="K3" s="6">
        <v>88.94</v>
      </c>
      <c r="L3" s="6">
        <v>82.32</v>
      </c>
      <c r="M3" s="6">
        <v>77.86</v>
      </c>
      <c r="N3" s="6">
        <v>81.52</v>
      </c>
      <c r="O3" s="6">
        <v>81.87</v>
      </c>
      <c r="P3" s="6">
        <v>76.44</v>
      </c>
      <c r="Q3" s="6">
        <v>80.17</v>
      </c>
    </row>
    <row r="4" spans="1:17">
      <c r="A4" s="5">
        <v>20240702</v>
      </c>
      <c r="B4" s="6">
        <v>82.81</v>
      </c>
      <c r="C4" s="6">
        <v>86.24</v>
      </c>
      <c r="D4" s="6">
        <v>86.79</v>
      </c>
      <c r="E4" s="6">
        <v>629.2</v>
      </c>
      <c r="F4" s="6">
        <v>87.095</v>
      </c>
      <c r="G4" s="6">
        <v>87.095</v>
      </c>
      <c r="H4" s="6">
        <v>88.59</v>
      </c>
      <c r="I4" s="6">
        <v>84.09</v>
      </c>
      <c r="J4" s="6">
        <v>86.19</v>
      </c>
      <c r="K4" s="6">
        <v>90.09</v>
      </c>
      <c r="L4" s="6">
        <v>83.73</v>
      </c>
      <c r="M4" s="6">
        <v>78.58</v>
      </c>
      <c r="N4" s="6">
        <v>82.45</v>
      </c>
      <c r="O4" s="6">
        <v>82.8</v>
      </c>
      <c r="P4" s="6">
        <v>77.54</v>
      </c>
      <c r="Q4" s="6">
        <v>81.25</v>
      </c>
    </row>
    <row r="5" spans="1:17">
      <c r="A5" s="5">
        <v>20240703</v>
      </c>
      <c r="B5" s="6">
        <v>83.88</v>
      </c>
      <c r="C5" s="6">
        <v>87.34</v>
      </c>
      <c r="D5" s="6">
        <v>86.42</v>
      </c>
      <c r="E5" s="6">
        <v>634.8</v>
      </c>
      <c r="F5" s="6">
        <v>86.59</v>
      </c>
      <c r="G5" s="6">
        <v>86.59</v>
      </c>
      <c r="H5" s="6">
        <v>87.68</v>
      </c>
      <c r="I5" s="6">
        <v>83.66</v>
      </c>
      <c r="J5" s="6">
        <v>86.33</v>
      </c>
      <c r="K5" s="6">
        <v>89.83</v>
      </c>
      <c r="L5" s="6">
        <v>83.31</v>
      </c>
      <c r="M5" s="6">
        <v>78.02</v>
      </c>
      <c r="N5" s="6">
        <v>82.19</v>
      </c>
      <c r="O5" s="6">
        <v>82.54</v>
      </c>
      <c r="P5" s="6">
        <v>77.28</v>
      </c>
      <c r="Q5" s="6">
        <v>81.04</v>
      </c>
    </row>
    <row r="6" spans="1:17">
      <c r="A6" s="5">
        <v>20240704</v>
      </c>
      <c r="B6" s="6"/>
      <c r="C6" s="6">
        <v>87.43</v>
      </c>
      <c r="D6" s="6">
        <v>86.66</v>
      </c>
      <c r="E6" s="6">
        <v>633.8</v>
      </c>
      <c r="F6" s="6">
        <v>86.77</v>
      </c>
      <c r="G6" s="6">
        <v>86.77</v>
      </c>
      <c r="H6" s="6">
        <v>88.96</v>
      </c>
      <c r="I6" s="6">
        <v>84.09</v>
      </c>
      <c r="J6" s="6">
        <v>86.9</v>
      </c>
      <c r="K6" s="6">
        <v>89.95</v>
      </c>
      <c r="L6" s="6">
        <v>83.73</v>
      </c>
      <c r="M6" s="6">
        <v>79.14</v>
      </c>
      <c r="N6" s="6">
        <v>82.39</v>
      </c>
      <c r="O6" s="6">
        <v>82.74</v>
      </c>
      <c r="P6" s="6">
        <v>77.4</v>
      </c>
      <c r="Q6" s="6">
        <v>81.24</v>
      </c>
    </row>
    <row r="7" spans="1:17">
      <c r="A7" s="5">
        <v>20240705</v>
      </c>
      <c r="B7" s="6">
        <v>83.16</v>
      </c>
      <c r="C7" s="6">
        <v>86.54</v>
      </c>
      <c r="D7" s="6">
        <v>87.49</v>
      </c>
      <c r="E7" s="6">
        <v>636.6</v>
      </c>
      <c r="F7" s="6">
        <v>87.65</v>
      </c>
      <c r="G7" s="6">
        <v>87.65</v>
      </c>
      <c r="H7" s="6">
        <v>89.095</v>
      </c>
      <c r="I7" s="6">
        <v>85.04</v>
      </c>
      <c r="J7" s="6">
        <v>87.82</v>
      </c>
      <c r="K7" s="6">
        <v>90.67</v>
      </c>
      <c r="L7" s="6">
        <v>84.675</v>
      </c>
      <c r="M7" s="6">
        <v>79.43</v>
      </c>
      <c r="N7" s="6">
        <v>83.12</v>
      </c>
      <c r="O7" s="6">
        <v>83.47</v>
      </c>
      <c r="P7" s="6">
        <v>78.12</v>
      </c>
      <c r="Q7" s="6">
        <v>82.02</v>
      </c>
    </row>
    <row r="8" spans="1:17">
      <c r="A8" s="5">
        <v>20240708</v>
      </c>
      <c r="B8" s="6">
        <v>82.33</v>
      </c>
      <c r="C8" s="6">
        <v>85.75</v>
      </c>
      <c r="D8" s="6">
        <v>86.07</v>
      </c>
      <c r="E8" s="6">
        <v>635.4</v>
      </c>
      <c r="F8" s="6">
        <v>86.19</v>
      </c>
      <c r="G8" s="6">
        <v>86.19</v>
      </c>
      <c r="H8" s="6">
        <v>87.73</v>
      </c>
      <c r="I8" s="6">
        <v>83.65</v>
      </c>
      <c r="J8" s="6">
        <v>86.57</v>
      </c>
      <c r="K8" s="6">
        <v>89.47</v>
      </c>
      <c r="L8" s="6">
        <v>83.315</v>
      </c>
      <c r="M8" s="6">
        <v>77.87</v>
      </c>
      <c r="N8" s="6">
        <v>81.83</v>
      </c>
      <c r="O8" s="6">
        <v>82.18</v>
      </c>
      <c r="P8" s="6">
        <v>76.97</v>
      </c>
      <c r="Q8" s="6">
        <v>80.68</v>
      </c>
    </row>
    <row r="9" spans="1:17">
      <c r="A9" s="5">
        <v>20240709</v>
      </c>
      <c r="B9" s="6">
        <v>81.41</v>
      </c>
      <c r="C9" s="6">
        <v>84.66</v>
      </c>
      <c r="D9" s="6">
        <v>85.54</v>
      </c>
      <c r="E9" s="6">
        <v>627.2</v>
      </c>
      <c r="F9" s="6">
        <v>85.62</v>
      </c>
      <c r="G9" s="6">
        <v>85.62</v>
      </c>
      <c r="H9" s="6">
        <v>86.095</v>
      </c>
      <c r="I9" s="6">
        <v>83.08</v>
      </c>
      <c r="J9" s="6">
        <v>85.91</v>
      </c>
      <c r="K9" s="6">
        <v>88.81</v>
      </c>
      <c r="L9" s="6">
        <v>82.74</v>
      </c>
      <c r="M9" s="6">
        <v>75.76</v>
      </c>
      <c r="N9" s="6">
        <v>81.25</v>
      </c>
      <c r="O9" s="6">
        <v>81.6</v>
      </c>
      <c r="P9" s="6">
        <v>76.36</v>
      </c>
      <c r="Q9" s="6">
        <v>80.1</v>
      </c>
    </row>
    <row r="10" spans="1:17">
      <c r="A10" s="5">
        <v>20240710</v>
      </c>
      <c r="B10" s="6">
        <v>82.1</v>
      </c>
      <c r="C10" s="6">
        <v>85.08</v>
      </c>
      <c r="D10" s="6">
        <v>84.53</v>
      </c>
      <c r="E10" s="6">
        <v>621.3</v>
      </c>
      <c r="F10" s="6">
        <v>84.58</v>
      </c>
      <c r="G10" s="6">
        <v>84.58</v>
      </c>
      <c r="H10" s="6">
        <v>87.075</v>
      </c>
      <c r="I10" s="6">
        <v>82.12</v>
      </c>
      <c r="J10" s="6">
        <v>84.77</v>
      </c>
      <c r="K10" s="6">
        <v>87.72</v>
      </c>
      <c r="L10" s="6">
        <v>81.85</v>
      </c>
      <c r="M10" s="6">
        <v>76.13</v>
      </c>
      <c r="N10" s="6">
        <v>80.22</v>
      </c>
      <c r="O10" s="6">
        <v>80.57</v>
      </c>
      <c r="P10" s="6">
        <v>75.27</v>
      </c>
      <c r="Q10" s="6">
        <v>79.07</v>
      </c>
    </row>
    <row r="11" spans="1:17">
      <c r="A11" s="5">
        <v>20240711</v>
      </c>
      <c r="B11" s="6">
        <v>82.62</v>
      </c>
      <c r="C11" s="6">
        <v>85.4</v>
      </c>
      <c r="D11" s="6">
        <v>85.4</v>
      </c>
      <c r="E11" s="6">
        <v>621.2</v>
      </c>
      <c r="F11" s="6">
        <v>85.48</v>
      </c>
      <c r="G11" s="6">
        <v>85.48</v>
      </c>
      <c r="H11" s="6">
        <v>87.315</v>
      </c>
      <c r="I11" s="6">
        <v>83.22</v>
      </c>
      <c r="J11" s="6">
        <v>85.74</v>
      </c>
      <c r="K11" s="6">
        <v>88.64</v>
      </c>
      <c r="L11" s="6">
        <v>82.895</v>
      </c>
      <c r="M11" s="6">
        <v>76.06</v>
      </c>
      <c r="N11" s="6">
        <v>81.09</v>
      </c>
      <c r="O11" s="6">
        <v>81.44</v>
      </c>
      <c r="P11" s="6">
        <v>76.24</v>
      </c>
      <c r="Q11" s="6">
        <v>79.94</v>
      </c>
    </row>
    <row r="12" spans="1:17">
      <c r="A12" s="5">
        <v>20240712</v>
      </c>
      <c r="B12" s="6">
        <v>82.21</v>
      </c>
      <c r="C12" s="6">
        <v>85.03</v>
      </c>
      <c r="D12" s="6">
        <v>85.58</v>
      </c>
      <c r="E12" s="6">
        <v>620.2</v>
      </c>
      <c r="F12" s="6">
        <v>85.64</v>
      </c>
      <c r="G12" s="6">
        <v>85.64</v>
      </c>
      <c r="H12" s="6">
        <v>87.715</v>
      </c>
      <c r="I12" s="6">
        <v>83.66</v>
      </c>
      <c r="J12" s="6">
        <v>86.02</v>
      </c>
      <c r="K12" s="6">
        <v>88.92</v>
      </c>
      <c r="L12" s="6">
        <v>83.455</v>
      </c>
      <c r="M12" s="6">
        <v>76.61</v>
      </c>
      <c r="N12" s="6">
        <v>81.28</v>
      </c>
      <c r="O12" s="6">
        <v>81.63</v>
      </c>
      <c r="P12" s="6">
        <v>76.72</v>
      </c>
      <c r="Q12" s="6">
        <v>80.03</v>
      </c>
    </row>
    <row r="13" spans="1:17">
      <c r="A13" s="5">
        <v>20240715</v>
      </c>
      <c r="B13" s="6">
        <v>81.91</v>
      </c>
      <c r="C13" s="6">
        <v>84.85</v>
      </c>
      <c r="D13" s="6">
        <v>84.58</v>
      </c>
      <c r="E13" s="6">
        <v>620.2</v>
      </c>
      <c r="F13" s="6">
        <v>84.68</v>
      </c>
      <c r="G13" s="6">
        <v>84.68</v>
      </c>
      <c r="H13" s="6">
        <v>86.67</v>
      </c>
      <c r="I13" s="6">
        <v>82.535</v>
      </c>
      <c r="J13" s="6">
        <v>85.24</v>
      </c>
      <c r="K13" s="6">
        <v>88.19</v>
      </c>
      <c r="L13" s="6">
        <v>82.33</v>
      </c>
      <c r="M13" s="6">
        <v>76</v>
      </c>
      <c r="N13" s="6">
        <v>80.41</v>
      </c>
      <c r="O13" s="6">
        <v>80.76</v>
      </c>
      <c r="P13" s="6">
        <v>76.14</v>
      </c>
      <c r="Q13" s="6">
        <v>79.11</v>
      </c>
    </row>
    <row r="14" spans="1:17">
      <c r="A14" s="5">
        <v>20240716</v>
      </c>
      <c r="B14" s="6">
        <v>80.76</v>
      </c>
      <c r="C14" s="6">
        <v>83.73</v>
      </c>
      <c r="D14" s="6">
        <v>83.81</v>
      </c>
      <c r="E14" s="6">
        <v>616.3</v>
      </c>
      <c r="F14" s="6">
        <v>83.85</v>
      </c>
      <c r="G14" s="6">
        <v>83.85</v>
      </c>
      <c r="H14" s="6">
        <v>85.63</v>
      </c>
      <c r="I14" s="6">
        <v>81.665</v>
      </c>
      <c r="J14" s="6">
        <v>84.44</v>
      </c>
      <c r="K14" s="6">
        <v>87.34</v>
      </c>
      <c r="L14" s="6">
        <v>81.355</v>
      </c>
      <c r="M14" s="6">
        <v>75.54</v>
      </c>
      <c r="N14" s="6">
        <v>79.72</v>
      </c>
      <c r="O14" s="6">
        <v>80.07</v>
      </c>
      <c r="P14" s="6">
        <v>75.69</v>
      </c>
      <c r="Q14" s="6">
        <v>78.37</v>
      </c>
    </row>
    <row r="15" spans="1:17">
      <c r="A15" s="5">
        <v>20240717</v>
      </c>
      <c r="B15" s="6">
        <v>82.85</v>
      </c>
      <c r="C15" s="6">
        <v>85.08</v>
      </c>
      <c r="D15" s="6">
        <v>83.62</v>
      </c>
      <c r="E15" s="6">
        <v>608</v>
      </c>
      <c r="F15" s="6">
        <v>83.7</v>
      </c>
      <c r="G15" s="6">
        <v>83.7</v>
      </c>
      <c r="H15" s="6">
        <v>86.2</v>
      </c>
      <c r="I15" s="6">
        <v>81.51</v>
      </c>
      <c r="J15" s="6">
        <v>84.27</v>
      </c>
      <c r="K15" s="6">
        <v>87.07</v>
      </c>
      <c r="L15" s="6">
        <v>81.24</v>
      </c>
      <c r="M15" s="6">
        <v>76.21</v>
      </c>
      <c r="N15" s="6">
        <v>79.58</v>
      </c>
      <c r="O15" s="6">
        <v>79.93</v>
      </c>
      <c r="P15" s="6">
        <v>75.52</v>
      </c>
      <c r="Q15" s="6">
        <v>78.18</v>
      </c>
    </row>
    <row r="16" spans="1:17">
      <c r="A16" s="5">
        <v>20240718</v>
      </c>
      <c r="B16" s="6">
        <v>82.82</v>
      </c>
      <c r="C16" s="6">
        <v>85.11</v>
      </c>
      <c r="D16" s="6">
        <v>84.83</v>
      </c>
      <c r="E16" s="6">
        <v>614.1</v>
      </c>
      <c r="F16" s="6">
        <v>84.8</v>
      </c>
      <c r="G16" s="6">
        <v>84.8</v>
      </c>
      <c r="H16" s="6">
        <v>86.49</v>
      </c>
      <c r="I16" s="6">
        <v>82.715</v>
      </c>
      <c r="J16" s="6">
        <v>85.46</v>
      </c>
      <c r="K16" s="6">
        <v>88.16</v>
      </c>
      <c r="L16" s="6">
        <v>82.405</v>
      </c>
      <c r="M16" s="6">
        <v>76.45</v>
      </c>
      <c r="N16" s="6">
        <v>80.79</v>
      </c>
      <c r="O16" s="6">
        <v>81.14</v>
      </c>
      <c r="P16" s="6">
        <v>76.66</v>
      </c>
      <c r="Q16" s="6">
        <v>79.24</v>
      </c>
    </row>
    <row r="17" spans="1:17">
      <c r="A17" s="5">
        <v>20240719</v>
      </c>
      <c r="B17" s="6">
        <v>80.13</v>
      </c>
      <c r="C17" s="6">
        <v>82.63</v>
      </c>
      <c r="D17" s="6">
        <v>84.39</v>
      </c>
      <c r="E17" s="6">
        <v>612.4</v>
      </c>
      <c r="F17" s="6">
        <v>84.5</v>
      </c>
      <c r="G17" s="6">
        <v>84.5</v>
      </c>
      <c r="H17" s="6">
        <v>85.275</v>
      </c>
      <c r="I17" s="6">
        <v>82.34</v>
      </c>
      <c r="J17" s="6">
        <v>85.92</v>
      </c>
      <c r="K17" s="6">
        <v>88.07</v>
      </c>
      <c r="L17" s="6">
        <v>82.03</v>
      </c>
      <c r="M17" s="6">
        <v>75.6</v>
      </c>
      <c r="N17" s="6">
        <v>80.67</v>
      </c>
      <c r="O17" s="6">
        <v>81.02</v>
      </c>
      <c r="P17" s="6">
        <v>76.62</v>
      </c>
      <c r="Q17" s="6">
        <v>78.97</v>
      </c>
    </row>
    <row r="18" spans="1:17">
      <c r="A18" s="5">
        <v>20240722</v>
      </c>
      <c r="B18" s="6">
        <v>79.78</v>
      </c>
      <c r="C18" s="6">
        <v>82.4</v>
      </c>
      <c r="D18" s="6">
        <v>82.33</v>
      </c>
      <c r="E18" s="6">
        <v>604.1</v>
      </c>
      <c r="F18" s="6">
        <v>82.38</v>
      </c>
      <c r="G18" s="6">
        <v>82.38</v>
      </c>
      <c r="H18" s="6">
        <v>83.065</v>
      </c>
      <c r="I18" s="6">
        <v>80.475</v>
      </c>
      <c r="J18" s="6">
        <v>84.54</v>
      </c>
      <c r="K18" s="6">
        <v>86.14</v>
      </c>
      <c r="L18" s="6">
        <v>80.155</v>
      </c>
      <c r="M18" s="6">
        <v>73.73</v>
      </c>
      <c r="N18" s="6">
        <v>78.72</v>
      </c>
      <c r="O18" s="6">
        <v>79.07</v>
      </c>
      <c r="P18" s="6">
        <v>74.79</v>
      </c>
      <c r="Q18" s="6">
        <v>77.07</v>
      </c>
    </row>
    <row r="19" spans="1:17">
      <c r="A19" s="5">
        <v>20240723</v>
      </c>
      <c r="B19" s="6">
        <v>76.96</v>
      </c>
      <c r="C19" s="6">
        <v>81.01</v>
      </c>
      <c r="D19" s="6">
        <v>81.95</v>
      </c>
      <c r="E19" s="6">
        <v>593.8</v>
      </c>
      <c r="F19" s="6">
        <v>81.95</v>
      </c>
      <c r="G19" s="6">
        <v>81.95</v>
      </c>
      <c r="H19" s="6">
        <v>82.09</v>
      </c>
      <c r="I19" s="6">
        <v>79.695</v>
      </c>
      <c r="J19" s="6">
        <v>84.59</v>
      </c>
      <c r="K19" s="6">
        <v>85.54</v>
      </c>
      <c r="L19" s="6">
        <v>79.315</v>
      </c>
      <c r="M19" s="6">
        <v>72.72</v>
      </c>
      <c r="N19" s="6">
        <v>78.32</v>
      </c>
      <c r="O19" s="6">
        <v>78.67</v>
      </c>
      <c r="P19" s="6">
        <v>74.44</v>
      </c>
      <c r="Q19" s="6">
        <v>76.72</v>
      </c>
    </row>
    <row r="20" spans="1:17">
      <c r="A20" s="5">
        <v>20240724</v>
      </c>
      <c r="B20" s="6">
        <v>77.59</v>
      </c>
      <c r="C20" s="6">
        <v>81.71</v>
      </c>
      <c r="D20" s="6">
        <v>80.66</v>
      </c>
      <c r="E20" s="6">
        <v>587.9</v>
      </c>
      <c r="F20" s="6">
        <v>80.65</v>
      </c>
      <c r="G20" s="6">
        <v>80.65</v>
      </c>
      <c r="H20" s="6">
        <v>82.995</v>
      </c>
      <c r="I20" s="6">
        <v>78.465</v>
      </c>
      <c r="J20" s="6">
        <v>83.78</v>
      </c>
      <c r="K20" s="6">
        <v>84.18</v>
      </c>
      <c r="L20" s="6">
        <v>78.065</v>
      </c>
      <c r="M20" s="6">
        <v>73.72</v>
      </c>
      <c r="N20" s="6">
        <v>77.18</v>
      </c>
      <c r="O20" s="6">
        <v>77.53</v>
      </c>
      <c r="P20" s="6">
        <v>73.28</v>
      </c>
      <c r="Q20" s="6">
        <v>75.63</v>
      </c>
    </row>
    <row r="21" spans="1:17">
      <c r="A21" s="5">
        <v>20240725</v>
      </c>
      <c r="B21" s="6">
        <v>78.28</v>
      </c>
      <c r="C21" s="6">
        <v>82.37</v>
      </c>
      <c r="D21" s="6">
        <v>80.66</v>
      </c>
      <c r="E21" s="6">
        <v>588.6</v>
      </c>
      <c r="F21" s="6">
        <v>80.66</v>
      </c>
      <c r="G21" s="6">
        <v>80.67</v>
      </c>
      <c r="H21" s="6">
        <v>82.655</v>
      </c>
      <c r="I21" s="6">
        <v>78.185</v>
      </c>
      <c r="J21" s="6">
        <v>84.06</v>
      </c>
      <c r="K21" s="6">
        <v>83.96</v>
      </c>
      <c r="L21" s="6">
        <v>77.755</v>
      </c>
      <c r="M21" s="6">
        <v>73.47</v>
      </c>
      <c r="N21" s="6">
        <v>77.21</v>
      </c>
      <c r="O21" s="6">
        <v>77.56</v>
      </c>
      <c r="P21" s="6">
        <v>73.21</v>
      </c>
      <c r="Q21" s="6">
        <v>75.76</v>
      </c>
    </row>
    <row r="22" spans="1:17">
      <c r="A22" s="5">
        <v>20240726</v>
      </c>
      <c r="B22" s="6">
        <v>77.16</v>
      </c>
      <c r="C22" s="6">
        <v>81.13</v>
      </c>
      <c r="D22" s="6">
        <v>81.7</v>
      </c>
      <c r="E22" s="6">
        <v>586.2</v>
      </c>
      <c r="F22" s="6">
        <v>81.34</v>
      </c>
      <c r="G22" s="6">
        <v>81.39</v>
      </c>
      <c r="H22" s="6">
        <v>81.245</v>
      </c>
      <c r="I22" s="6">
        <v>79.105</v>
      </c>
      <c r="J22" s="6">
        <v>85.09</v>
      </c>
      <c r="K22" s="6">
        <v>84.84</v>
      </c>
      <c r="L22" s="6">
        <v>78.74</v>
      </c>
      <c r="M22" s="6">
        <v>72.19</v>
      </c>
      <c r="N22" s="6">
        <v>78.02</v>
      </c>
      <c r="O22" s="6">
        <v>78.37</v>
      </c>
      <c r="P22" s="6">
        <v>74.04</v>
      </c>
      <c r="Q22" s="6">
        <v>76.62</v>
      </c>
    </row>
    <row r="23" spans="1:17">
      <c r="A23" s="5">
        <v>20240729</v>
      </c>
      <c r="B23" s="6">
        <v>75.81</v>
      </c>
      <c r="C23" s="6">
        <v>79.78</v>
      </c>
      <c r="D23" s="6">
        <v>80.56</v>
      </c>
      <c r="E23" s="6">
        <v>585.2</v>
      </c>
      <c r="F23" s="6">
        <v>79.8</v>
      </c>
      <c r="G23" s="6">
        <v>79.8</v>
      </c>
      <c r="H23" s="6">
        <v>80.865</v>
      </c>
      <c r="I23" s="6">
        <v>77.78</v>
      </c>
      <c r="J23" s="6">
        <v>84.07</v>
      </c>
      <c r="K23" s="6">
        <v>83.92</v>
      </c>
      <c r="L23" s="6">
        <v>77.535</v>
      </c>
      <c r="M23" s="6">
        <v>71.84</v>
      </c>
      <c r="N23" s="6">
        <v>76.82</v>
      </c>
      <c r="O23" s="6">
        <v>77.17</v>
      </c>
      <c r="P23" s="6">
        <v>73.02</v>
      </c>
      <c r="Q23" s="6">
        <v>74.82</v>
      </c>
    </row>
    <row r="24" spans="1:17">
      <c r="A24" s="5">
        <v>20240730</v>
      </c>
      <c r="B24" s="6">
        <v>74.73</v>
      </c>
      <c r="C24" s="6">
        <v>78.63</v>
      </c>
      <c r="D24" s="6">
        <v>79.56</v>
      </c>
      <c r="E24" s="6">
        <v>579.7</v>
      </c>
      <c r="F24" s="6">
        <v>78.95</v>
      </c>
      <c r="G24" s="6">
        <v>78.95</v>
      </c>
      <c r="H24" s="6">
        <v>79.14</v>
      </c>
      <c r="I24" s="6">
        <v>76.63</v>
      </c>
      <c r="J24" s="6">
        <v>82.85</v>
      </c>
      <c r="K24" s="6">
        <v>82.75</v>
      </c>
      <c r="L24" s="6">
        <v>76.43</v>
      </c>
      <c r="M24" s="6">
        <v>70.6</v>
      </c>
      <c r="N24" s="6">
        <v>75.78</v>
      </c>
      <c r="O24" s="6">
        <v>76.13</v>
      </c>
      <c r="P24" s="6">
        <v>71.8</v>
      </c>
      <c r="Q24" s="6">
        <v>73.43</v>
      </c>
    </row>
    <row r="25" spans="1:17">
      <c r="A25" s="5">
        <v>20240731</v>
      </c>
      <c r="B25" s="6">
        <v>77.91</v>
      </c>
      <c r="C25" s="6">
        <v>80.72</v>
      </c>
      <c r="D25" s="6">
        <v>79.89</v>
      </c>
      <c r="E25" s="6">
        <v>573.7</v>
      </c>
      <c r="F25" s="6">
        <v>79.55</v>
      </c>
      <c r="G25" s="6">
        <v>79.55</v>
      </c>
      <c r="H25" s="6">
        <v>81.45</v>
      </c>
      <c r="I25" s="6">
        <v>77.035</v>
      </c>
      <c r="J25" s="6">
        <v>83.14</v>
      </c>
      <c r="K25" s="6">
        <v>82.99</v>
      </c>
      <c r="L25" s="6">
        <v>76.8</v>
      </c>
      <c r="M25" s="6">
        <v>72.7</v>
      </c>
      <c r="N25" s="6">
        <v>76.4</v>
      </c>
      <c r="O25" s="6">
        <v>76.75</v>
      </c>
      <c r="P25" s="6">
        <v>72.09</v>
      </c>
      <c r="Q25" s="6">
        <v>73.6</v>
      </c>
    </row>
    <row r="26" spans="1:17">
      <c r="A26" s="7" t="s">
        <v>17</v>
      </c>
      <c r="B26" s="8">
        <f>AVERAGE(B23:B25)</f>
        <v>76.15</v>
      </c>
      <c r="C26" s="8">
        <f t="shared" ref="C26:Q26" si="0">AVERAGE(C23:C25)</f>
        <v>79.71</v>
      </c>
      <c r="D26" s="8">
        <f t="shared" si="0"/>
        <v>80.0033333333333</v>
      </c>
      <c r="E26" s="8">
        <f t="shared" si="0"/>
        <v>579.533333333333</v>
      </c>
      <c r="F26" s="8">
        <f t="shared" si="0"/>
        <v>79.4333333333333</v>
      </c>
      <c r="G26" s="8">
        <f t="shared" si="0"/>
        <v>79.4333333333333</v>
      </c>
      <c r="H26" s="8">
        <f t="shared" si="0"/>
        <v>80.485</v>
      </c>
      <c r="I26" s="8">
        <f t="shared" si="0"/>
        <v>77.1483333333333</v>
      </c>
      <c r="J26" s="8">
        <f t="shared" si="0"/>
        <v>83.3533333333333</v>
      </c>
      <c r="K26" s="8">
        <f t="shared" si="0"/>
        <v>83.22</v>
      </c>
      <c r="L26" s="8">
        <f t="shared" si="0"/>
        <v>76.9216666666667</v>
      </c>
      <c r="M26" s="8">
        <f t="shared" si="0"/>
        <v>71.7133333333333</v>
      </c>
      <c r="N26" s="8">
        <f t="shared" si="0"/>
        <v>76.3333333333333</v>
      </c>
      <c r="O26" s="8">
        <f t="shared" si="0"/>
        <v>76.6833333333333</v>
      </c>
      <c r="P26" s="8">
        <f t="shared" si="0"/>
        <v>72.3033333333333</v>
      </c>
      <c r="Q26" s="8">
        <f t="shared" si="0"/>
        <v>73.95</v>
      </c>
    </row>
    <row r="27" ht="22.5" spans="1:17">
      <c r="A27" s="3" t="s">
        <v>31</v>
      </c>
      <c r="B27" s="9">
        <f>AVERAGE(B3:B25)</f>
        <v>80.4813636363636</v>
      </c>
      <c r="C27" s="9">
        <f t="shared" ref="C27:Q27" si="1">AVERAGE(C3:C25)</f>
        <v>83.8791304347826</v>
      </c>
      <c r="D27" s="9">
        <f t="shared" si="1"/>
        <v>83.8513043478261</v>
      </c>
      <c r="E27" s="9">
        <f t="shared" si="1"/>
        <v>610.995652173913</v>
      </c>
      <c r="F27" s="9">
        <f t="shared" si="1"/>
        <v>83.8297826086957</v>
      </c>
      <c r="G27" s="9">
        <f t="shared" si="1"/>
        <v>83.8323913043478</v>
      </c>
      <c r="H27" s="9">
        <f t="shared" si="1"/>
        <v>85.3058695652174</v>
      </c>
      <c r="I27" s="9">
        <f t="shared" si="1"/>
        <v>81.4576086956522</v>
      </c>
      <c r="J27" s="9">
        <f t="shared" si="1"/>
        <v>85.1604347826087</v>
      </c>
      <c r="K27" s="9">
        <f t="shared" si="1"/>
        <v>87.225652173913</v>
      </c>
      <c r="L27" s="9">
        <f t="shared" si="1"/>
        <v>81.1380434782609</v>
      </c>
      <c r="M27" s="9">
        <f t="shared" si="1"/>
        <v>75.4882608695652</v>
      </c>
      <c r="N27" s="9">
        <f t="shared" si="1"/>
        <v>79.8678260869565</v>
      </c>
      <c r="O27" s="9">
        <f t="shared" si="1"/>
        <v>80.2178260869565</v>
      </c>
      <c r="P27" s="9">
        <f t="shared" si="1"/>
        <v>75.4626086956522</v>
      </c>
      <c r="Q27" s="9">
        <f t="shared" si="1"/>
        <v>78.3939130434783</v>
      </c>
    </row>
    <row r="28" ht="23.25" spans="1:17">
      <c r="A28" s="10" t="s">
        <v>19</v>
      </c>
      <c r="B28" s="24">
        <f t="shared" ref="B28:Q28" si="2">(B27-B2)/B2</f>
        <v>0.0226553793568449</v>
      </c>
      <c r="C28" s="24">
        <f t="shared" si="2"/>
        <v>0.0106101969888926</v>
      </c>
      <c r="D28" s="24">
        <f t="shared" si="2"/>
        <v>0.016330170026012</v>
      </c>
      <c r="E28" s="24">
        <f t="shared" si="2"/>
        <v>0.0108511090187777</v>
      </c>
      <c r="F28" s="24">
        <f t="shared" si="2"/>
        <v>0.0155193073084256</v>
      </c>
      <c r="G28" s="24">
        <f t="shared" si="2"/>
        <v>0.0155509092131335</v>
      </c>
      <c r="H28" s="24">
        <f t="shared" si="2"/>
        <v>0.0326618212603226</v>
      </c>
      <c r="I28" s="24">
        <f t="shared" si="2"/>
        <v>0.0673277164936684</v>
      </c>
      <c r="J28" s="24">
        <f t="shared" si="2"/>
        <v>0.0365061310068573</v>
      </c>
      <c r="K28" s="24">
        <f t="shared" si="2"/>
        <v>0.0122631741220418</v>
      </c>
      <c r="L28" s="24">
        <f t="shared" si="2"/>
        <v>0.241727104454603</v>
      </c>
      <c r="M28" s="24">
        <f t="shared" si="2"/>
        <v>0.0313790459944622</v>
      </c>
      <c r="N28" s="24">
        <f t="shared" si="2"/>
        <v>0.0222634095363733</v>
      </c>
      <c r="O28" s="24">
        <f t="shared" si="2"/>
        <v>0.0229873988362727</v>
      </c>
      <c r="P28" s="24">
        <f t="shared" si="2"/>
        <v>0.0312732881281089</v>
      </c>
      <c r="Q28" s="24">
        <f t="shared" si="2"/>
        <v>0.00815217391304364</v>
      </c>
    </row>
    <row r="29" ht="15"/>
  </sheetData>
  <pageMargins left="0.75" right="0.75" top="1" bottom="1" header="0.5" footer="0.5"/>
  <pageSetup paperSize="9" orientation="portrait"/>
  <headerFooter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Q26"/>
  <sheetViews>
    <sheetView workbookViewId="0">
      <selection activeCell="M13" sqref="M13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40</v>
      </c>
      <c r="B2" s="9">
        <v>78.6213636363636</v>
      </c>
      <c r="C2" s="9">
        <v>82.9965217391304</v>
      </c>
      <c r="D2" s="9">
        <v>83.8930434782609</v>
      </c>
      <c r="E2" s="9">
        <v>613.34</v>
      </c>
      <c r="F2" s="9">
        <v>84.0352380952381</v>
      </c>
      <c r="G2" s="9">
        <v>84.042380952381</v>
      </c>
      <c r="H2" s="9">
        <v>82.0478571428572</v>
      </c>
      <c r="I2" s="9">
        <v>78.3478571428572</v>
      </c>
      <c r="J2" s="9">
        <v>83.4357142857143</v>
      </c>
      <c r="K2" s="9">
        <v>87.6785714285714</v>
      </c>
      <c r="L2" s="9">
        <v>68.1571428571429</v>
      </c>
      <c r="M2" s="9">
        <v>73.1147368421053</v>
      </c>
      <c r="N2" s="9">
        <v>78.7847368421053</v>
      </c>
      <c r="O2" s="9">
        <v>79.0347368421053</v>
      </c>
      <c r="P2" s="9">
        <v>73.2094736842105</v>
      </c>
      <c r="Q2" s="9">
        <v>78.4895238095238</v>
      </c>
    </row>
    <row r="3" spans="1:17">
      <c r="A3" s="5">
        <v>20240603</v>
      </c>
      <c r="B3" s="6">
        <v>74.22</v>
      </c>
      <c r="C3" s="6">
        <v>78.36</v>
      </c>
      <c r="D3" s="6">
        <v>81.85</v>
      </c>
      <c r="E3" s="6">
        <v>599.7</v>
      </c>
      <c r="F3" s="6">
        <v>81.895</v>
      </c>
      <c r="G3" s="6">
        <v>81.895</v>
      </c>
      <c r="H3" s="6">
        <v>76.77</v>
      </c>
      <c r="I3" s="6">
        <v>75.28</v>
      </c>
      <c r="J3" s="6">
        <v>81.17</v>
      </c>
      <c r="K3" s="6">
        <v>85.32</v>
      </c>
      <c r="L3" s="6">
        <v>64.295</v>
      </c>
      <c r="M3" s="6">
        <v>68.49</v>
      </c>
      <c r="N3" s="6">
        <v>76.61</v>
      </c>
      <c r="O3" s="6">
        <v>76.86</v>
      </c>
      <c r="P3" s="6">
        <v>71.32</v>
      </c>
      <c r="Q3" s="6">
        <v>76.81</v>
      </c>
    </row>
    <row r="4" spans="1:17">
      <c r="A4" s="5">
        <v>20240604</v>
      </c>
      <c r="B4" s="6">
        <v>73.25</v>
      </c>
      <c r="C4" s="6">
        <v>77.52</v>
      </c>
      <c r="D4" s="6">
        <v>77.78</v>
      </c>
      <c r="E4" s="6">
        <v>581.2</v>
      </c>
      <c r="F4" s="6">
        <v>77.88</v>
      </c>
      <c r="G4" s="6">
        <v>77.88</v>
      </c>
      <c r="H4" s="6">
        <v>76.05</v>
      </c>
      <c r="I4" s="6">
        <v>71.535</v>
      </c>
      <c r="J4" s="6">
        <v>77.37</v>
      </c>
      <c r="K4" s="6">
        <v>81.47</v>
      </c>
      <c r="L4" s="6">
        <v>60.635</v>
      </c>
      <c r="M4" s="6">
        <v>67.64</v>
      </c>
      <c r="N4" s="6">
        <v>72.97</v>
      </c>
      <c r="O4" s="6">
        <v>73.22</v>
      </c>
      <c r="P4" s="6">
        <v>67.67</v>
      </c>
      <c r="Q4" s="6">
        <v>73.27</v>
      </c>
    </row>
    <row r="5" spans="1:17">
      <c r="A5" s="5">
        <v>20240605</v>
      </c>
      <c r="B5" s="6">
        <v>74.07</v>
      </c>
      <c r="C5" s="6">
        <v>78.41</v>
      </c>
      <c r="D5" s="6">
        <v>78.22</v>
      </c>
      <c r="E5" s="6">
        <v>570</v>
      </c>
      <c r="F5" s="6">
        <v>78.21</v>
      </c>
      <c r="G5" s="6">
        <v>78.21</v>
      </c>
      <c r="H5" s="6">
        <v>75.92</v>
      </c>
      <c r="I5" s="6">
        <v>71.52</v>
      </c>
      <c r="J5" s="6">
        <v>77.49</v>
      </c>
      <c r="K5" s="6">
        <v>81.49</v>
      </c>
      <c r="L5" s="6">
        <v>60.575</v>
      </c>
      <c r="M5" s="6">
        <v>67.49</v>
      </c>
      <c r="N5" s="6">
        <v>73.06</v>
      </c>
      <c r="O5" s="6">
        <v>73.31</v>
      </c>
      <c r="P5" s="6">
        <v>67.74</v>
      </c>
      <c r="Q5" s="6">
        <v>73.41</v>
      </c>
    </row>
    <row r="6" spans="1:17">
      <c r="A6" s="5">
        <v>20240606</v>
      </c>
      <c r="B6" s="6">
        <v>75.55</v>
      </c>
      <c r="C6" s="6">
        <v>79.87</v>
      </c>
      <c r="D6" s="6">
        <v>79.3</v>
      </c>
      <c r="E6" s="6">
        <v>574</v>
      </c>
      <c r="F6" s="6">
        <v>79.25</v>
      </c>
      <c r="G6" s="6">
        <v>79.25</v>
      </c>
      <c r="H6" s="6">
        <v>78.54</v>
      </c>
      <c r="I6" s="6">
        <v>72.655</v>
      </c>
      <c r="J6" s="6">
        <v>78.55</v>
      </c>
      <c r="K6" s="6">
        <v>82.5</v>
      </c>
      <c r="L6" s="6">
        <v>61.715</v>
      </c>
      <c r="M6" s="6">
        <v>69.87</v>
      </c>
      <c r="N6" s="6">
        <v>74.16</v>
      </c>
      <c r="O6" s="6">
        <v>74.41</v>
      </c>
      <c r="P6" s="6">
        <v>68.85</v>
      </c>
      <c r="Q6" s="6">
        <v>74.46</v>
      </c>
    </row>
    <row r="7" spans="1:17">
      <c r="A7" s="5">
        <v>20240607</v>
      </c>
      <c r="B7" s="6">
        <v>75.53</v>
      </c>
      <c r="C7" s="6">
        <v>79.62</v>
      </c>
      <c r="D7" s="6">
        <v>80.08</v>
      </c>
      <c r="E7" s="6">
        <v>582</v>
      </c>
      <c r="F7" s="6">
        <v>80.105</v>
      </c>
      <c r="G7" s="6">
        <v>80.105</v>
      </c>
      <c r="H7" s="6">
        <v>78.315</v>
      </c>
      <c r="I7" s="6">
        <v>73.395</v>
      </c>
      <c r="J7" s="6">
        <v>79.48</v>
      </c>
      <c r="K7" s="6">
        <v>83.38</v>
      </c>
      <c r="L7" s="6">
        <v>62.4</v>
      </c>
      <c r="M7" s="6">
        <v>69.85</v>
      </c>
      <c r="N7" s="6">
        <v>74.88</v>
      </c>
      <c r="O7" s="6">
        <v>75.13</v>
      </c>
      <c r="P7" s="6">
        <v>69.78</v>
      </c>
      <c r="Q7" s="6">
        <v>75.23</v>
      </c>
    </row>
    <row r="8" spans="1:17">
      <c r="A8" s="5">
        <v>20240610</v>
      </c>
      <c r="B8" s="6">
        <v>77.74</v>
      </c>
      <c r="C8" s="6">
        <v>81.63</v>
      </c>
      <c r="D8" s="6">
        <v>80.22</v>
      </c>
      <c r="E8" s="6"/>
      <c r="F8" s="6">
        <v>80.19</v>
      </c>
      <c r="G8" s="6">
        <v>80.19</v>
      </c>
      <c r="H8" s="6">
        <v>80.005</v>
      </c>
      <c r="I8" s="6">
        <v>73.555</v>
      </c>
      <c r="J8" s="6">
        <v>79.57</v>
      </c>
      <c r="K8" s="6">
        <v>83.42</v>
      </c>
      <c r="L8" s="6">
        <v>62.555</v>
      </c>
      <c r="M8" s="6">
        <v>71.18</v>
      </c>
      <c r="N8" s="6">
        <v>75.02</v>
      </c>
      <c r="O8" s="6">
        <v>75.27</v>
      </c>
      <c r="P8" s="6">
        <v>69.87</v>
      </c>
      <c r="Q8" s="6">
        <v>75.37</v>
      </c>
    </row>
    <row r="9" spans="1:17">
      <c r="A9" s="5">
        <v>20240611</v>
      </c>
      <c r="B9" s="6">
        <v>77.9</v>
      </c>
      <c r="C9" s="6">
        <v>81.92</v>
      </c>
      <c r="D9" s="6">
        <v>81.89</v>
      </c>
      <c r="E9" s="6">
        <v>597.4</v>
      </c>
      <c r="F9" s="6">
        <v>81.86</v>
      </c>
      <c r="G9" s="6">
        <v>81.86</v>
      </c>
      <c r="H9" s="6">
        <v>80.74</v>
      </c>
      <c r="I9" s="6">
        <v>75.35</v>
      </c>
      <c r="J9" s="6">
        <v>81.3</v>
      </c>
      <c r="K9" s="6">
        <v>85.1</v>
      </c>
      <c r="L9" s="6">
        <v>64.26</v>
      </c>
      <c r="M9" s="6">
        <v>71.76</v>
      </c>
      <c r="N9" s="6">
        <v>76.78</v>
      </c>
      <c r="O9" s="6">
        <v>77.03</v>
      </c>
      <c r="P9" s="6">
        <v>71.6</v>
      </c>
      <c r="Q9" s="6">
        <v>77.08</v>
      </c>
    </row>
    <row r="10" spans="1:17">
      <c r="A10" s="5">
        <v>20240612</v>
      </c>
      <c r="B10" s="6">
        <v>78.5</v>
      </c>
      <c r="C10" s="6">
        <v>82.6</v>
      </c>
      <c r="D10" s="6">
        <v>82.66</v>
      </c>
      <c r="E10" s="6">
        <v>601.1</v>
      </c>
      <c r="F10" s="6">
        <v>82.65</v>
      </c>
      <c r="G10" s="6">
        <v>82.65</v>
      </c>
      <c r="H10" s="6">
        <v>81.245</v>
      </c>
      <c r="I10" s="6">
        <v>76.15</v>
      </c>
      <c r="J10" s="6">
        <v>82.11</v>
      </c>
      <c r="K10" s="6">
        <v>86.01</v>
      </c>
      <c r="L10" s="6">
        <v>64.88</v>
      </c>
      <c r="M10" s="6">
        <v>72.18</v>
      </c>
      <c r="N10" s="6">
        <v>77.51</v>
      </c>
      <c r="O10" s="6">
        <v>77.76</v>
      </c>
      <c r="P10" s="6">
        <v>72.56</v>
      </c>
      <c r="Q10" s="6">
        <v>77.91</v>
      </c>
    </row>
    <row r="11" spans="1:17">
      <c r="A11" s="5">
        <v>20240613</v>
      </c>
      <c r="B11" s="6">
        <v>78.62</v>
      </c>
      <c r="C11" s="6">
        <v>82.75</v>
      </c>
      <c r="D11" s="6">
        <v>82.2</v>
      </c>
      <c r="E11" s="6">
        <v>606</v>
      </c>
      <c r="F11" s="6">
        <v>82.08</v>
      </c>
      <c r="G11" s="6">
        <v>82.08</v>
      </c>
      <c r="H11" s="6">
        <v>81.64</v>
      </c>
      <c r="I11" s="6">
        <v>75.995</v>
      </c>
      <c r="J11" s="6">
        <v>81.97</v>
      </c>
      <c r="K11" s="6">
        <v>85.87</v>
      </c>
      <c r="L11" s="6">
        <v>64.7</v>
      </c>
      <c r="M11" s="6">
        <v>72.89</v>
      </c>
      <c r="N11" s="6">
        <v>77.32</v>
      </c>
      <c r="O11" s="6">
        <v>77.57</v>
      </c>
      <c r="P11" s="6">
        <v>72.82</v>
      </c>
      <c r="Q11" s="6">
        <v>77.72</v>
      </c>
    </row>
    <row r="12" spans="1:17">
      <c r="A12" s="5">
        <v>20240614</v>
      </c>
      <c r="B12" s="6">
        <v>78.45</v>
      </c>
      <c r="C12" s="6">
        <v>82.62</v>
      </c>
      <c r="D12" s="6">
        <v>81.97</v>
      </c>
      <c r="E12" s="6">
        <v>606.5</v>
      </c>
      <c r="F12" s="6">
        <v>82.325</v>
      </c>
      <c r="G12" s="6">
        <v>82.325</v>
      </c>
      <c r="H12" s="6">
        <v>81.73</v>
      </c>
      <c r="I12" s="6">
        <v>75.9</v>
      </c>
      <c r="J12" s="6">
        <v>81.73</v>
      </c>
      <c r="K12" s="6">
        <v>85.63</v>
      </c>
      <c r="L12" s="6">
        <v>64.69</v>
      </c>
      <c r="M12" s="6">
        <v>73.09</v>
      </c>
      <c r="N12" s="6">
        <v>77.15</v>
      </c>
      <c r="O12" s="6">
        <v>77.4</v>
      </c>
      <c r="P12" s="6">
        <v>72.78</v>
      </c>
      <c r="Q12" s="6">
        <v>77.6</v>
      </c>
    </row>
    <row r="13" spans="1:17">
      <c r="A13" s="5">
        <v>20240617</v>
      </c>
      <c r="B13" s="6">
        <v>80.33</v>
      </c>
      <c r="C13" s="6">
        <v>84.25</v>
      </c>
      <c r="D13" s="6">
        <v>82.31</v>
      </c>
      <c r="E13" s="6">
        <v>605.8</v>
      </c>
      <c r="F13" s="6"/>
      <c r="G13" s="6"/>
      <c r="H13" s="6">
        <v>83.36</v>
      </c>
      <c r="I13" s="6"/>
      <c r="J13" s="6"/>
      <c r="K13" s="6"/>
      <c r="L13" s="6"/>
      <c r="M13" s="6"/>
      <c r="N13" s="6"/>
      <c r="O13" s="6"/>
      <c r="P13" s="6"/>
      <c r="Q13" s="6"/>
    </row>
    <row r="14" spans="1:17">
      <c r="A14" s="5">
        <v>20240618</v>
      </c>
      <c r="B14" s="6">
        <v>81.57</v>
      </c>
      <c r="C14" s="6">
        <v>85.33</v>
      </c>
      <c r="D14" s="6">
        <v>83.37</v>
      </c>
      <c r="E14" s="6">
        <v>606.1</v>
      </c>
      <c r="F14" s="6">
        <v>83.34</v>
      </c>
      <c r="G14" s="6">
        <v>83.34</v>
      </c>
      <c r="H14" s="6">
        <v>85.28</v>
      </c>
      <c r="I14" s="6">
        <v>77.135</v>
      </c>
      <c r="J14" s="6">
        <v>83.03</v>
      </c>
      <c r="K14" s="6">
        <v>87.03</v>
      </c>
      <c r="L14" s="6">
        <v>66.005</v>
      </c>
      <c r="M14" s="6">
        <v>75.43</v>
      </c>
      <c r="N14" s="6">
        <v>78.67</v>
      </c>
      <c r="O14" s="6">
        <v>78.92</v>
      </c>
      <c r="P14" s="6">
        <v>74.38</v>
      </c>
      <c r="Q14" s="6">
        <v>78.62</v>
      </c>
    </row>
    <row r="15" spans="1:17">
      <c r="A15" s="5">
        <v>20240619</v>
      </c>
      <c r="B15" s="6"/>
      <c r="C15" s="6">
        <v>85.07</v>
      </c>
      <c r="D15" s="6">
        <v>84.46</v>
      </c>
      <c r="E15" s="6">
        <v>613.8</v>
      </c>
      <c r="F15" s="6">
        <v>84.3</v>
      </c>
      <c r="G15" s="6">
        <v>84.3</v>
      </c>
      <c r="H15" s="6">
        <v>86.185</v>
      </c>
      <c r="I15" s="6">
        <v>78.11</v>
      </c>
      <c r="J15" s="6">
        <v>84.29</v>
      </c>
      <c r="K15" s="6">
        <v>88.29</v>
      </c>
      <c r="L15" s="6">
        <v>66.92</v>
      </c>
      <c r="M15" s="6">
        <v>76.1</v>
      </c>
      <c r="N15" s="6">
        <v>80.25</v>
      </c>
      <c r="O15" s="6">
        <v>80.5</v>
      </c>
      <c r="P15" s="6">
        <v>75.84</v>
      </c>
      <c r="Q15" s="6">
        <v>79.6</v>
      </c>
    </row>
    <row r="16" spans="1:17">
      <c r="A16" s="5">
        <v>20240620</v>
      </c>
      <c r="B16" s="6">
        <v>82.17</v>
      </c>
      <c r="C16" s="6">
        <v>85.71</v>
      </c>
      <c r="D16" s="6">
        <v>84.66</v>
      </c>
      <c r="E16" s="6">
        <v>617.7</v>
      </c>
      <c r="F16" s="6">
        <v>84.53</v>
      </c>
      <c r="G16" s="6">
        <v>84.53</v>
      </c>
      <c r="H16" s="6">
        <v>86.115</v>
      </c>
      <c r="I16" s="6">
        <v>78.395</v>
      </c>
      <c r="J16" s="6">
        <v>84.53</v>
      </c>
      <c r="K16" s="6">
        <v>88.33</v>
      </c>
      <c r="L16" s="6">
        <v>67.16</v>
      </c>
      <c r="M16" s="6">
        <v>76.19</v>
      </c>
      <c r="N16" s="6">
        <v>80.83</v>
      </c>
      <c r="O16" s="6">
        <v>81.18</v>
      </c>
      <c r="P16" s="6">
        <v>76.08</v>
      </c>
      <c r="Q16" s="6">
        <v>79.78</v>
      </c>
    </row>
    <row r="17" spans="1:17">
      <c r="A17" s="5">
        <v>20240621</v>
      </c>
      <c r="B17" s="6">
        <v>80.73</v>
      </c>
      <c r="C17" s="6">
        <v>85.24</v>
      </c>
      <c r="D17" s="6">
        <v>84.78</v>
      </c>
      <c r="E17" s="6">
        <v>620.7</v>
      </c>
      <c r="F17" s="6">
        <v>84.79</v>
      </c>
      <c r="G17" s="6">
        <v>84.79</v>
      </c>
      <c r="H17" s="6">
        <v>87.015</v>
      </c>
      <c r="I17" s="6">
        <v>78.755</v>
      </c>
      <c r="J17" s="6">
        <v>84.4</v>
      </c>
      <c r="K17" s="6">
        <v>88.45</v>
      </c>
      <c r="L17" s="6">
        <v>67.86</v>
      </c>
      <c r="M17" s="6">
        <v>76.59</v>
      </c>
      <c r="N17" s="6">
        <v>81.16</v>
      </c>
      <c r="O17" s="6">
        <v>81.51</v>
      </c>
      <c r="P17" s="6">
        <v>76.2</v>
      </c>
      <c r="Q17" s="6">
        <v>79.96</v>
      </c>
    </row>
    <row r="18" spans="1:17">
      <c r="A18" s="5">
        <v>20240624</v>
      </c>
      <c r="B18" s="6">
        <v>81.63</v>
      </c>
      <c r="C18" s="6">
        <v>86.01</v>
      </c>
      <c r="D18" s="6">
        <v>84.51</v>
      </c>
      <c r="E18" s="6">
        <v>618.8</v>
      </c>
      <c r="F18" s="6">
        <v>84.54</v>
      </c>
      <c r="G18" s="6">
        <v>84.54</v>
      </c>
      <c r="H18" s="6">
        <v>87.115</v>
      </c>
      <c r="I18" s="6">
        <v>78.8</v>
      </c>
      <c r="J18" s="6">
        <v>84.28</v>
      </c>
      <c r="K18" s="6">
        <v>88.48</v>
      </c>
      <c r="L18" s="6">
        <v>68.125</v>
      </c>
      <c r="M18" s="6">
        <v>76.62</v>
      </c>
      <c r="N18" s="6">
        <v>81.05</v>
      </c>
      <c r="O18" s="6">
        <v>81.4</v>
      </c>
      <c r="P18" s="6">
        <v>76.13</v>
      </c>
      <c r="Q18" s="6">
        <v>79.7</v>
      </c>
    </row>
    <row r="19" spans="1:17">
      <c r="A19" s="5">
        <v>20240625</v>
      </c>
      <c r="B19" s="6">
        <v>80.83</v>
      </c>
      <c r="C19" s="6">
        <v>85.01</v>
      </c>
      <c r="D19" s="6">
        <v>85.16</v>
      </c>
      <c r="E19" s="6">
        <v>620.9</v>
      </c>
      <c r="F19" s="6">
        <v>85.29</v>
      </c>
      <c r="G19" s="6">
        <v>85.29</v>
      </c>
      <c r="H19" s="6">
        <v>86.775</v>
      </c>
      <c r="I19" s="6">
        <v>79.575</v>
      </c>
      <c r="J19" s="6">
        <v>84.81</v>
      </c>
      <c r="K19" s="6">
        <v>89.06</v>
      </c>
      <c r="L19" s="6">
        <v>68.945</v>
      </c>
      <c r="M19" s="6">
        <v>76.29</v>
      </c>
      <c r="N19" s="6">
        <v>81.65</v>
      </c>
      <c r="O19" s="6">
        <v>82</v>
      </c>
      <c r="P19" s="6">
        <v>76.66</v>
      </c>
      <c r="Q19" s="6">
        <v>80.35</v>
      </c>
    </row>
    <row r="20" spans="1:17">
      <c r="A20" s="5">
        <v>20240626</v>
      </c>
      <c r="B20" s="6">
        <v>80.9</v>
      </c>
      <c r="C20" s="6">
        <v>85.25</v>
      </c>
      <c r="D20" s="6">
        <v>84.6</v>
      </c>
      <c r="E20" s="6">
        <v>619.9</v>
      </c>
      <c r="F20" s="6">
        <v>84.5</v>
      </c>
      <c r="G20" s="6">
        <v>84.5</v>
      </c>
      <c r="H20" s="6">
        <v>85.27</v>
      </c>
      <c r="I20" s="6">
        <v>78.835</v>
      </c>
      <c r="J20" s="6">
        <v>84.26</v>
      </c>
      <c r="K20" s="6">
        <v>88.56</v>
      </c>
      <c r="L20" s="6">
        <v>68.135</v>
      </c>
      <c r="M20" s="6">
        <v>75.43</v>
      </c>
      <c r="N20" s="6">
        <v>81.24</v>
      </c>
      <c r="O20" s="6">
        <v>81.59</v>
      </c>
      <c r="P20" s="6">
        <v>76.11</v>
      </c>
      <c r="Q20" s="6">
        <v>79.69</v>
      </c>
    </row>
    <row r="21" spans="1:17">
      <c r="A21" s="5">
        <v>20240627</v>
      </c>
      <c r="B21" s="6">
        <v>81.74</v>
      </c>
      <c r="C21" s="6">
        <v>86.39</v>
      </c>
      <c r="D21" s="6">
        <v>84.64</v>
      </c>
      <c r="E21" s="6">
        <v>617.9</v>
      </c>
      <c r="F21" s="6">
        <v>84.94</v>
      </c>
      <c r="G21" s="6">
        <v>84.94</v>
      </c>
      <c r="H21" s="6">
        <v>87.255</v>
      </c>
      <c r="I21" s="6">
        <v>79.095</v>
      </c>
      <c r="J21" s="6">
        <v>84.79</v>
      </c>
      <c r="K21" s="6">
        <v>88.84</v>
      </c>
      <c r="L21" s="6">
        <v>68.335</v>
      </c>
      <c r="M21" s="6">
        <v>76.97</v>
      </c>
      <c r="N21" s="6">
        <v>81.63</v>
      </c>
      <c r="O21" s="6">
        <v>81.98</v>
      </c>
      <c r="P21" s="6">
        <v>76.39</v>
      </c>
      <c r="Q21" s="6">
        <v>80.03</v>
      </c>
    </row>
    <row r="22" spans="1:17">
      <c r="A22" s="5">
        <v>20240628</v>
      </c>
      <c r="B22" s="6">
        <v>81.54</v>
      </c>
      <c r="C22" s="6">
        <v>86.41</v>
      </c>
      <c r="D22" s="6">
        <v>85.42</v>
      </c>
      <c r="E22" s="6">
        <v>624.8</v>
      </c>
      <c r="F22" s="6">
        <v>85.75</v>
      </c>
      <c r="G22" s="6">
        <v>85.75</v>
      </c>
      <c r="H22" s="6">
        <v>86.83</v>
      </c>
      <c r="I22" s="6">
        <v>80.03</v>
      </c>
      <c r="J22" s="6">
        <v>85.93</v>
      </c>
      <c r="K22" s="6">
        <v>89.98</v>
      </c>
      <c r="L22" s="6">
        <v>69.325</v>
      </c>
      <c r="M22" s="6">
        <v>76.58</v>
      </c>
      <c r="N22" s="6">
        <v>82.5</v>
      </c>
      <c r="O22" s="6">
        <v>82.85</v>
      </c>
      <c r="P22" s="6">
        <v>77.53</v>
      </c>
      <c r="Q22" s="6">
        <v>80.85</v>
      </c>
    </row>
    <row r="23" spans="1:17">
      <c r="A23" s="7" t="s">
        <v>17</v>
      </c>
      <c r="B23" s="8">
        <f>AVERAGE(B18:B22)</f>
        <v>81.328</v>
      </c>
      <c r="C23" s="8">
        <f t="shared" ref="C23:Q23" si="0">AVERAGE(C18:C22)</f>
        <v>85.814</v>
      </c>
      <c r="D23" s="8">
        <f t="shared" si="0"/>
        <v>84.866</v>
      </c>
      <c r="E23" s="8">
        <f t="shared" si="0"/>
        <v>620.46</v>
      </c>
      <c r="F23" s="8">
        <f t="shared" si="0"/>
        <v>85.004</v>
      </c>
      <c r="G23" s="8">
        <f t="shared" si="0"/>
        <v>85.004</v>
      </c>
      <c r="H23" s="8">
        <f t="shared" si="0"/>
        <v>86.649</v>
      </c>
      <c r="I23" s="8">
        <f t="shared" si="0"/>
        <v>79.267</v>
      </c>
      <c r="J23" s="8">
        <f t="shared" si="0"/>
        <v>84.814</v>
      </c>
      <c r="K23" s="8">
        <f t="shared" si="0"/>
        <v>88.984</v>
      </c>
      <c r="L23" s="8">
        <f t="shared" si="0"/>
        <v>68.573</v>
      </c>
      <c r="M23" s="8">
        <f t="shared" si="0"/>
        <v>76.378</v>
      </c>
      <c r="N23" s="8">
        <f t="shared" si="0"/>
        <v>81.614</v>
      </c>
      <c r="O23" s="8">
        <f t="shared" si="0"/>
        <v>81.964</v>
      </c>
      <c r="P23" s="8">
        <f t="shared" si="0"/>
        <v>76.564</v>
      </c>
      <c r="Q23" s="8">
        <f t="shared" si="0"/>
        <v>80.124</v>
      </c>
    </row>
    <row r="24" ht="22.5" spans="1:17">
      <c r="A24" s="3" t="s">
        <v>39</v>
      </c>
      <c r="B24" s="9">
        <f>AVERAGE(B3:B22)</f>
        <v>78.6984210526316</v>
      </c>
      <c r="C24" s="9">
        <f t="shared" ref="C24:Q24" si="1">AVERAGE(C3:C22)</f>
        <v>82.9985</v>
      </c>
      <c r="D24" s="9">
        <f t="shared" si="1"/>
        <v>82.504</v>
      </c>
      <c r="E24" s="9">
        <f t="shared" si="1"/>
        <v>604.436842105263</v>
      </c>
      <c r="F24" s="9">
        <f t="shared" si="1"/>
        <v>82.5486842105263</v>
      </c>
      <c r="G24" s="9">
        <f t="shared" si="1"/>
        <v>82.5486842105263</v>
      </c>
      <c r="H24" s="9">
        <f t="shared" si="1"/>
        <v>82.60775</v>
      </c>
      <c r="I24" s="9">
        <f t="shared" si="1"/>
        <v>76.3192105263158</v>
      </c>
      <c r="J24" s="9">
        <f t="shared" si="1"/>
        <v>82.161052631579</v>
      </c>
      <c r="K24" s="9">
        <f t="shared" si="1"/>
        <v>86.168947368421</v>
      </c>
      <c r="L24" s="9">
        <f t="shared" si="1"/>
        <v>65.3428947368421</v>
      </c>
      <c r="M24" s="9">
        <f t="shared" si="1"/>
        <v>73.1915789473684</v>
      </c>
      <c r="N24" s="9">
        <f t="shared" si="1"/>
        <v>78.1284210526316</v>
      </c>
      <c r="O24" s="9">
        <f t="shared" si="1"/>
        <v>78.4152631578947</v>
      </c>
      <c r="P24" s="9">
        <f t="shared" si="1"/>
        <v>73.1742105263158</v>
      </c>
      <c r="Q24" s="9">
        <f t="shared" si="1"/>
        <v>77.76</v>
      </c>
    </row>
    <row r="25" ht="23.25" spans="1:17">
      <c r="A25" s="10" t="s">
        <v>19</v>
      </c>
      <c r="B25" s="24">
        <f t="shared" ref="B25:Q25" si="2">(B24-B2)/B2</f>
        <v>0.000980107857507238</v>
      </c>
      <c r="C25" s="24">
        <f t="shared" si="2"/>
        <v>2.38354671754789e-5</v>
      </c>
      <c r="D25" s="23">
        <f t="shared" si="2"/>
        <v>-0.0165573141785087</v>
      </c>
      <c r="E25" s="23">
        <f t="shared" si="2"/>
        <v>-0.0145158605255432</v>
      </c>
      <c r="F25" s="23">
        <f t="shared" si="2"/>
        <v>-0.0176896492281851</v>
      </c>
      <c r="G25" s="23">
        <f t="shared" si="2"/>
        <v>-0.0177731368974538</v>
      </c>
      <c r="H25" s="24">
        <f t="shared" si="2"/>
        <v>0.00682397903662495</v>
      </c>
      <c r="I25" s="23">
        <f t="shared" si="2"/>
        <v>-0.0258928155857842</v>
      </c>
      <c r="J25" s="23">
        <f t="shared" si="2"/>
        <v>-0.0152771707541262</v>
      </c>
      <c r="K25" s="23">
        <f t="shared" si="2"/>
        <v>-0.0172177082216743</v>
      </c>
      <c r="L25" s="23">
        <f t="shared" si="2"/>
        <v>-0.0412905823561212</v>
      </c>
      <c r="M25" s="24">
        <f t="shared" si="2"/>
        <v>0.00105097971465195</v>
      </c>
      <c r="N25" s="23">
        <f t="shared" si="2"/>
        <v>-0.00833049415128493</v>
      </c>
      <c r="O25" s="23">
        <f t="shared" si="2"/>
        <v>-0.00783799262149896</v>
      </c>
      <c r="P25" s="23">
        <f t="shared" si="2"/>
        <v>-0.000481674790435266</v>
      </c>
      <c r="Q25" s="23">
        <f t="shared" si="2"/>
        <v>-0.00929453733588974</v>
      </c>
    </row>
    <row r="26" ht="15"/>
  </sheetData>
  <pageMargins left="0.75" right="0.75" top="1" bottom="1" header="0.5" footer="0.5"/>
  <pageSetup paperSize="9" orientation="portrait"/>
  <headerFooter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Q29"/>
  <sheetViews>
    <sheetView workbookViewId="0">
      <selection activeCell="E25" sqref="E3:E25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20</v>
      </c>
      <c r="B2" s="9">
        <v>84.3940909090909</v>
      </c>
      <c r="C2" s="9">
        <v>89</v>
      </c>
      <c r="D2" s="9">
        <v>89.3004545454546</v>
      </c>
      <c r="E2" s="9">
        <v>654.04</v>
      </c>
      <c r="F2" s="9">
        <v>89.172380952381</v>
      </c>
      <c r="G2" s="9">
        <v>89.1940476190476</v>
      </c>
      <c r="H2" s="9">
        <v>90.1502380952381</v>
      </c>
      <c r="I2" s="9">
        <v>84.7669047619048</v>
      </c>
      <c r="J2" s="9">
        <v>90.7152380952381</v>
      </c>
      <c r="K2" s="9">
        <v>93.5247619047619</v>
      </c>
      <c r="L2" s="9">
        <v>75.1671428571429</v>
      </c>
      <c r="M2" s="9">
        <v>80.702</v>
      </c>
      <c r="N2" s="9">
        <v>85.9625</v>
      </c>
      <c r="O2" s="9">
        <v>86.2125</v>
      </c>
      <c r="P2" s="9">
        <v>80.533</v>
      </c>
      <c r="Q2" s="9">
        <v>83.9204761904762</v>
      </c>
    </row>
    <row r="3" spans="1:17">
      <c r="A3" s="5">
        <v>20240501</v>
      </c>
      <c r="B3" s="6">
        <v>79</v>
      </c>
      <c r="C3" s="6">
        <v>83.44</v>
      </c>
      <c r="D3" s="6">
        <v>85.31</v>
      </c>
      <c r="E3" s="6"/>
      <c r="F3" s="6"/>
      <c r="G3" s="6"/>
      <c r="H3" s="6">
        <v>84.92</v>
      </c>
      <c r="I3" s="6"/>
      <c r="J3" s="6"/>
      <c r="K3" s="6"/>
      <c r="L3" s="6"/>
      <c r="M3" s="6"/>
      <c r="N3" s="6"/>
      <c r="O3" s="6"/>
      <c r="P3" s="6"/>
      <c r="Q3" s="6"/>
    </row>
    <row r="4" spans="1:17">
      <c r="A4" s="5">
        <v>20240502</v>
      </c>
      <c r="B4" s="6">
        <v>78.95</v>
      </c>
      <c r="C4" s="6">
        <v>83.67</v>
      </c>
      <c r="D4" s="6">
        <v>84.46</v>
      </c>
      <c r="E4" s="6"/>
      <c r="F4" s="6">
        <v>84.49</v>
      </c>
      <c r="G4" s="6">
        <v>84.49</v>
      </c>
      <c r="H4" s="6">
        <v>83.93</v>
      </c>
      <c r="I4" s="6">
        <v>79.49</v>
      </c>
      <c r="J4" s="6">
        <v>84.47</v>
      </c>
      <c r="K4" s="6">
        <v>88.72</v>
      </c>
      <c r="L4" s="6">
        <v>69.975</v>
      </c>
      <c r="M4" s="6">
        <v>74.28</v>
      </c>
      <c r="N4" s="6">
        <v>80.34</v>
      </c>
      <c r="O4" s="6">
        <v>80.59</v>
      </c>
      <c r="P4" s="6">
        <v>74.22</v>
      </c>
      <c r="Q4" s="6">
        <v>79.09</v>
      </c>
    </row>
    <row r="5" spans="1:17">
      <c r="A5" s="5">
        <v>20240503</v>
      </c>
      <c r="B5" s="6">
        <v>78.11</v>
      </c>
      <c r="C5" s="6">
        <v>82.96</v>
      </c>
      <c r="D5" s="6">
        <v>84.02</v>
      </c>
      <c r="E5" s="6"/>
      <c r="F5" s="6">
        <v>84.09</v>
      </c>
      <c r="G5" s="6">
        <v>84.09</v>
      </c>
      <c r="H5" s="6">
        <v>83.3</v>
      </c>
      <c r="I5" s="6">
        <v>79.23</v>
      </c>
      <c r="J5" s="6">
        <v>84.23</v>
      </c>
      <c r="K5" s="6">
        <v>88.48</v>
      </c>
      <c r="L5" s="6">
        <v>69.8</v>
      </c>
      <c r="M5" s="6">
        <v>73.97</v>
      </c>
      <c r="N5" s="6">
        <v>79.94</v>
      </c>
      <c r="O5" s="6">
        <v>80.19</v>
      </c>
      <c r="P5" s="6">
        <v>73.93</v>
      </c>
      <c r="Q5" s="6">
        <v>78.74</v>
      </c>
    </row>
    <row r="6" spans="1:17">
      <c r="A6" s="5">
        <v>20240506</v>
      </c>
      <c r="B6" s="6">
        <v>78.48</v>
      </c>
      <c r="C6" s="6">
        <v>83.33</v>
      </c>
      <c r="D6" s="6">
        <v>83.93</v>
      </c>
      <c r="E6" s="6">
        <v>616.1</v>
      </c>
      <c r="F6" s="6">
        <v>84.01</v>
      </c>
      <c r="G6" s="6">
        <v>84.01</v>
      </c>
      <c r="H6" s="6"/>
      <c r="I6" s="6">
        <v>79.08</v>
      </c>
      <c r="J6" s="6">
        <v>84.07</v>
      </c>
      <c r="K6" s="6">
        <v>88.27</v>
      </c>
      <c r="L6" s="6">
        <v>69.52</v>
      </c>
      <c r="M6" s="6"/>
      <c r="N6" s="6"/>
      <c r="O6" s="6"/>
      <c r="P6" s="6"/>
      <c r="Q6" s="6">
        <v>78.63</v>
      </c>
    </row>
    <row r="7" spans="1:17">
      <c r="A7" s="5">
        <v>20240507</v>
      </c>
      <c r="B7" s="6">
        <v>78.38</v>
      </c>
      <c r="C7" s="6">
        <v>83.16</v>
      </c>
      <c r="D7" s="6">
        <v>84.08</v>
      </c>
      <c r="E7" s="6">
        <v>617.4</v>
      </c>
      <c r="F7" s="6">
        <v>84.14</v>
      </c>
      <c r="G7" s="6">
        <v>84.14</v>
      </c>
      <c r="H7" s="6">
        <v>82.11</v>
      </c>
      <c r="I7" s="6">
        <v>79.17</v>
      </c>
      <c r="J7" s="6">
        <v>84.06</v>
      </c>
      <c r="K7" s="6">
        <v>88.26</v>
      </c>
      <c r="L7" s="6">
        <v>69.635</v>
      </c>
      <c r="M7" s="6">
        <v>73.52</v>
      </c>
      <c r="N7" s="6">
        <v>79.27</v>
      </c>
      <c r="O7" s="6">
        <v>79.52</v>
      </c>
      <c r="P7" s="6">
        <v>73.71</v>
      </c>
      <c r="Q7" s="6">
        <v>78.77</v>
      </c>
    </row>
    <row r="8" spans="1:17">
      <c r="A8" s="5">
        <v>20240508</v>
      </c>
      <c r="B8" s="6">
        <v>78.99</v>
      </c>
      <c r="C8" s="6">
        <v>83.58</v>
      </c>
      <c r="D8" s="6">
        <v>82.98</v>
      </c>
      <c r="E8" s="6">
        <v>615.1</v>
      </c>
      <c r="F8" s="6">
        <v>83</v>
      </c>
      <c r="G8" s="6">
        <v>83</v>
      </c>
      <c r="H8" s="6">
        <v>83.32</v>
      </c>
      <c r="I8" s="6">
        <v>78.055</v>
      </c>
      <c r="J8" s="6">
        <v>82.75</v>
      </c>
      <c r="K8" s="6">
        <v>86.95</v>
      </c>
      <c r="L8" s="6">
        <v>68.435</v>
      </c>
      <c r="M8" s="6">
        <v>73.97</v>
      </c>
      <c r="N8" s="6">
        <v>78.14</v>
      </c>
      <c r="O8" s="6">
        <v>78.39</v>
      </c>
      <c r="P8" s="6">
        <v>72.35</v>
      </c>
      <c r="Q8" s="6">
        <v>77.74</v>
      </c>
    </row>
    <row r="9" spans="1:17">
      <c r="A9" s="5">
        <v>20240509</v>
      </c>
      <c r="B9" s="6">
        <v>79.26</v>
      </c>
      <c r="C9" s="6">
        <v>83.88</v>
      </c>
      <c r="D9" s="6">
        <v>84.68</v>
      </c>
      <c r="E9" s="6">
        <v>614.8</v>
      </c>
      <c r="F9" s="6">
        <v>84.65</v>
      </c>
      <c r="G9" s="6">
        <v>84.65</v>
      </c>
      <c r="H9" s="6">
        <v>83.445</v>
      </c>
      <c r="I9" s="6">
        <v>79.64</v>
      </c>
      <c r="J9" s="6">
        <v>84.28</v>
      </c>
      <c r="K9" s="6">
        <v>88.48</v>
      </c>
      <c r="L9" s="6">
        <v>69.92</v>
      </c>
      <c r="M9" s="6">
        <v>73.54</v>
      </c>
      <c r="N9" s="6">
        <v>79.57</v>
      </c>
      <c r="O9" s="6">
        <v>79.82</v>
      </c>
      <c r="P9" s="6">
        <v>73.83</v>
      </c>
      <c r="Q9" s="6">
        <v>79.22</v>
      </c>
    </row>
    <row r="10" spans="1:17">
      <c r="A10" s="5">
        <v>20240510</v>
      </c>
      <c r="B10" s="6">
        <v>78.26</v>
      </c>
      <c r="C10" s="6">
        <v>82.79</v>
      </c>
      <c r="D10" s="6">
        <v>84.78</v>
      </c>
      <c r="E10" s="6">
        <v>619.3</v>
      </c>
      <c r="F10" s="6">
        <v>84.83</v>
      </c>
      <c r="G10" s="6">
        <v>84.84</v>
      </c>
      <c r="H10" s="6">
        <v>83.075</v>
      </c>
      <c r="I10" s="6">
        <v>79.82</v>
      </c>
      <c r="J10" s="6">
        <v>84.4</v>
      </c>
      <c r="K10" s="6">
        <v>88.7</v>
      </c>
      <c r="L10" s="6">
        <v>70.035</v>
      </c>
      <c r="M10" s="6">
        <v>73.52</v>
      </c>
      <c r="N10" s="6">
        <v>79.74</v>
      </c>
      <c r="O10" s="6">
        <v>79.99</v>
      </c>
      <c r="P10" s="6">
        <v>74.05</v>
      </c>
      <c r="Q10" s="6">
        <v>79.34</v>
      </c>
    </row>
    <row r="11" spans="1:17">
      <c r="A11" s="5">
        <v>20240513</v>
      </c>
      <c r="B11" s="6">
        <v>79.12</v>
      </c>
      <c r="C11" s="6">
        <v>83.36</v>
      </c>
      <c r="D11" s="6">
        <v>83.88</v>
      </c>
      <c r="E11" s="6">
        <v>616.7</v>
      </c>
      <c r="F11" s="6">
        <v>83.845</v>
      </c>
      <c r="G11" s="6">
        <v>83.845</v>
      </c>
      <c r="H11" s="6">
        <v>82.115</v>
      </c>
      <c r="I11" s="6">
        <v>78.68</v>
      </c>
      <c r="J11" s="6">
        <v>83.33</v>
      </c>
      <c r="K11" s="6">
        <v>87.68</v>
      </c>
      <c r="L11" s="6">
        <v>68.905</v>
      </c>
      <c r="M11" s="6">
        <v>73.11</v>
      </c>
      <c r="N11" s="6">
        <v>78.81</v>
      </c>
      <c r="O11" s="6">
        <v>79.06</v>
      </c>
      <c r="P11" s="6">
        <v>72.98</v>
      </c>
      <c r="Q11" s="6">
        <v>78.34</v>
      </c>
    </row>
    <row r="12" spans="1:17">
      <c r="A12" s="5">
        <v>20240514</v>
      </c>
      <c r="B12" s="6">
        <v>78.02</v>
      </c>
      <c r="C12" s="6">
        <v>82.38</v>
      </c>
      <c r="D12" s="6">
        <v>83.97</v>
      </c>
      <c r="E12" s="6">
        <v>618.4</v>
      </c>
      <c r="F12" s="6">
        <v>83.89</v>
      </c>
      <c r="G12" s="6">
        <v>83.9</v>
      </c>
      <c r="H12" s="6">
        <v>80.56</v>
      </c>
      <c r="I12" s="6">
        <v>78.735</v>
      </c>
      <c r="J12" s="6">
        <v>83.38</v>
      </c>
      <c r="K12" s="6">
        <v>87.73</v>
      </c>
      <c r="L12" s="6">
        <v>68.92</v>
      </c>
      <c r="M12" s="6">
        <v>72.22</v>
      </c>
      <c r="N12" s="6">
        <v>78.68</v>
      </c>
      <c r="O12" s="6">
        <v>78.93</v>
      </c>
      <c r="P12" s="6">
        <v>73.08</v>
      </c>
      <c r="Q12" s="6">
        <v>78.43</v>
      </c>
    </row>
    <row r="13" spans="1:17">
      <c r="A13" s="5">
        <v>20240515</v>
      </c>
      <c r="B13" s="6">
        <v>78.63</v>
      </c>
      <c r="C13" s="6">
        <v>82.75</v>
      </c>
      <c r="D13" s="6">
        <v>83.4</v>
      </c>
      <c r="E13" s="6">
        <v>612.8</v>
      </c>
      <c r="F13" s="6">
        <v>83.4</v>
      </c>
      <c r="G13" s="6">
        <v>83.41</v>
      </c>
      <c r="H13" s="6">
        <v>81.45</v>
      </c>
      <c r="I13" s="6">
        <v>78.27</v>
      </c>
      <c r="J13" s="6">
        <v>82.99</v>
      </c>
      <c r="K13" s="6">
        <v>87.34</v>
      </c>
      <c r="L13" s="6">
        <v>68.38</v>
      </c>
      <c r="M13" s="6">
        <v>72.45</v>
      </c>
      <c r="N13" s="6">
        <v>78.18</v>
      </c>
      <c r="O13" s="6">
        <v>78.43</v>
      </c>
      <c r="P13" s="6">
        <v>72.69</v>
      </c>
      <c r="Q13" s="6">
        <v>77.93</v>
      </c>
    </row>
    <row r="14" spans="1:17">
      <c r="A14" s="5">
        <v>20240516</v>
      </c>
      <c r="B14" s="6">
        <v>79.23</v>
      </c>
      <c r="C14" s="6">
        <v>83.27</v>
      </c>
      <c r="D14" s="6">
        <v>83.74</v>
      </c>
      <c r="E14" s="6">
        <v>607.8</v>
      </c>
      <c r="F14" s="6">
        <v>83.75</v>
      </c>
      <c r="G14" s="6">
        <v>83.75</v>
      </c>
      <c r="H14" s="6">
        <v>81.825</v>
      </c>
      <c r="I14" s="6">
        <v>77.995</v>
      </c>
      <c r="J14" s="6">
        <v>83.05</v>
      </c>
      <c r="K14" s="6">
        <v>87.4</v>
      </c>
      <c r="L14" s="6">
        <v>67.81</v>
      </c>
      <c r="M14" s="6">
        <v>72.96</v>
      </c>
      <c r="N14" s="6">
        <v>78.2</v>
      </c>
      <c r="O14" s="6">
        <v>78.45</v>
      </c>
      <c r="P14" s="6">
        <v>72.8</v>
      </c>
      <c r="Q14" s="6">
        <v>78.2</v>
      </c>
    </row>
    <row r="15" spans="1:17">
      <c r="A15" s="5">
        <v>20240517</v>
      </c>
      <c r="B15" s="6">
        <v>80.06</v>
      </c>
      <c r="C15" s="6">
        <v>83.98</v>
      </c>
      <c r="D15" s="6">
        <v>84.53</v>
      </c>
      <c r="E15" s="6">
        <v>616.5</v>
      </c>
      <c r="F15" s="6">
        <v>84.64</v>
      </c>
      <c r="G15" s="6">
        <v>84.64</v>
      </c>
      <c r="H15" s="6">
        <v>82.44</v>
      </c>
      <c r="I15" s="6">
        <v>78.705</v>
      </c>
      <c r="J15" s="6">
        <v>83.77</v>
      </c>
      <c r="K15" s="6">
        <v>88.07</v>
      </c>
      <c r="L15" s="6">
        <v>68.49</v>
      </c>
      <c r="M15" s="6">
        <v>73.55</v>
      </c>
      <c r="N15" s="6">
        <v>78.7</v>
      </c>
      <c r="O15" s="6">
        <v>78.95</v>
      </c>
      <c r="P15" s="6">
        <v>73.47</v>
      </c>
      <c r="Q15" s="6">
        <v>79</v>
      </c>
    </row>
    <row r="16" spans="1:17">
      <c r="A16" s="5">
        <v>20240520</v>
      </c>
      <c r="B16" s="6">
        <v>79.8</v>
      </c>
      <c r="C16" s="6">
        <v>83.71</v>
      </c>
      <c r="D16" s="6">
        <v>85.2</v>
      </c>
      <c r="E16" s="6">
        <v>618.3</v>
      </c>
      <c r="F16" s="6">
        <v>85.16</v>
      </c>
      <c r="G16" s="6">
        <v>85.22</v>
      </c>
      <c r="H16" s="6">
        <v>82.33</v>
      </c>
      <c r="I16" s="6">
        <v>79.185</v>
      </c>
      <c r="J16" s="6">
        <v>84.42</v>
      </c>
      <c r="K16" s="6">
        <v>88.67</v>
      </c>
      <c r="L16" s="6">
        <v>68.98</v>
      </c>
      <c r="M16" s="6">
        <v>73.8</v>
      </c>
      <c r="N16" s="6">
        <v>79.38</v>
      </c>
      <c r="O16" s="6">
        <v>79.63</v>
      </c>
      <c r="P16" s="6">
        <v>74.12</v>
      </c>
      <c r="Q16" s="6">
        <v>79.53</v>
      </c>
    </row>
    <row r="17" spans="1:17">
      <c r="A17" s="5">
        <v>20240521</v>
      </c>
      <c r="B17" s="6">
        <v>79.26</v>
      </c>
      <c r="C17" s="6">
        <v>82.88</v>
      </c>
      <c r="D17" s="6">
        <v>84.22</v>
      </c>
      <c r="E17" s="6">
        <v>617.9</v>
      </c>
      <c r="F17" s="6">
        <v>84.19</v>
      </c>
      <c r="G17" s="6">
        <v>84.25</v>
      </c>
      <c r="H17" s="6">
        <v>81.5</v>
      </c>
      <c r="I17" s="6">
        <v>78.09</v>
      </c>
      <c r="J17" s="6">
        <v>83.36</v>
      </c>
      <c r="K17" s="6">
        <v>87.56</v>
      </c>
      <c r="L17" s="6">
        <v>67.63</v>
      </c>
      <c r="M17" s="6">
        <v>72.86</v>
      </c>
      <c r="N17" s="6">
        <v>78.47</v>
      </c>
      <c r="O17" s="6">
        <v>78.72</v>
      </c>
      <c r="P17" s="6">
        <v>72.96</v>
      </c>
      <c r="Q17" s="6">
        <v>78.57</v>
      </c>
    </row>
    <row r="18" spans="1:17">
      <c r="A18" s="5">
        <v>20240522</v>
      </c>
      <c r="B18" s="6">
        <v>77.57</v>
      </c>
      <c r="C18" s="6">
        <v>81.9</v>
      </c>
      <c r="D18" s="6">
        <v>83.07</v>
      </c>
      <c r="E18" s="6">
        <v>611</v>
      </c>
      <c r="F18" s="6"/>
      <c r="G18" s="6"/>
      <c r="H18" s="6">
        <v>80.725</v>
      </c>
      <c r="I18" s="6"/>
      <c r="J18" s="6"/>
      <c r="K18" s="6"/>
      <c r="L18" s="6"/>
      <c r="M18" s="6"/>
      <c r="N18" s="6"/>
      <c r="O18" s="6"/>
      <c r="P18" s="6"/>
      <c r="Q18" s="6"/>
    </row>
    <row r="19" spans="1:17">
      <c r="A19" s="5">
        <v>20240523</v>
      </c>
      <c r="B19" s="6">
        <v>76.87</v>
      </c>
      <c r="C19" s="6">
        <v>81.36</v>
      </c>
      <c r="D19" s="6">
        <v>83.25</v>
      </c>
      <c r="E19" s="6">
        <v>604.6</v>
      </c>
      <c r="F19" s="6">
        <v>83.24</v>
      </c>
      <c r="G19" s="6">
        <v>83.24</v>
      </c>
      <c r="H19" s="6">
        <v>79.72</v>
      </c>
      <c r="I19" s="6">
        <v>76.835</v>
      </c>
      <c r="J19" s="6">
        <v>82.14</v>
      </c>
      <c r="K19" s="6">
        <v>86.34</v>
      </c>
      <c r="L19" s="6">
        <v>66.35</v>
      </c>
      <c r="M19" s="6">
        <v>71.5</v>
      </c>
      <c r="N19" s="6">
        <v>77.49</v>
      </c>
      <c r="O19" s="6">
        <v>77.74</v>
      </c>
      <c r="P19" s="6">
        <v>71.79</v>
      </c>
      <c r="Q19" s="6">
        <v>77.49</v>
      </c>
    </row>
    <row r="20" spans="1:17">
      <c r="A20" s="5">
        <v>20240524</v>
      </c>
      <c r="B20" s="6">
        <v>77.72</v>
      </c>
      <c r="C20" s="6">
        <v>82.12</v>
      </c>
      <c r="D20" s="6">
        <v>82.42</v>
      </c>
      <c r="E20" s="6">
        <v>603.5</v>
      </c>
      <c r="F20" s="6">
        <v>82.45</v>
      </c>
      <c r="G20" s="6">
        <v>82.45</v>
      </c>
      <c r="H20" s="6">
        <v>80.005</v>
      </c>
      <c r="I20" s="6">
        <v>76.015</v>
      </c>
      <c r="J20" s="6">
        <v>81.43</v>
      </c>
      <c r="K20" s="6">
        <v>85.58</v>
      </c>
      <c r="L20" s="6">
        <v>65.505</v>
      </c>
      <c r="M20" s="6">
        <v>71.53</v>
      </c>
      <c r="N20" s="6">
        <v>76.82</v>
      </c>
      <c r="O20" s="6">
        <v>77.07</v>
      </c>
      <c r="P20" s="6">
        <v>71.03</v>
      </c>
      <c r="Q20" s="6">
        <v>76.67</v>
      </c>
    </row>
    <row r="21" spans="1:17">
      <c r="A21" s="5">
        <v>20240527</v>
      </c>
      <c r="B21" s="6"/>
      <c r="C21" s="6">
        <v>83.1</v>
      </c>
      <c r="D21" s="6">
        <v>83.19</v>
      </c>
      <c r="E21" s="6">
        <v>604.3</v>
      </c>
      <c r="F21" s="6">
        <v>83.3</v>
      </c>
      <c r="G21" s="6">
        <v>83.3</v>
      </c>
      <c r="H21" s="6"/>
      <c r="I21" s="6">
        <v>76.84</v>
      </c>
      <c r="J21" s="6">
        <v>82.4</v>
      </c>
      <c r="K21" s="6">
        <v>86.55</v>
      </c>
      <c r="L21" s="6">
        <v>65.98</v>
      </c>
      <c r="M21" s="6"/>
      <c r="N21" s="6"/>
      <c r="O21" s="6"/>
      <c r="P21" s="6"/>
      <c r="Q21" s="6">
        <v>77.51</v>
      </c>
    </row>
    <row r="22" spans="1:17">
      <c r="A22" s="5">
        <v>20240528</v>
      </c>
      <c r="B22" s="6">
        <v>79.83</v>
      </c>
      <c r="C22" s="6">
        <v>84.22</v>
      </c>
      <c r="D22" s="6">
        <v>84.31</v>
      </c>
      <c r="E22" s="6">
        <v>610.8</v>
      </c>
      <c r="F22" s="6">
        <v>84.44</v>
      </c>
      <c r="G22" s="6">
        <v>84.44</v>
      </c>
      <c r="H22" s="6">
        <v>82.52</v>
      </c>
      <c r="I22" s="6">
        <v>77.95</v>
      </c>
      <c r="J22" s="6">
        <v>83.48</v>
      </c>
      <c r="K22" s="6">
        <v>87.68</v>
      </c>
      <c r="L22" s="6">
        <v>66.88</v>
      </c>
      <c r="M22" s="6">
        <v>74.03</v>
      </c>
      <c r="N22" s="6">
        <v>78.82</v>
      </c>
      <c r="O22" s="6">
        <v>79.07</v>
      </c>
      <c r="P22" s="6">
        <v>73.48</v>
      </c>
      <c r="Q22" s="6">
        <v>78.67</v>
      </c>
    </row>
    <row r="23" spans="1:17">
      <c r="A23" s="5">
        <v>20240529</v>
      </c>
      <c r="B23" s="6">
        <v>79.23</v>
      </c>
      <c r="C23" s="6">
        <v>83.6</v>
      </c>
      <c r="D23" s="6">
        <v>85</v>
      </c>
      <c r="E23" s="6">
        <v>617.3</v>
      </c>
      <c r="F23" s="6">
        <v>85.475</v>
      </c>
      <c r="G23" s="6">
        <v>85.475</v>
      </c>
      <c r="H23" s="6">
        <v>82.345</v>
      </c>
      <c r="I23" s="6">
        <v>79.03</v>
      </c>
      <c r="J23" s="6">
        <v>84.78</v>
      </c>
      <c r="K23" s="6">
        <v>89.03</v>
      </c>
      <c r="L23" s="6">
        <v>67.855</v>
      </c>
      <c r="M23" s="6">
        <v>73.81</v>
      </c>
      <c r="N23" s="6">
        <v>79.92</v>
      </c>
      <c r="O23" s="6">
        <v>80.17</v>
      </c>
      <c r="P23" s="6">
        <v>74.83</v>
      </c>
      <c r="Q23" s="6">
        <v>79.87</v>
      </c>
    </row>
    <row r="24" spans="1:17">
      <c r="A24" s="5">
        <v>20240530</v>
      </c>
      <c r="B24" s="6">
        <v>77.91</v>
      </c>
      <c r="C24" s="6">
        <v>81.86</v>
      </c>
      <c r="D24" s="6">
        <v>83.04</v>
      </c>
      <c r="E24" s="6">
        <v>616.9</v>
      </c>
      <c r="F24" s="6">
        <v>84.3</v>
      </c>
      <c r="G24" s="6">
        <v>84.3</v>
      </c>
      <c r="H24" s="6">
        <v>81.19</v>
      </c>
      <c r="I24" s="6">
        <v>77.94</v>
      </c>
      <c r="J24" s="6">
        <v>83.46</v>
      </c>
      <c r="K24" s="6">
        <v>87.71</v>
      </c>
      <c r="L24" s="6">
        <v>66.785</v>
      </c>
      <c r="M24" s="6">
        <v>72.87</v>
      </c>
      <c r="N24" s="6">
        <v>78.91</v>
      </c>
      <c r="O24" s="6">
        <v>79.16</v>
      </c>
      <c r="P24" s="6">
        <v>73.61</v>
      </c>
      <c r="Q24" s="6">
        <v>78.86</v>
      </c>
    </row>
    <row r="25" spans="1:17">
      <c r="A25" s="5">
        <v>20240531</v>
      </c>
      <c r="B25" s="6">
        <v>76.99</v>
      </c>
      <c r="C25" s="6">
        <v>81.62</v>
      </c>
      <c r="D25" s="6">
        <v>82.08</v>
      </c>
      <c r="E25" s="6">
        <v>607.3</v>
      </c>
      <c r="F25" s="6">
        <v>83.45</v>
      </c>
      <c r="G25" s="6">
        <v>83.45</v>
      </c>
      <c r="H25" s="6">
        <v>80.18</v>
      </c>
      <c r="I25" s="6">
        <v>76.55</v>
      </c>
      <c r="J25" s="6">
        <v>81.9</v>
      </c>
      <c r="K25" s="6">
        <v>86.05</v>
      </c>
      <c r="L25" s="6">
        <v>65.51</v>
      </c>
      <c r="M25" s="6">
        <v>71.69</v>
      </c>
      <c r="N25" s="6">
        <v>77.53</v>
      </c>
      <c r="O25" s="6">
        <v>77.78</v>
      </c>
      <c r="P25" s="6">
        <v>72.05</v>
      </c>
      <c r="Q25" s="6">
        <v>77.68</v>
      </c>
    </row>
    <row r="26" spans="1:17">
      <c r="A26" s="7" t="s">
        <v>17</v>
      </c>
      <c r="B26" s="8">
        <f>AVERAGE(B21:B25)</f>
        <v>78.49</v>
      </c>
      <c r="C26" s="8">
        <f t="shared" ref="C26:Q26" si="0">AVERAGE(C21:C25)</f>
        <v>82.88</v>
      </c>
      <c r="D26" s="8">
        <f t="shared" si="0"/>
        <v>83.524</v>
      </c>
      <c r="E26" s="8">
        <f t="shared" si="0"/>
        <v>611.32</v>
      </c>
      <c r="F26" s="8">
        <f t="shared" si="0"/>
        <v>84.193</v>
      </c>
      <c r="G26" s="8">
        <f t="shared" si="0"/>
        <v>84.193</v>
      </c>
      <c r="H26" s="8">
        <f t="shared" si="0"/>
        <v>81.55875</v>
      </c>
      <c r="I26" s="8">
        <f t="shared" si="0"/>
        <v>77.662</v>
      </c>
      <c r="J26" s="8">
        <f t="shared" si="0"/>
        <v>83.204</v>
      </c>
      <c r="K26" s="8">
        <f t="shared" si="0"/>
        <v>87.404</v>
      </c>
      <c r="L26" s="8">
        <f t="shared" si="0"/>
        <v>66.602</v>
      </c>
      <c r="M26" s="8">
        <f t="shared" si="0"/>
        <v>73.1</v>
      </c>
      <c r="N26" s="8">
        <f t="shared" si="0"/>
        <v>78.795</v>
      </c>
      <c r="O26" s="8">
        <f t="shared" si="0"/>
        <v>79.045</v>
      </c>
      <c r="P26" s="8">
        <f t="shared" si="0"/>
        <v>73.4925</v>
      </c>
      <c r="Q26" s="8">
        <f t="shared" si="0"/>
        <v>78.518</v>
      </c>
    </row>
    <row r="27" ht="22.5" spans="1:17">
      <c r="A27" s="3" t="s">
        <v>40</v>
      </c>
      <c r="B27" s="9">
        <f>AVERAGE(B3:B25)</f>
        <v>78.6213636363636</v>
      </c>
      <c r="C27" s="9">
        <f t="shared" ref="C27:Q27" si="1">AVERAGE(C3:C25)</f>
        <v>82.9965217391304</v>
      </c>
      <c r="D27" s="9">
        <f t="shared" si="1"/>
        <v>83.8930434782609</v>
      </c>
      <c r="E27" s="9">
        <f t="shared" si="1"/>
        <v>613.34</v>
      </c>
      <c r="F27" s="9">
        <f t="shared" si="1"/>
        <v>84.0352380952381</v>
      </c>
      <c r="G27" s="9">
        <f t="shared" si="1"/>
        <v>84.042380952381</v>
      </c>
      <c r="H27" s="9">
        <f t="shared" si="1"/>
        <v>82.0478571428572</v>
      </c>
      <c r="I27" s="9">
        <f t="shared" si="1"/>
        <v>78.3478571428572</v>
      </c>
      <c r="J27" s="9">
        <f t="shared" si="1"/>
        <v>83.4357142857143</v>
      </c>
      <c r="K27" s="9">
        <f t="shared" si="1"/>
        <v>87.6785714285714</v>
      </c>
      <c r="L27" s="9">
        <f t="shared" si="1"/>
        <v>68.1571428571429</v>
      </c>
      <c r="M27" s="9">
        <f t="shared" si="1"/>
        <v>73.1147368421053</v>
      </c>
      <c r="N27" s="9">
        <f t="shared" si="1"/>
        <v>78.7847368421053</v>
      </c>
      <c r="O27" s="9">
        <f t="shared" si="1"/>
        <v>79.0347368421053</v>
      </c>
      <c r="P27" s="9">
        <f t="shared" si="1"/>
        <v>73.2094736842105</v>
      </c>
      <c r="Q27" s="9">
        <f t="shared" si="1"/>
        <v>78.4895238095238</v>
      </c>
    </row>
    <row r="28" ht="23.25" spans="1:17">
      <c r="A28" s="10" t="s">
        <v>19</v>
      </c>
      <c r="B28" s="23">
        <f>(B27-B2)/B2</f>
        <v>-0.0684020315941983</v>
      </c>
      <c r="C28" s="23">
        <f t="shared" ref="C28:Q28" si="2">(C27-C2)/C2</f>
        <v>-0.067454811919883</v>
      </c>
      <c r="D28" s="23">
        <f t="shared" si="2"/>
        <v>-0.0605530072015623</v>
      </c>
      <c r="E28" s="23">
        <f t="shared" si="2"/>
        <v>-0.0622286098709562</v>
      </c>
      <c r="F28" s="23">
        <f t="shared" si="2"/>
        <v>-0.0576091251828989</v>
      </c>
      <c r="G28" s="23">
        <f t="shared" si="2"/>
        <v>-0.0577579648439065</v>
      </c>
      <c r="H28" s="23">
        <f t="shared" si="2"/>
        <v>-0.0898764232194403</v>
      </c>
      <c r="I28" s="23">
        <f t="shared" si="2"/>
        <v>-0.0757258701031682</v>
      </c>
      <c r="J28" s="23">
        <f t="shared" si="2"/>
        <v>-0.0802458766837092</v>
      </c>
      <c r="K28" s="23">
        <f t="shared" si="2"/>
        <v>-0.0625095467459598</v>
      </c>
      <c r="L28" s="23">
        <f t="shared" si="2"/>
        <v>-0.0932588326966568</v>
      </c>
      <c r="M28" s="23">
        <f t="shared" si="2"/>
        <v>-0.0940158008214761</v>
      </c>
      <c r="N28" s="23">
        <f t="shared" si="2"/>
        <v>-0.0834987716492045</v>
      </c>
      <c r="O28" s="23">
        <f t="shared" si="2"/>
        <v>-0.0832566409499173</v>
      </c>
      <c r="P28" s="23">
        <f t="shared" si="2"/>
        <v>-0.0909382031687565</v>
      </c>
      <c r="Q28" s="23">
        <f t="shared" si="2"/>
        <v>-0.0647154619168939</v>
      </c>
    </row>
    <row r="29" ht="15"/>
  </sheetData>
  <pageMargins left="0.75" right="0.75" top="1" bottom="1" header="0.5" footer="0.5"/>
  <pageSetup paperSize="9" orientation="portrait"/>
  <headerFooter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Q28"/>
  <sheetViews>
    <sheetView workbookViewId="0">
      <selection activeCell="E24" sqref="E3:E24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21</v>
      </c>
      <c r="B2" s="9">
        <v>80.405</v>
      </c>
      <c r="C2" s="9">
        <v>84.6655</v>
      </c>
      <c r="D2" s="9">
        <v>84.1375</v>
      </c>
      <c r="E2" s="9">
        <v>625.528571428572</v>
      </c>
      <c r="F2" s="9">
        <v>84.15175</v>
      </c>
      <c r="G2" s="9">
        <v>84.17875</v>
      </c>
      <c r="H2" s="9">
        <v>85.4845</v>
      </c>
      <c r="I2" s="9">
        <v>79.9435</v>
      </c>
      <c r="J2" s="9">
        <v>87.4165</v>
      </c>
      <c r="K2" s="9">
        <v>89.5665</v>
      </c>
      <c r="L2" s="9">
        <v>69.592</v>
      </c>
      <c r="M2" s="9">
        <v>80.0555</v>
      </c>
      <c r="N2" s="9">
        <v>83.598</v>
      </c>
      <c r="O2" s="9">
        <v>83.848</v>
      </c>
      <c r="P2" s="9">
        <v>79.524</v>
      </c>
      <c r="Q2" s="9">
        <v>80.153</v>
      </c>
    </row>
    <row r="3" spans="1:17">
      <c r="A3" s="5">
        <v>20240401</v>
      </c>
      <c r="B3" s="6">
        <v>83.71</v>
      </c>
      <c r="C3" s="6">
        <v>87.42</v>
      </c>
      <c r="D3" s="6">
        <v>87.68</v>
      </c>
      <c r="E3" s="6">
        <v>644.8</v>
      </c>
      <c r="F3" s="6">
        <v>87.655</v>
      </c>
      <c r="G3" s="6">
        <v>87.78</v>
      </c>
      <c r="H3" s="6"/>
      <c r="I3" s="6">
        <v>83.01</v>
      </c>
      <c r="J3" s="6">
        <v>89.56</v>
      </c>
      <c r="K3" s="6">
        <v>92.16</v>
      </c>
      <c r="L3" s="6">
        <v>72.665</v>
      </c>
      <c r="M3" s="6"/>
      <c r="N3" s="6"/>
      <c r="O3" s="6"/>
      <c r="P3" s="6"/>
      <c r="Q3" s="6">
        <v>82.73</v>
      </c>
    </row>
    <row r="4" spans="1:17">
      <c r="A4" s="5">
        <v>20240402</v>
      </c>
      <c r="B4" s="6">
        <v>85.15</v>
      </c>
      <c r="C4" s="6">
        <v>88.92</v>
      </c>
      <c r="D4" s="6">
        <v>88.93</v>
      </c>
      <c r="E4" s="6">
        <v>646</v>
      </c>
      <c r="F4" s="6">
        <v>89.06</v>
      </c>
      <c r="G4" s="6">
        <v>89.06</v>
      </c>
      <c r="H4" s="6">
        <v>89.95</v>
      </c>
      <c r="I4" s="6">
        <v>84.355</v>
      </c>
      <c r="J4" s="6">
        <v>90.4</v>
      </c>
      <c r="K4" s="6">
        <v>92.95</v>
      </c>
      <c r="L4" s="6">
        <v>74.27</v>
      </c>
      <c r="M4" s="6">
        <v>83.79</v>
      </c>
      <c r="N4" s="6">
        <v>87.6</v>
      </c>
      <c r="O4" s="6">
        <v>87.85</v>
      </c>
      <c r="P4" s="6">
        <v>82.1</v>
      </c>
      <c r="Q4" s="6">
        <v>83.85</v>
      </c>
    </row>
    <row r="5" spans="1:17">
      <c r="A5" s="5">
        <v>20240403</v>
      </c>
      <c r="B5" s="6">
        <v>85.43</v>
      </c>
      <c r="C5" s="6">
        <v>89.35</v>
      </c>
      <c r="D5" s="6">
        <v>89.43</v>
      </c>
      <c r="E5" s="6">
        <v>655.2</v>
      </c>
      <c r="F5" s="6">
        <v>89.47</v>
      </c>
      <c r="G5" s="6">
        <v>89.47</v>
      </c>
      <c r="H5" s="6">
        <v>91.105</v>
      </c>
      <c r="I5" s="6">
        <v>84.735</v>
      </c>
      <c r="J5" s="6">
        <v>91.23</v>
      </c>
      <c r="K5" s="6">
        <v>93.68</v>
      </c>
      <c r="L5" s="6">
        <v>74.28</v>
      </c>
      <c r="M5" s="6">
        <v>84.36</v>
      </c>
      <c r="N5" s="6">
        <v>87.92</v>
      </c>
      <c r="O5" s="6">
        <v>88.17</v>
      </c>
      <c r="P5" s="6">
        <v>82.48</v>
      </c>
      <c r="Q5" s="6">
        <v>84.27</v>
      </c>
    </row>
    <row r="6" spans="1:17">
      <c r="A6" s="5">
        <v>20240404</v>
      </c>
      <c r="B6" s="6">
        <v>86.59</v>
      </c>
      <c r="C6" s="6">
        <v>90.65</v>
      </c>
      <c r="D6" s="6">
        <v>89.66</v>
      </c>
      <c r="E6" s="6"/>
      <c r="F6" s="6">
        <v>89.65</v>
      </c>
      <c r="G6" s="6">
        <v>89.65</v>
      </c>
      <c r="H6" s="6">
        <v>90.435</v>
      </c>
      <c r="I6" s="6">
        <v>84.93</v>
      </c>
      <c r="J6" s="6">
        <v>91.58</v>
      </c>
      <c r="K6" s="6">
        <v>93.98</v>
      </c>
      <c r="L6" s="6">
        <v>74.475</v>
      </c>
      <c r="M6" s="6">
        <v>83.33</v>
      </c>
      <c r="N6" s="6">
        <v>87.99</v>
      </c>
      <c r="O6" s="6">
        <v>88.24</v>
      </c>
      <c r="P6" s="6">
        <v>82.43</v>
      </c>
      <c r="Q6" s="6">
        <v>84.44</v>
      </c>
    </row>
    <row r="7" spans="1:17">
      <c r="A7" s="5">
        <v>20240405</v>
      </c>
      <c r="B7" s="6">
        <v>86.91</v>
      </c>
      <c r="C7" s="6">
        <v>91.17</v>
      </c>
      <c r="D7" s="6">
        <v>90.9</v>
      </c>
      <c r="E7" s="6"/>
      <c r="F7" s="6">
        <v>90.86</v>
      </c>
      <c r="G7" s="6">
        <v>90.88</v>
      </c>
      <c r="H7" s="6">
        <v>93.305</v>
      </c>
      <c r="I7" s="6">
        <v>86.355</v>
      </c>
      <c r="J7" s="6">
        <v>92.8</v>
      </c>
      <c r="K7" s="6">
        <v>95.2</v>
      </c>
      <c r="L7" s="6">
        <v>76.1</v>
      </c>
      <c r="M7" s="6">
        <v>85.81</v>
      </c>
      <c r="N7" s="6">
        <v>89.38</v>
      </c>
      <c r="O7" s="6">
        <v>89.63</v>
      </c>
      <c r="P7" s="6">
        <v>83.7</v>
      </c>
      <c r="Q7" s="6">
        <v>85.68</v>
      </c>
    </row>
    <row r="8" spans="1:17">
      <c r="A8" s="5">
        <v>20240408</v>
      </c>
      <c r="B8" s="6">
        <v>86.43</v>
      </c>
      <c r="C8" s="6">
        <v>90.38</v>
      </c>
      <c r="D8" s="6">
        <v>90.09</v>
      </c>
      <c r="E8" s="6">
        <v>658.5</v>
      </c>
      <c r="F8" s="6">
        <v>90.06</v>
      </c>
      <c r="G8" s="6">
        <v>90.06</v>
      </c>
      <c r="H8" s="6">
        <v>92.2</v>
      </c>
      <c r="I8" s="6">
        <v>85.74</v>
      </c>
      <c r="J8" s="6">
        <v>92.45</v>
      </c>
      <c r="K8" s="6">
        <v>94.85</v>
      </c>
      <c r="L8" s="6">
        <v>75.435</v>
      </c>
      <c r="M8" s="6">
        <v>84.18</v>
      </c>
      <c r="N8" s="6">
        <v>88.59</v>
      </c>
      <c r="O8" s="6">
        <v>88.84</v>
      </c>
      <c r="P8" s="6">
        <v>83.25</v>
      </c>
      <c r="Q8" s="6">
        <v>84.99</v>
      </c>
    </row>
    <row r="9" spans="1:17">
      <c r="A9" s="5">
        <v>20240409</v>
      </c>
      <c r="B9" s="6">
        <v>85.23</v>
      </c>
      <c r="C9" s="6">
        <v>89.42</v>
      </c>
      <c r="D9" s="6">
        <v>90.64</v>
      </c>
      <c r="E9" s="6">
        <v>665.6</v>
      </c>
      <c r="F9" s="6">
        <v>90.75</v>
      </c>
      <c r="G9" s="6">
        <v>90.75</v>
      </c>
      <c r="H9" s="6">
        <v>91.93</v>
      </c>
      <c r="I9" s="6">
        <v>86.535</v>
      </c>
      <c r="J9" s="6">
        <v>92.89</v>
      </c>
      <c r="K9" s="6">
        <v>95.34</v>
      </c>
      <c r="L9" s="6">
        <v>76.545</v>
      </c>
      <c r="M9" s="6">
        <v>82.48</v>
      </c>
      <c r="N9" s="6">
        <v>88.83</v>
      </c>
      <c r="O9" s="6">
        <v>89.08</v>
      </c>
      <c r="P9" s="6">
        <v>83.39</v>
      </c>
      <c r="Q9" s="6">
        <v>85.68</v>
      </c>
    </row>
    <row r="10" spans="1:17">
      <c r="A10" s="5">
        <v>20240410</v>
      </c>
      <c r="B10" s="6">
        <v>86.21</v>
      </c>
      <c r="C10" s="6">
        <v>90.48</v>
      </c>
      <c r="D10" s="6">
        <v>89.53</v>
      </c>
      <c r="E10" s="6">
        <v>663.2</v>
      </c>
      <c r="F10" s="6"/>
      <c r="G10" s="6"/>
      <c r="H10" s="6">
        <v>91.19</v>
      </c>
      <c r="I10" s="6"/>
      <c r="J10" s="6"/>
      <c r="K10" s="6"/>
      <c r="L10" s="6"/>
      <c r="M10" s="6"/>
      <c r="N10" s="6"/>
      <c r="O10" s="6"/>
      <c r="P10" s="6"/>
      <c r="Q10" s="6"/>
    </row>
    <row r="11" spans="1:17">
      <c r="A11" s="5">
        <v>20240411</v>
      </c>
      <c r="B11" s="6">
        <v>85.02</v>
      </c>
      <c r="C11" s="6">
        <v>89.74</v>
      </c>
      <c r="D11" s="6">
        <v>90.8</v>
      </c>
      <c r="E11" s="6">
        <v>664.7</v>
      </c>
      <c r="F11" s="6">
        <v>90.89</v>
      </c>
      <c r="G11" s="6">
        <v>90.89</v>
      </c>
      <c r="H11" s="6">
        <v>91.81</v>
      </c>
      <c r="I11" s="6">
        <v>86.58</v>
      </c>
      <c r="J11" s="6">
        <v>92.82</v>
      </c>
      <c r="K11" s="6">
        <v>95.22</v>
      </c>
      <c r="L11" s="6">
        <v>76.825</v>
      </c>
      <c r="M11" s="6">
        <v>82.18</v>
      </c>
      <c r="N11" s="6">
        <v>88.38</v>
      </c>
      <c r="O11" s="6">
        <v>88.63</v>
      </c>
      <c r="P11" s="6">
        <v>82.82</v>
      </c>
      <c r="Q11" s="6">
        <v>85.78</v>
      </c>
    </row>
    <row r="12" spans="1:17">
      <c r="A12" s="5">
        <v>20240412</v>
      </c>
      <c r="B12" s="6">
        <v>85.66</v>
      </c>
      <c r="C12" s="6">
        <v>90.45</v>
      </c>
      <c r="D12" s="6">
        <v>90.35</v>
      </c>
      <c r="E12" s="6">
        <v>667</v>
      </c>
      <c r="F12" s="6">
        <v>90.51</v>
      </c>
      <c r="G12" s="6">
        <v>90.51</v>
      </c>
      <c r="H12" s="6">
        <v>93.345</v>
      </c>
      <c r="I12" s="6">
        <v>86.255</v>
      </c>
      <c r="J12" s="6">
        <v>92.67</v>
      </c>
      <c r="K12" s="6">
        <v>95.07</v>
      </c>
      <c r="L12" s="6">
        <v>76.46</v>
      </c>
      <c r="M12" s="6">
        <v>83.21</v>
      </c>
      <c r="N12" s="6">
        <v>87.69</v>
      </c>
      <c r="O12" s="6">
        <v>87.94</v>
      </c>
      <c r="P12" s="6">
        <v>82.27</v>
      </c>
      <c r="Q12" s="6">
        <v>85.49</v>
      </c>
    </row>
    <row r="13" spans="1:17">
      <c r="A13" s="5">
        <v>20240415</v>
      </c>
      <c r="B13" s="6">
        <v>85.41</v>
      </c>
      <c r="C13" s="6">
        <v>90.1</v>
      </c>
      <c r="D13" s="6">
        <v>89.59</v>
      </c>
      <c r="E13" s="6">
        <v>672.4</v>
      </c>
      <c r="F13" s="6">
        <v>89.54</v>
      </c>
      <c r="G13" s="6">
        <v>89.54</v>
      </c>
      <c r="H13" s="6">
        <v>90.525</v>
      </c>
      <c r="I13" s="6">
        <v>85.5</v>
      </c>
      <c r="J13" s="6">
        <v>91.83</v>
      </c>
      <c r="K13" s="6">
        <v>94.28</v>
      </c>
      <c r="L13" s="6">
        <v>75.855</v>
      </c>
      <c r="M13" s="6">
        <v>81.2</v>
      </c>
      <c r="N13" s="6">
        <v>86.27</v>
      </c>
      <c r="O13" s="6">
        <v>86.52</v>
      </c>
      <c r="P13" s="6">
        <v>81.48</v>
      </c>
      <c r="Q13" s="6">
        <v>84.57</v>
      </c>
    </row>
    <row r="14" spans="1:17">
      <c r="A14" s="5">
        <v>20240416</v>
      </c>
      <c r="B14" s="6">
        <v>85.36</v>
      </c>
      <c r="C14" s="6">
        <v>90.02</v>
      </c>
      <c r="D14" s="6">
        <v>90.42</v>
      </c>
      <c r="E14" s="6">
        <v>662.3</v>
      </c>
      <c r="F14" s="6">
        <v>90.25</v>
      </c>
      <c r="G14" s="6">
        <v>90.3</v>
      </c>
      <c r="H14" s="6">
        <v>91.29</v>
      </c>
      <c r="I14" s="6">
        <v>86.265</v>
      </c>
      <c r="J14" s="6">
        <v>92.27</v>
      </c>
      <c r="K14" s="6">
        <v>94.87</v>
      </c>
      <c r="L14" s="6">
        <v>76.8</v>
      </c>
      <c r="M14" s="6">
        <v>81.74</v>
      </c>
      <c r="N14" s="6">
        <v>86.65</v>
      </c>
      <c r="O14" s="6">
        <v>86.9</v>
      </c>
      <c r="P14" s="6">
        <v>81.77</v>
      </c>
      <c r="Q14" s="6">
        <v>85.35</v>
      </c>
    </row>
    <row r="15" spans="1:17">
      <c r="A15" s="5">
        <v>20240417</v>
      </c>
      <c r="B15" s="6">
        <v>82.69</v>
      </c>
      <c r="C15" s="6">
        <v>87.29</v>
      </c>
      <c r="D15" s="6">
        <v>90.5</v>
      </c>
      <c r="E15" s="6">
        <v>663.3</v>
      </c>
      <c r="F15" s="6">
        <v>90.05</v>
      </c>
      <c r="G15" s="6">
        <v>90.05</v>
      </c>
      <c r="H15" s="6">
        <v>89.66</v>
      </c>
      <c r="I15" s="6">
        <v>85.945</v>
      </c>
      <c r="J15" s="6">
        <v>91.96</v>
      </c>
      <c r="K15" s="6">
        <v>94.51</v>
      </c>
      <c r="L15" s="6">
        <v>76.52</v>
      </c>
      <c r="M15" s="6">
        <v>80.24</v>
      </c>
      <c r="N15" s="6">
        <v>86.2</v>
      </c>
      <c r="O15" s="6">
        <v>86.45</v>
      </c>
      <c r="P15" s="6">
        <v>81.26</v>
      </c>
      <c r="Q15" s="6">
        <v>85.05</v>
      </c>
    </row>
    <row r="16" spans="1:17">
      <c r="A16" s="5">
        <v>20240418</v>
      </c>
      <c r="B16" s="6">
        <v>82.73</v>
      </c>
      <c r="C16" s="6">
        <v>87.11</v>
      </c>
      <c r="D16" s="6">
        <v>87.76</v>
      </c>
      <c r="E16" s="6">
        <v>650.6</v>
      </c>
      <c r="F16" s="6">
        <v>87.44</v>
      </c>
      <c r="G16" s="6">
        <v>87.44</v>
      </c>
      <c r="H16" s="6">
        <v>88.09</v>
      </c>
      <c r="I16" s="6">
        <v>83.545</v>
      </c>
      <c r="J16" s="6">
        <v>89.32</v>
      </c>
      <c r="K16" s="6">
        <v>91.92</v>
      </c>
      <c r="L16" s="6">
        <v>74.4</v>
      </c>
      <c r="M16" s="6">
        <v>78.46</v>
      </c>
      <c r="N16" s="6">
        <v>83.49</v>
      </c>
      <c r="O16" s="6">
        <v>83.74</v>
      </c>
      <c r="P16" s="6">
        <v>78.52</v>
      </c>
      <c r="Q16" s="6">
        <v>82.54</v>
      </c>
    </row>
    <row r="17" spans="1:17">
      <c r="A17" s="5">
        <v>20240419</v>
      </c>
      <c r="B17" s="6">
        <v>83.14</v>
      </c>
      <c r="C17" s="6">
        <v>87.29</v>
      </c>
      <c r="D17" s="6">
        <v>87.97</v>
      </c>
      <c r="E17" s="6">
        <v>651</v>
      </c>
      <c r="F17" s="6">
        <v>87.69</v>
      </c>
      <c r="G17" s="6">
        <v>87.69</v>
      </c>
      <c r="H17" s="6">
        <v>88.02</v>
      </c>
      <c r="I17" s="6">
        <v>83.85</v>
      </c>
      <c r="J17" s="6">
        <v>89.22</v>
      </c>
      <c r="K17" s="6">
        <v>92.07</v>
      </c>
      <c r="L17" s="6">
        <v>75.01</v>
      </c>
      <c r="M17" s="6">
        <v>78.06</v>
      </c>
      <c r="N17" s="6">
        <v>83.46</v>
      </c>
      <c r="O17" s="6">
        <v>83.71</v>
      </c>
      <c r="P17" s="6">
        <v>78.12</v>
      </c>
      <c r="Q17" s="6">
        <v>82.61</v>
      </c>
    </row>
    <row r="18" spans="1:17">
      <c r="A18" s="5">
        <v>20240422</v>
      </c>
      <c r="B18" s="6">
        <v>82.85</v>
      </c>
      <c r="C18" s="6">
        <v>87</v>
      </c>
      <c r="D18" s="6">
        <v>86.84</v>
      </c>
      <c r="E18" s="6">
        <v>641.3</v>
      </c>
      <c r="F18" s="6">
        <v>86.395</v>
      </c>
      <c r="G18" s="6">
        <v>86.395</v>
      </c>
      <c r="H18" s="6">
        <v>87.555</v>
      </c>
      <c r="I18" s="6">
        <v>82.305</v>
      </c>
      <c r="J18" s="6">
        <v>87.91</v>
      </c>
      <c r="K18" s="6">
        <v>90.76</v>
      </c>
      <c r="L18" s="6">
        <v>73.255</v>
      </c>
      <c r="M18" s="6">
        <v>77.33</v>
      </c>
      <c r="N18" s="6">
        <v>82.02</v>
      </c>
      <c r="O18" s="6">
        <v>82.27</v>
      </c>
      <c r="P18" s="6">
        <v>76.61</v>
      </c>
      <c r="Q18" s="6">
        <v>81.17</v>
      </c>
    </row>
    <row r="19" spans="1:17">
      <c r="A19" s="5">
        <v>20240423</v>
      </c>
      <c r="B19" s="6">
        <v>83.36</v>
      </c>
      <c r="C19" s="6">
        <v>88.42</v>
      </c>
      <c r="D19" s="6">
        <v>88.68</v>
      </c>
      <c r="E19" s="6">
        <v>637</v>
      </c>
      <c r="F19" s="6">
        <v>88.45</v>
      </c>
      <c r="G19" s="6">
        <v>88.71</v>
      </c>
      <c r="H19" s="6">
        <v>88.73</v>
      </c>
      <c r="I19" s="6">
        <v>84.315</v>
      </c>
      <c r="J19" s="6">
        <v>89.8</v>
      </c>
      <c r="K19" s="6">
        <v>92.6</v>
      </c>
      <c r="L19" s="6">
        <v>75.115</v>
      </c>
      <c r="M19" s="6">
        <v>77.71</v>
      </c>
      <c r="N19" s="6">
        <v>83.91</v>
      </c>
      <c r="O19" s="6">
        <v>84.16</v>
      </c>
      <c r="P19" s="6">
        <v>78.1</v>
      </c>
      <c r="Q19" s="6">
        <v>83.06</v>
      </c>
    </row>
    <row r="20" spans="1:17">
      <c r="A20" s="5">
        <v>20240424</v>
      </c>
      <c r="B20" s="6">
        <v>82.81</v>
      </c>
      <c r="C20" s="6">
        <v>88.02</v>
      </c>
      <c r="D20" s="6">
        <v>88.97</v>
      </c>
      <c r="E20" s="6">
        <v>641.7</v>
      </c>
      <c r="F20" s="6">
        <v>88.85</v>
      </c>
      <c r="G20" s="6">
        <v>88.85</v>
      </c>
      <c r="H20" s="6">
        <v>88.9</v>
      </c>
      <c r="I20" s="6">
        <v>84.255</v>
      </c>
      <c r="J20" s="6">
        <v>89.61</v>
      </c>
      <c r="K20" s="6">
        <v>92.81</v>
      </c>
      <c r="L20" s="6">
        <v>75.185</v>
      </c>
      <c r="M20" s="6">
        <v>78.17</v>
      </c>
      <c r="N20" s="6">
        <v>84.02</v>
      </c>
      <c r="O20" s="6">
        <v>84.27</v>
      </c>
      <c r="P20" s="6">
        <v>78.36</v>
      </c>
      <c r="Q20" s="6">
        <v>83.07</v>
      </c>
    </row>
    <row r="21" spans="1:17">
      <c r="A21" s="5">
        <v>20240425</v>
      </c>
      <c r="B21" s="6">
        <v>83.57</v>
      </c>
      <c r="C21" s="6">
        <v>89.01</v>
      </c>
      <c r="D21" s="6">
        <v>89.01</v>
      </c>
      <c r="E21" s="6">
        <v>649.3</v>
      </c>
      <c r="F21" s="6">
        <v>88.6</v>
      </c>
      <c r="G21" s="6">
        <v>88.6</v>
      </c>
      <c r="H21" s="6">
        <v>88.35</v>
      </c>
      <c r="I21" s="6">
        <v>83.795</v>
      </c>
      <c r="J21" s="6">
        <v>89.29</v>
      </c>
      <c r="K21" s="6">
        <v>92.69</v>
      </c>
      <c r="L21" s="6">
        <v>74.71</v>
      </c>
      <c r="M21" s="6">
        <v>77.42</v>
      </c>
      <c r="N21" s="6">
        <v>84.01</v>
      </c>
      <c r="O21" s="6">
        <v>84.26</v>
      </c>
      <c r="P21" s="6">
        <v>78.34</v>
      </c>
      <c r="Q21" s="6">
        <v>82.86</v>
      </c>
    </row>
    <row r="22" spans="1:17">
      <c r="A22" s="5">
        <v>20240426</v>
      </c>
      <c r="B22" s="6">
        <v>83.85</v>
      </c>
      <c r="C22" s="6">
        <v>89.5</v>
      </c>
      <c r="D22" s="6">
        <v>89.67</v>
      </c>
      <c r="E22" s="6">
        <v>647.5</v>
      </c>
      <c r="F22" s="6">
        <v>88.96</v>
      </c>
      <c r="G22" s="6">
        <v>88.96</v>
      </c>
      <c r="H22" s="6">
        <v>89.935</v>
      </c>
      <c r="I22" s="6">
        <v>84.325</v>
      </c>
      <c r="J22" s="6">
        <v>89.76</v>
      </c>
      <c r="K22" s="6">
        <v>93.26</v>
      </c>
      <c r="L22" s="6">
        <v>75.31</v>
      </c>
      <c r="M22" s="6">
        <v>79.19</v>
      </c>
      <c r="N22" s="6">
        <v>84.5</v>
      </c>
      <c r="O22" s="6">
        <v>84.75</v>
      </c>
      <c r="P22" s="6">
        <v>78.91</v>
      </c>
      <c r="Q22" s="6">
        <v>83.2</v>
      </c>
    </row>
    <row r="23" spans="1:17">
      <c r="A23" s="5">
        <v>20240429</v>
      </c>
      <c r="B23" s="6">
        <v>82.63</v>
      </c>
      <c r="C23" s="6">
        <v>88.4</v>
      </c>
      <c r="D23" s="6">
        <v>89.27</v>
      </c>
      <c r="E23" s="6">
        <v>652.5</v>
      </c>
      <c r="F23" s="6">
        <v>88.89</v>
      </c>
      <c r="G23" s="6">
        <v>88.89</v>
      </c>
      <c r="H23" s="6">
        <v>88.86</v>
      </c>
      <c r="I23" s="6">
        <v>84.03</v>
      </c>
      <c r="J23" s="6">
        <v>89.21</v>
      </c>
      <c r="K23" s="6">
        <v>93.11</v>
      </c>
      <c r="L23" s="6">
        <v>74.98</v>
      </c>
      <c r="M23" s="6">
        <v>77.9</v>
      </c>
      <c r="N23" s="6">
        <v>84.3</v>
      </c>
      <c r="O23" s="6">
        <v>84.55</v>
      </c>
      <c r="P23" s="6">
        <v>78.56</v>
      </c>
      <c r="Q23" s="6">
        <v>83.1</v>
      </c>
    </row>
    <row r="24" spans="1:17">
      <c r="A24" s="5">
        <v>20240430</v>
      </c>
      <c r="B24" s="6">
        <v>81.93</v>
      </c>
      <c r="C24" s="6">
        <v>87.86</v>
      </c>
      <c r="D24" s="6">
        <v>87.92</v>
      </c>
      <c r="E24" s="6">
        <v>646.9</v>
      </c>
      <c r="F24" s="6">
        <v>88.6</v>
      </c>
      <c r="G24" s="6">
        <v>88.6</v>
      </c>
      <c r="H24" s="6">
        <v>87.97</v>
      </c>
      <c r="I24" s="6">
        <v>83.48</v>
      </c>
      <c r="J24" s="6">
        <v>88.44</v>
      </c>
      <c r="K24" s="6">
        <v>92.69</v>
      </c>
      <c r="L24" s="6">
        <v>74.315</v>
      </c>
      <c r="M24" s="6">
        <v>77.28</v>
      </c>
      <c r="N24" s="6">
        <v>84.04</v>
      </c>
      <c r="O24" s="6">
        <v>84.29</v>
      </c>
      <c r="P24" s="6">
        <v>78.19</v>
      </c>
      <c r="Q24" s="6">
        <v>82.84</v>
      </c>
    </row>
    <row r="25" spans="1:17">
      <c r="A25" s="7" t="s">
        <v>17</v>
      </c>
      <c r="B25" s="8">
        <f>AVERAGE(B23:B24)</f>
        <v>82.28</v>
      </c>
      <c r="C25" s="8">
        <f t="shared" ref="C25:Q25" si="0">AVERAGE(C23:C24)</f>
        <v>88.13</v>
      </c>
      <c r="D25" s="8">
        <f t="shared" si="0"/>
        <v>88.595</v>
      </c>
      <c r="E25" s="8">
        <f t="shared" si="0"/>
        <v>649.7</v>
      </c>
      <c r="F25" s="8">
        <f t="shared" si="0"/>
        <v>88.745</v>
      </c>
      <c r="G25" s="8">
        <f t="shared" si="0"/>
        <v>88.745</v>
      </c>
      <c r="H25" s="8">
        <f t="shared" si="0"/>
        <v>88.415</v>
      </c>
      <c r="I25" s="8">
        <f t="shared" si="0"/>
        <v>83.755</v>
      </c>
      <c r="J25" s="8">
        <f t="shared" si="0"/>
        <v>88.825</v>
      </c>
      <c r="K25" s="8">
        <f t="shared" si="0"/>
        <v>92.9</v>
      </c>
      <c r="L25" s="8">
        <f t="shared" si="0"/>
        <v>74.6475</v>
      </c>
      <c r="M25" s="8">
        <f t="shared" si="0"/>
        <v>77.59</v>
      </c>
      <c r="N25" s="8">
        <f t="shared" si="0"/>
        <v>84.17</v>
      </c>
      <c r="O25" s="8">
        <f t="shared" si="0"/>
        <v>84.42</v>
      </c>
      <c r="P25" s="8">
        <f t="shared" si="0"/>
        <v>78.375</v>
      </c>
      <c r="Q25" s="8">
        <f t="shared" si="0"/>
        <v>82.97</v>
      </c>
    </row>
    <row r="26" ht="22.5" spans="1:17">
      <c r="A26" s="3" t="s">
        <v>20</v>
      </c>
      <c r="B26" s="9">
        <f>AVERAGE(B3:B24)</f>
        <v>84.3940909090909</v>
      </c>
      <c r="C26" s="9">
        <f>AVERAGE(C3:C24)</f>
        <v>89</v>
      </c>
      <c r="D26" s="9">
        <f t="shared" ref="C26:Q26" si="1">AVERAGE(D3:D24)</f>
        <v>89.3004545454546</v>
      </c>
      <c r="E26" s="9">
        <f t="shared" si="1"/>
        <v>654.04</v>
      </c>
      <c r="F26" s="9">
        <f t="shared" si="1"/>
        <v>89.172380952381</v>
      </c>
      <c r="G26" s="9">
        <f t="shared" si="1"/>
        <v>89.1940476190476</v>
      </c>
      <c r="H26" s="9">
        <f t="shared" si="1"/>
        <v>90.1502380952381</v>
      </c>
      <c r="I26" s="9">
        <f t="shared" si="1"/>
        <v>84.7669047619048</v>
      </c>
      <c r="J26" s="9">
        <f t="shared" si="1"/>
        <v>90.7152380952381</v>
      </c>
      <c r="K26" s="9">
        <f t="shared" si="1"/>
        <v>93.5247619047619</v>
      </c>
      <c r="L26" s="9">
        <f t="shared" si="1"/>
        <v>75.1671428571429</v>
      </c>
      <c r="M26" s="9">
        <f t="shared" si="1"/>
        <v>80.702</v>
      </c>
      <c r="N26" s="9">
        <f t="shared" si="1"/>
        <v>85.9625</v>
      </c>
      <c r="O26" s="9">
        <f t="shared" si="1"/>
        <v>86.2125</v>
      </c>
      <c r="P26" s="9">
        <f t="shared" si="1"/>
        <v>80.533</v>
      </c>
      <c r="Q26" s="9">
        <f t="shared" si="1"/>
        <v>83.9204761904762</v>
      </c>
    </row>
    <row r="27" ht="23.25" spans="1:17">
      <c r="A27" s="10" t="s">
        <v>19</v>
      </c>
      <c r="B27" s="24">
        <f>(B26-B2)/B2</f>
        <v>0.0496124732179701</v>
      </c>
      <c r="C27" s="24">
        <f t="shared" ref="C27:Q27" si="2">(C26-C2)/C2</f>
        <v>0.0511955873407705</v>
      </c>
      <c r="D27" s="24">
        <f t="shared" si="2"/>
        <v>0.0613632987128756</v>
      </c>
      <c r="E27" s="24">
        <f t="shared" si="2"/>
        <v>0.0455797382784842</v>
      </c>
      <c r="F27" s="24">
        <f t="shared" si="2"/>
        <v>0.0596616345159901</v>
      </c>
      <c r="G27" s="24">
        <f t="shared" si="2"/>
        <v>0.0595791410426934</v>
      </c>
      <c r="H27" s="24">
        <f t="shared" si="2"/>
        <v>0.0545799308089546</v>
      </c>
      <c r="I27" s="24">
        <f t="shared" si="2"/>
        <v>0.0603351712384968</v>
      </c>
      <c r="J27" s="24">
        <f t="shared" si="2"/>
        <v>0.0377358747517697</v>
      </c>
      <c r="K27" s="24">
        <f t="shared" si="2"/>
        <v>0.0441935534464547</v>
      </c>
      <c r="L27" s="24">
        <f t="shared" si="2"/>
        <v>0.0801118355147553</v>
      </c>
      <c r="M27" s="24">
        <f t="shared" si="2"/>
        <v>0.00807564751953354</v>
      </c>
      <c r="N27" s="24">
        <f t="shared" si="2"/>
        <v>0.028284169477739</v>
      </c>
      <c r="O27" s="24">
        <f t="shared" si="2"/>
        <v>0.0281998378017367</v>
      </c>
      <c r="P27" s="24">
        <f t="shared" si="2"/>
        <v>0.0126879935616921</v>
      </c>
      <c r="Q27" s="24">
        <f t="shared" si="2"/>
        <v>0.0470035580761318</v>
      </c>
    </row>
    <row r="28" ht="15"/>
  </sheetData>
  <pageMargins left="0.75" right="0.75" top="1" bottom="1" header="0.5" footer="0.5"/>
  <pageSetup paperSize="9" orientation="portrait"/>
  <headerFooter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Q27"/>
  <sheetViews>
    <sheetView workbookViewId="0">
      <selection activeCell="E25" sqref="E25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41</v>
      </c>
      <c r="B2" s="9">
        <v>76.61</v>
      </c>
      <c r="C2" s="9">
        <v>81.7161904761905</v>
      </c>
      <c r="D2" s="9">
        <v>80.85</v>
      </c>
      <c r="E2" s="9">
        <v>587.113333333333</v>
      </c>
      <c r="F2" s="9">
        <v>80.88425</v>
      </c>
      <c r="G2" s="9">
        <v>80.89525</v>
      </c>
      <c r="H2" s="9">
        <v>83.9271428571429</v>
      </c>
      <c r="I2" s="9">
        <v>76.19425</v>
      </c>
      <c r="J2" s="9">
        <v>84.31</v>
      </c>
      <c r="K2" s="9">
        <v>86.23</v>
      </c>
      <c r="L2" s="9">
        <v>65.89575</v>
      </c>
      <c r="M2" s="9">
        <v>75.912</v>
      </c>
      <c r="N2" s="9">
        <v>79.2225</v>
      </c>
      <c r="O2" s="9">
        <v>79.4725</v>
      </c>
      <c r="P2" s="9">
        <v>75.5425</v>
      </c>
      <c r="Q2" s="9">
        <v>76.895</v>
      </c>
    </row>
    <row r="3" spans="1:17">
      <c r="A3" s="5">
        <v>20240301</v>
      </c>
      <c r="B3" s="6">
        <v>79.97</v>
      </c>
      <c r="C3" s="6">
        <v>83.55</v>
      </c>
      <c r="D3" s="6">
        <v>81.59</v>
      </c>
      <c r="E3" s="6">
        <v>606.6</v>
      </c>
      <c r="F3" s="6">
        <v>81.54</v>
      </c>
      <c r="G3" s="6">
        <v>81.56</v>
      </c>
      <c r="H3" s="6">
        <v>87.495</v>
      </c>
      <c r="I3" s="6">
        <v>77.315</v>
      </c>
      <c r="J3" s="6">
        <v>84.81</v>
      </c>
      <c r="K3" s="6">
        <v>87.11</v>
      </c>
      <c r="L3" s="6">
        <v>67.345</v>
      </c>
      <c r="M3" s="6">
        <v>80.37</v>
      </c>
      <c r="N3" s="6">
        <v>80.4</v>
      </c>
      <c r="O3" s="6">
        <v>80.65</v>
      </c>
      <c r="P3" s="6">
        <v>77.41</v>
      </c>
      <c r="Q3" s="6">
        <v>77.3</v>
      </c>
    </row>
    <row r="4" spans="1:17">
      <c r="A4" s="5">
        <v>20240304</v>
      </c>
      <c r="B4" s="6">
        <v>78.74</v>
      </c>
      <c r="C4" s="6">
        <v>82.8</v>
      </c>
      <c r="D4" s="6">
        <v>83.12</v>
      </c>
      <c r="E4" s="6">
        <v>617.3</v>
      </c>
      <c r="F4" s="6">
        <v>83.095</v>
      </c>
      <c r="G4" s="6">
        <v>83.12</v>
      </c>
      <c r="H4" s="6">
        <v>86.265</v>
      </c>
      <c r="I4" s="6">
        <v>78.95</v>
      </c>
      <c r="J4" s="6">
        <v>86.48</v>
      </c>
      <c r="K4" s="6">
        <v>88.83</v>
      </c>
      <c r="L4" s="6">
        <v>68.965</v>
      </c>
      <c r="M4" s="6">
        <v>79.45</v>
      </c>
      <c r="N4" s="6">
        <v>81.57</v>
      </c>
      <c r="O4" s="6">
        <v>81.82</v>
      </c>
      <c r="P4" s="6">
        <v>79.08</v>
      </c>
      <c r="Q4" s="6">
        <v>78.47</v>
      </c>
    </row>
    <row r="5" spans="1:17">
      <c r="A5" s="5">
        <v>20240305</v>
      </c>
      <c r="B5" s="6">
        <v>78.15</v>
      </c>
      <c r="C5" s="6">
        <v>82.04</v>
      </c>
      <c r="D5" s="6">
        <v>81.8</v>
      </c>
      <c r="E5" s="6">
        <v>616.4</v>
      </c>
      <c r="F5" s="6">
        <v>81.785</v>
      </c>
      <c r="G5" s="6">
        <v>81.88</v>
      </c>
      <c r="H5" s="6">
        <v>85.36</v>
      </c>
      <c r="I5" s="6">
        <v>78.095</v>
      </c>
      <c r="J5" s="6">
        <v>85.37</v>
      </c>
      <c r="K5" s="6">
        <v>87.77</v>
      </c>
      <c r="L5" s="6">
        <v>68.215</v>
      </c>
      <c r="M5" s="6">
        <v>78.9</v>
      </c>
      <c r="N5" s="6">
        <v>80.68</v>
      </c>
      <c r="O5" s="6">
        <v>80.93</v>
      </c>
      <c r="P5" s="6">
        <v>78.02</v>
      </c>
      <c r="Q5" s="6">
        <v>77.58</v>
      </c>
    </row>
    <row r="6" spans="1:17">
      <c r="A6" s="5">
        <v>20240306</v>
      </c>
      <c r="B6" s="6">
        <v>79.13</v>
      </c>
      <c r="C6" s="6">
        <v>82.96</v>
      </c>
      <c r="D6" s="6">
        <v>82.06</v>
      </c>
      <c r="E6" s="6">
        <v>609</v>
      </c>
      <c r="F6" s="6">
        <v>82.04</v>
      </c>
      <c r="G6" s="6">
        <v>82.15</v>
      </c>
      <c r="H6" s="6">
        <v>86.405</v>
      </c>
      <c r="I6" s="6">
        <v>78.09</v>
      </c>
      <c r="J6" s="6">
        <v>85.09</v>
      </c>
      <c r="K6" s="6">
        <v>87.49</v>
      </c>
      <c r="L6" s="6">
        <v>68.195</v>
      </c>
      <c r="M6" s="6">
        <v>80.06</v>
      </c>
      <c r="N6" s="6">
        <v>80.74</v>
      </c>
      <c r="O6" s="6">
        <v>80.99</v>
      </c>
      <c r="P6" s="6">
        <v>77.79</v>
      </c>
      <c r="Q6" s="6">
        <v>77.69</v>
      </c>
    </row>
    <row r="7" spans="1:17">
      <c r="A7" s="5">
        <v>20240307</v>
      </c>
      <c r="B7" s="6">
        <v>78.93</v>
      </c>
      <c r="C7" s="6">
        <v>82.96</v>
      </c>
      <c r="D7" s="6">
        <v>82.38</v>
      </c>
      <c r="E7" s="6">
        <v>614.4</v>
      </c>
      <c r="F7" s="6">
        <v>82.375</v>
      </c>
      <c r="G7" s="6">
        <v>82.4</v>
      </c>
      <c r="H7" s="6">
        <v>84.915</v>
      </c>
      <c r="I7" s="6">
        <v>78.395</v>
      </c>
      <c r="J7" s="6">
        <v>85.5</v>
      </c>
      <c r="K7" s="6">
        <v>87.9</v>
      </c>
      <c r="L7" s="6">
        <v>68.31</v>
      </c>
      <c r="M7" s="6">
        <v>78.92</v>
      </c>
      <c r="N7" s="6">
        <v>81.1</v>
      </c>
      <c r="O7" s="6">
        <v>81.35</v>
      </c>
      <c r="P7" s="6">
        <v>78.25</v>
      </c>
      <c r="Q7" s="6">
        <v>78.05</v>
      </c>
    </row>
    <row r="8" spans="1:17">
      <c r="A8" s="5">
        <v>20240308</v>
      </c>
      <c r="B8" s="6">
        <v>78.01</v>
      </c>
      <c r="C8" s="6">
        <v>82.08</v>
      </c>
      <c r="D8" s="6">
        <v>83.34</v>
      </c>
      <c r="E8" s="6">
        <v>611.9</v>
      </c>
      <c r="F8" s="6">
        <v>83.36</v>
      </c>
      <c r="G8" s="6">
        <v>83.36</v>
      </c>
      <c r="H8" s="6">
        <v>83.62</v>
      </c>
      <c r="I8" s="6">
        <v>78.885</v>
      </c>
      <c r="J8" s="6">
        <v>86.31</v>
      </c>
      <c r="K8" s="6">
        <v>88.66</v>
      </c>
      <c r="L8" s="6">
        <v>68.59</v>
      </c>
      <c r="M8" s="6">
        <v>78.11</v>
      </c>
      <c r="N8" s="6">
        <v>82.36</v>
      </c>
      <c r="O8" s="6">
        <v>82.61</v>
      </c>
      <c r="P8" s="6">
        <v>79.06</v>
      </c>
      <c r="Q8" s="6">
        <v>79.16</v>
      </c>
    </row>
    <row r="9" spans="1:17">
      <c r="A9" s="5">
        <v>20240311</v>
      </c>
      <c r="B9" s="6">
        <v>77.93</v>
      </c>
      <c r="C9" s="6">
        <v>82.21</v>
      </c>
      <c r="D9" s="6">
        <v>82.15</v>
      </c>
      <c r="E9" s="6">
        <v>611.1</v>
      </c>
      <c r="F9" s="6">
        <v>82.105</v>
      </c>
      <c r="G9" s="6">
        <v>82.15</v>
      </c>
      <c r="H9" s="6">
        <v>83.795</v>
      </c>
      <c r="I9" s="6">
        <v>77.52</v>
      </c>
      <c r="J9" s="6">
        <v>85.09</v>
      </c>
      <c r="K9" s="6">
        <v>87.44</v>
      </c>
      <c r="L9" s="6">
        <v>67.01</v>
      </c>
      <c r="M9" s="6">
        <v>78.17</v>
      </c>
      <c r="N9" s="6">
        <v>81.55</v>
      </c>
      <c r="O9" s="6">
        <v>81.8</v>
      </c>
      <c r="P9" s="6">
        <v>77.89</v>
      </c>
      <c r="Q9" s="6">
        <v>78.25</v>
      </c>
    </row>
    <row r="10" spans="1:17">
      <c r="A10" s="5">
        <v>20240312</v>
      </c>
      <c r="B10" s="6">
        <v>77.56</v>
      </c>
      <c r="C10" s="6">
        <v>81.92</v>
      </c>
      <c r="D10" s="6">
        <v>82.89</v>
      </c>
      <c r="E10" s="6">
        <v>614</v>
      </c>
      <c r="F10" s="6">
        <v>82.87</v>
      </c>
      <c r="G10" s="6">
        <v>82.87</v>
      </c>
      <c r="H10" s="6">
        <v>83.23</v>
      </c>
      <c r="I10" s="6">
        <v>78.175</v>
      </c>
      <c r="J10" s="6">
        <v>85.65</v>
      </c>
      <c r="K10" s="6">
        <v>88</v>
      </c>
      <c r="L10" s="6">
        <v>67.59</v>
      </c>
      <c r="M10" s="6">
        <v>78.09</v>
      </c>
      <c r="N10" s="6">
        <v>82.33</v>
      </c>
      <c r="O10" s="6">
        <v>82.58</v>
      </c>
      <c r="P10" s="6">
        <v>78.35</v>
      </c>
      <c r="Q10" s="6">
        <v>79.13</v>
      </c>
    </row>
    <row r="11" spans="1:17">
      <c r="A11" s="5">
        <v>20240313</v>
      </c>
      <c r="B11" s="6">
        <v>79.72</v>
      </c>
      <c r="C11" s="6">
        <v>84.03</v>
      </c>
      <c r="D11" s="6">
        <v>82.3</v>
      </c>
      <c r="E11" s="6">
        <v>620.7</v>
      </c>
      <c r="F11" s="6">
        <v>82.21</v>
      </c>
      <c r="G11" s="6">
        <v>82.32</v>
      </c>
      <c r="H11" s="6">
        <v>84.265</v>
      </c>
      <c r="I11" s="6">
        <v>77.585</v>
      </c>
      <c r="J11" s="6">
        <v>85.08</v>
      </c>
      <c r="K11" s="6">
        <v>87.43</v>
      </c>
      <c r="L11" s="6">
        <v>67.095</v>
      </c>
      <c r="M11" s="6">
        <v>79.19</v>
      </c>
      <c r="N11" s="6">
        <v>81.87</v>
      </c>
      <c r="O11" s="6">
        <v>82.12</v>
      </c>
      <c r="P11" s="6">
        <v>77.83</v>
      </c>
      <c r="Q11" s="6">
        <v>78.72</v>
      </c>
    </row>
    <row r="12" spans="1:17">
      <c r="A12" s="5">
        <v>20240314</v>
      </c>
      <c r="B12" s="6">
        <v>81.26</v>
      </c>
      <c r="C12" s="6">
        <v>85.42</v>
      </c>
      <c r="D12" s="6">
        <v>84.17</v>
      </c>
      <c r="E12" s="6">
        <v>629.6</v>
      </c>
      <c r="F12" s="6">
        <v>84.11</v>
      </c>
      <c r="G12" s="6">
        <v>84.22</v>
      </c>
      <c r="H12" s="6">
        <v>85.55</v>
      </c>
      <c r="I12" s="6">
        <v>79.4</v>
      </c>
      <c r="J12" s="6">
        <v>86.96</v>
      </c>
      <c r="K12" s="6">
        <v>89.31</v>
      </c>
      <c r="L12" s="6">
        <v>68.76</v>
      </c>
      <c r="M12" s="6">
        <v>80.61</v>
      </c>
      <c r="N12" s="6">
        <v>83.69</v>
      </c>
      <c r="O12" s="6">
        <v>83.94</v>
      </c>
      <c r="P12" s="6">
        <v>79.71</v>
      </c>
      <c r="Q12" s="6">
        <v>80.44</v>
      </c>
    </row>
    <row r="13" spans="1:17">
      <c r="A13" s="5">
        <v>20240315</v>
      </c>
      <c r="B13" s="6">
        <v>81.04</v>
      </c>
      <c r="C13" s="6">
        <v>85.34</v>
      </c>
      <c r="D13" s="6">
        <v>84.77</v>
      </c>
      <c r="E13" s="6">
        <v>645.8</v>
      </c>
      <c r="F13" s="6">
        <v>84.79</v>
      </c>
      <c r="G13" s="6">
        <v>84.79</v>
      </c>
      <c r="H13" s="6">
        <v>85.365</v>
      </c>
      <c r="I13" s="6">
        <v>80.22</v>
      </c>
      <c r="J13" s="6">
        <v>87.8</v>
      </c>
      <c r="K13" s="6">
        <v>90.2</v>
      </c>
      <c r="L13" s="6">
        <v>69.725</v>
      </c>
      <c r="M13" s="6">
        <v>80.91</v>
      </c>
      <c r="N13" s="6">
        <v>84.34</v>
      </c>
      <c r="O13" s="6">
        <v>84.59</v>
      </c>
      <c r="P13" s="6">
        <v>80.55</v>
      </c>
      <c r="Q13" s="6">
        <v>80.89</v>
      </c>
    </row>
    <row r="14" spans="1:17">
      <c r="A14" s="5">
        <v>20240318</v>
      </c>
      <c r="B14" s="6">
        <v>82.72</v>
      </c>
      <c r="C14" s="6">
        <v>86.89</v>
      </c>
      <c r="D14" s="6">
        <v>85.69</v>
      </c>
      <c r="E14" s="6">
        <v>636.8</v>
      </c>
      <c r="F14" s="6">
        <v>85.66</v>
      </c>
      <c r="G14" s="6">
        <v>85.66</v>
      </c>
      <c r="H14" s="6">
        <v>86.235</v>
      </c>
      <c r="I14" s="6">
        <v>81.545</v>
      </c>
      <c r="J14" s="6">
        <v>89.32</v>
      </c>
      <c r="K14" s="6">
        <v>91.12</v>
      </c>
      <c r="L14" s="6">
        <v>70.955</v>
      </c>
      <c r="M14" s="6">
        <v>81.79</v>
      </c>
      <c r="N14" s="6">
        <v>85.5</v>
      </c>
      <c r="O14" s="6">
        <v>85.75</v>
      </c>
      <c r="P14" s="6">
        <v>81.37</v>
      </c>
      <c r="Q14" s="6">
        <v>81.9</v>
      </c>
    </row>
    <row r="15" spans="1:17">
      <c r="A15" s="5">
        <v>20240319</v>
      </c>
      <c r="B15" s="6">
        <v>83.47</v>
      </c>
      <c r="C15" s="6">
        <v>87.38</v>
      </c>
      <c r="D15" s="6">
        <v>86.44</v>
      </c>
      <c r="E15" s="6">
        <v>631</v>
      </c>
      <c r="F15" s="6">
        <v>86.41</v>
      </c>
      <c r="G15" s="6">
        <v>86.41</v>
      </c>
      <c r="H15" s="6">
        <v>87.235</v>
      </c>
      <c r="I15" s="6">
        <v>82.54</v>
      </c>
      <c r="J15" s="6">
        <v>90.27</v>
      </c>
      <c r="K15" s="6">
        <v>91.77</v>
      </c>
      <c r="L15" s="6">
        <v>71.815</v>
      </c>
      <c r="M15" s="6">
        <v>82.19</v>
      </c>
      <c r="N15" s="6">
        <v>86.23</v>
      </c>
      <c r="O15" s="6">
        <v>86.48</v>
      </c>
      <c r="P15" s="6">
        <v>81.62</v>
      </c>
      <c r="Q15" s="6">
        <v>82.58</v>
      </c>
    </row>
    <row r="16" spans="1:17">
      <c r="A16" s="5">
        <v>20240320</v>
      </c>
      <c r="B16" s="6">
        <v>81.68</v>
      </c>
      <c r="C16" s="6">
        <v>85.95</v>
      </c>
      <c r="D16" s="6">
        <v>86.48</v>
      </c>
      <c r="E16" s="6">
        <v>638</v>
      </c>
      <c r="F16" s="6">
        <v>86.49</v>
      </c>
      <c r="G16" s="6">
        <v>86.49</v>
      </c>
      <c r="H16" s="6">
        <v>85.545</v>
      </c>
      <c r="I16" s="6">
        <v>82.545</v>
      </c>
      <c r="J16" s="6">
        <v>90.58</v>
      </c>
      <c r="K16" s="6">
        <v>91.78</v>
      </c>
      <c r="L16" s="6">
        <v>71.885</v>
      </c>
      <c r="M16" s="6">
        <v>80.54</v>
      </c>
      <c r="N16" s="6">
        <v>86.16</v>
      </c>
      <c r="O16" s="6">
        <v>86.41</v>
      </c>
      <c r="P16" s="6">
        <v>81.33</v>
      </c>
      <c r="Q16" s="6">
        <v>82.56</v>
      </c>
    </row>
    <row r="17" spans="1:17">
      <c r="A17" s="5">
        <v>20240321</v>
      </c>
      <c r="B17" s="6">
        <v>81.07</v>
      </c>
      <c r="C17" s="6">
        <v>85.78</v>
      </c>
      <c r="D17" s="6">
        <v>86.01</v>
      </c>
      <c r="E17" s="6">
        <v>631.7</v>
      </c>
      <c r="F17" s="6">
        <v>86.01</v>
      </c>
      <c r="G17" s="6">
        <v>86.01</v>
      </c>
      <c r="H17" s="6">
        <v>85.175</v>
      </c>
      <c r="I17" s="6">
        <v>81.91</v>
      </c>
      <c r="J17" s="6">
        <v>90.14</v>
      </c>
      <c r="K17" s="6">
        <v>91.34</v>
      </c>
      <c r="L17" s="6">
        <v>71.33</v>
      </c>
      <c r="M17" s="6">
        <v>79.91</v>
      </c>
      <c r="N17" s="6">
        <v>85.82</v>
      </c>
      <c r="O17" s="6">
        <v>86.07</v>
      </c>
      <c r="P17" s="6">
        <v>80.59</v>
      </c>
      <c r="Q17" s="6">
        <v>82.02</v>
      </c>
    </row>
    <row r="18" spans="1:17">
      <c r="A18" s="5">
        <v>20240322</v>
      </c>
      <c r="B18" s="6">
        <v>80.63</v>
      </c>
      <c r="C18" s="6">
        <v>85.43</v>
      </c>
      <c r="D18" s="6">
        <v>85.14</v>
      </c>
      <c r="E18" s="6">
        <v>627.6</v>
      </c>
      <c r="F18" s="6">
        <v>85.145</v>
      </c>
      <c r="G18" s="6">
        <v>85.145</v>
      </c>
      <c r="H18" s="6">
        <v>84.895</v>
      </c>
      <c r="I18" s="6">
        <v>81.06</v>
      </c>
      <c r="J18" s="6">
        <v>88.93</v>
      </c>
      <c r="K18" s="6">
        <v>90.63</v>
      </c>
      <c r="L18" s="6">
        <v>70.48</v>
      </c>
      <c r="M18" s="6">
        <v>79.95</v>
      </c>
      <c r="N18" s="6">
        <v>85.04</v>
      </c>
      <c r="O18" s="6">
        <v>85.29</v>
      </c>
      <c r="P18" s="6">
        <v>79.93</v>
      </c>
      <c r="Q18" s="6">
        <v>81.24</v>
      </c>
    </row>
    <row r="19" spans="1:17">
      <c r="A19" s="5">
        <v>20240325</v>
      </c>
      <c r="B19" s="6">
        <v>81.95</v>
      </c>
      <c r="C19" s="6">
        <v>86.75</v>
      </c>
      <c r="D19" s="6">
        <v>85.29</v>
      </c>
      <c r="E19" s="6">
        <v>631.1</v>
      </c>
      <c r="F19" s="6">
        <v>85.35</v>
      </c>
      <c r="G19" s="6">
        <v>85.35</v>
      </c>
      <c r="H19" s="6">
        <v>86.365</v>
      </c>
      <c r="I19" s="6">
        <v>81.295</v>
      </c>
      <c r="J19" s="6">
        <v>88.62</v>
      </c>
      <c r="K19" s="6">
        <v>90.77</v>
      </c>
      <c r="L19" s="6">
        <v>70.945</v>
      </c>
      <c r="M19" s="6">
        <v>81.23</v>
      </c>
      <c r="N19" s="6">
        <v>85.25</v>
      </c>
      <c r="O19" s="6">
        <v>85.5</v>
      </c>
      <c r="P19" s="6">
        <v>80.07</v>
      </c>
      <c r="Q19" s="6">
        <v>81.4</v>
      </c>
    </row>
    <row r="20" spans="1:17">
      <c r="A20" s="5">
        <v>20240326</v>
      </c>
      <c r="B20" s="6">
        <v>81.62</v>
      </c>
      <c r="C20" s="6">
        <v>86.25</v>
      </c>
      <c r="D20" s="6">
        <v>86.18</v>
      </c>
      <c r="E20" s="6">
        <v>635.6</v>
      </c>
      <c r="F20" s="6">
        <v>86.195</v>
      </c>
      <c r="G20" s="6">
        <v>86.195</v>
      </c>
      <c r="H20" s="6">
        <v>86</v>
      </c>
      <c r="I20" s="6">
        <v>82.15</v>
      </c>
      <c r="J20" s="6">
        <v>89.38</v>
      </c>
      <c r="K20" s="6">
        <v>91.73</v>
      </c>
      <c r="L20" s="6">
        <v>71.755</v>
      </c>
      <c r="M20" s="6">
        <v>81.01</v>
      </c>
      <c r="N20" s="6">
        <v>86.1</v>
      </c>
      <c r="O20" s="6">
        <v>86.35</v>
      </c>
      <c r="P20" s="6">
        <v>81.03</v>
      </c>
      <c r="Q20" s="6">
        <v>82.25</v>
      </c>
    </row>
    <row r="21" spans="1:17">
      <c r="A21" s="5">
        <v>20240327</v>
      </c>
      <c r="B21" s="6">
        <v>81.35</v>
      </c>
      <c r="C21" s="6">
        <v>86.09</v>
      </c>
      <c r="D21" s="6">
        <v>85.1</v>
      </c>
      <c r="E21" s="6">
        <v>632.5</v>
      </c>
      <c r="F21" s="6">
        <v>85.2</v>
      </c>
      <c r="G21" s="6">
        <v>85.2</v>
      </c>
      <c r="H21" s="6">
        <v>85.09</v>
      </c>
      <c r="I21" s="6">
        <v>81.2</v>
      </c>
      <c r="J21" s="6">
        <v>88.21</v>
      </c>
      <c r="K21" s="6">
        <v>90.71</v>
      </c>
      <c r="L21" s="6">
        <v>71.04</v>
      </c>
      <c r="M21" s="6">
        <v>80.29</v>
      </c>
      <c r="N21" s="6">
        <v>85.21</v>
      </c>
      <c r="O21" s="6">
        <v>85.46</v>
      </c>
      <c r="P21" s="6">
        <v>80.01</v>
      </c>
      <c r="Q21" s="6">
        <v>81.31</v>
      </c>
    </row>
    <row r="22" spans="1:17">
      <c r="A22" s="5">
        <v>20240328</v>
      </c>
      <c r="B22" s="6">
        <v>83.17</v>
      </c>
      <c r="C22" s="6">
        <v>87.48</v>
      </c>
      <c r="D22" s="6">
        <v>85.85</v>
      </c>
      <c r="E22" s="6">
        <v>632.4</v>
      </c>
      <c r="F22" s="6">
        <v>86.295</v>
      </c>
      <c r="G22" s="6">
        <v>86.295</v>
      </c>
      <c r="H22" s="6">
        <v>86.885</v>
      </c>
      <c r="I22" s="6">
        <v>81.995</v>
      </c>
      <c r="J22" s="6">
        <v>88.74</v>
      </c>
      <c r="K22" s="6">
        <v>91.34</v>
      </c>
      <c r="L22" s="6">
        <v>71.835</v>
      </c>
      <c r="M22" s="6">
        <v>81.42</v>
      </c>
      <c r="N22" s="6">
        <v>86.02</v>
      </c>
      <c r="O22" s="6">
        <v>86.27</v>
      </c>
      <c r="P22" s="6">
        <v>80.59</v>
      </c>
      <c r="Q22" s="6">
        <v>82.12</v>
      </c>
    </row>
    <row r="23" spans="1:17">
      <c r="A23" s="5">
        <v>20240329</v>
      </c>
      <c r="B23" s="8"/>
      <c r="C23" s="8"/>
      <c r="D23" s="8"/>
      <c r="E23" s="6">
        <v>642.6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>
      <c r="A24" s="7" t="s">
        <v>17</v>
      </c>
      <c r="B24" s="8">
        <f>AVERAGE(B19:B23)</f>
        <v>82.0225</v>
      </c>
      <c r="C24" s="8">
        <f t="shared" ref="C24:Q24" si="0">AVERAGE(C19:C23)</f>
        <v>86.6425</v>
      </c>
      <c r="D24" s="8">
        <f t="shared" si="0"/>
        <v>85.605</v>
      </c>
      <c r="E24" s="8">
        <f t="shared" si="0"/>
        <v>634.84</v>
      </c>
      <c r="F24" s="8">
        <f t="shared" si="0"/>
        <v>85.76</v>
      </c>
      <c r="G24" s="8">
        <f t="shared" si="0"/>
        <v>85.76</v>
      </c>
      <c r="H24" s="8">
        <f t="shared" si="0"/>
        <v>86.085</v>
      </c>
      <c r="I24" s="8">
        <f t="shared" si="0"/>
        <v>81.66</v>
      </c>
      <c r="J24" s="8">
        <f t="shared" si="0"/>
        <v>88.7375</v>
      </c>
      <c r="K24" s="8">
        <f t="shared" si="0"/>
        <v>91.1375</v>
      </c>
      <c r="L24" s="8">
        <f t="shared" si="0"/>
        <v>71.39375</v>
      </c>
      <c r="M24" s="8">
        <f t="shared" si="0"/>
        <v>80.9875</v>
      </c>
      <c r="N24" s="8">
        <f t="shared" si="0"/>
        <v>85.645</v>
      </c>
      <c r="O24" s="8">
        <f t="shared" si="0"/>
        <v>85.895</v>
      </c>
      <c r="P24" s="8">
        <f t="shared" si="0"/>
        <v>80.425</v>
      </c>
      <c r="Q24" s="8">
        <f t="shared" si="0"/>
        <v>81.77</v>
      </c>
    </row>
    <row r="25" ht="22.5" spans="1:17">
      <c r="A25" s="3" t="s">
        <v>42</v>
      </c>
      <c r="B25" s="9">
        <f>AVERAGE(B3:B23)</f>
        <v>80.405</v>
      </c>
      <c r="C25" s="9">
        <f t="shared" ref="C25:Q25" si="1">AVERAGE(C3:C23)</f>
        <v>84.6655</v>
      </c>
      <c r="D25" s="9">
        <f t="shared" si="1"/>
        <v>84.1375</v>
      </c>
      <c r="E25" s="9">
        <f t="shared" si="1"/>
        <v>625.528571428572</v>
      </c>
      <c r="F25" s="9">
        <f t="shared" si="1"/>
        <v>84.15175</v>
      </c>
      <c r="G25" s="9">
        <f t="shared" si="1"/>
        <v>84.17875</v>
      </c>
      <c r="H25" s="9">
        <f t="shared" si="1"/>
        <v>85.4845</v>
      </c>
      <c r="I25" s="9">
        <f t="shared" si="1"/>
        <v>79.9435</v>
      </c>
      <c r="J25" s="9">
        <f t="shared" si="1"/>
        <v>87.4165</v>
      </c>
      <c r="K25" s="9">
        <f t="shared" si="1"/>
        <v>89.5665</v>
      </c>
      <c r="L25" s="9">
        <f t="shared" si="1"/>
        <v>69.592</v>
      </c>
      <c r="M25" s="9">
        <f t="shared" si="1"/>
        <v>80.0555</v>
      </c>
      <c r="N25" s="9">
        <f t="shared" si="1"/>
        <v>83.598</v>
      </c>
      <c r="O25" s="9">
        <f t="shared" si="1"/>
        <v>83.848</v>
      </c>
      <c r="P25" s="9">
        <f t="shared" si="1"/>
        <v>79.524</v>
      </c>
      <c r="Q25" s="9">
        <f t="shared" si="1"/>
        <v>80.153</v>
      </c>
    </row>
    <row r="26" ht="23.25" spans="1:17">
      <c r="A26" s="10" t="s">
        <v>19</v>
      </c>
      <c r="B26" s="24">
        <f>(B25-B2)/B2</f>
        <v>0.0495366140190578</v>
      </c>
      <c r="C26" s="24">
        <f t="shared" ref="B26:Q26" si="2">(C25-C2)/C2</f>
        <v>0.0360921074100836</v>
      </c>
      <c r="D26" s="24">
        <f t="shared" si="2"/>
        <v>0.0406617192331474</v>
      </c>
      <c r="E26" s="24">
        <f t="shared" si="2"/>
        <v>0.0654307029226125</v>
      </c>
      <c r="F26" s="24">
        <f t="shared" si="2"/>
        <v>0.0403972343194134</v>
      </c>
      <c r="G26" s="24">
        <f t="shared" si="2"/>
        <v>0.0405895278152922</v>
      </c>
      <c r="H26" s="24">
        <f t="shared" si="2"/>
        <v>0.0185560605286898</v>
      </c>
      <c r="I26" s="24">
        <f t="shared" si="2"/>
        <v>0.0492064689920828</v>
      </c>
      <c r="J26" s="24">
        <f t="shared" si="2"/>
        <v>0.0368461629699917</v>
      </c>
      <c r="K26" s="24">
        <f t="shared" si="2"/>
        <v>0.038693030267888</v>
      </c>
      <c r="L26" s="24">
        <f t="shared" si="2"/>
        <v>0.0560923883558501</v>
      </c>
      <c r="M26" s="24">
        <f t="shared" si="2"/>
        <v>0.0545829381388977</v>
      </c>
      <c r="N26" s="24">
        <f t="shared" si="2"/>
        <v>0.0552305216321119</v>
      </c>
      <c r="O26" s="24">
        <f t="shared" si="2"/>
        <v>0.0550567806473936</v>
      </c>
      <c r="P26" s="24">
        <f t="shared" si="2"/>
        <v>0.0527054307178076</v>
      </c>
      <c r="Q26" s="24">
        <f t="shared" si="2"/>
        <v>0.0423694648546723</v>
      </c>
    </row>
    <row r="27" ht="15"/>
  </sheetData>
  <pageMargins left="0.75" right="0.75" top="1" bottom="1" header="0.5" footer="0.5"/>
  <pageSetup paperSize="9" orientation="portrait"/>
  <headerFooter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Q27"/>
  <sheetViews>
    <sheetView workbookViewId="0">
      <selection activeCell="E23" sqref="E3:E23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36</v>
      </c>
      <c r="B2" s="9">
        <v>73.8609523809524</v>
      </c>
      <c r="C2" s="9">
        <v>79.1495454545454</v>
      </c>
      <c r="D2" s="9">
        <v>78.7540909090909</v>
      </c>
      <c r="E2" s="9">
        <v>562.7</v>
      </c>
      <c r="F2" s="9">
        <v>78.8470454545455</v>
      </c>
      <c r="G2" s="9">
        <v>78.8761363636364</v>
      </c>
      <c r="H2" s="9">
        <v>80.3175</v>
      </c>
      <c r="I2" s="9">
        <v>73.1795454545455</v>
      </c>
      <c r="J2" s="9">
        <v>80.3445454545455</v>
      </c>
      <c r="K2" s="9">
        <v>83.5559090909091</v>
      </c>
      <c r="L2" s="9">
        <v>62.4961363636364</v>
      </c>
      <c r="M2" s="9">
        <v>71.71</v>
      </c>
      <c r="N2" s="9">
        <v>76.1722727272727</v>
      </c>
      <c r="O2" s="9">
        <v>76.5881818181818</v>
      </c>
      <c r="P2" s="9">
        <v>71.64</v>
      </c>
      <c r="Q2" s="9">
        <v>74.8836363636364</v>
      </c>
    </row>
    <row r="3" spans="1:17">
      <c r="A3" s="5">
        <v>20240201</v>
      </c>
      <c r="B3" s="6">
        <v>73.82</v>
      </c>
      <c r="C3" s="6">
        <v>78.7</v>
      </c>
      <c r="D3" s="6">
        <v>80.17</v>
      </c>
      <c r="E3" s="6">
        <v>579.4</v>
      </c>
      <c r="F3" s="6">
        <v>80.3</v>
      </c>
      <c r="G3" s="6">
        <v>80.3</v>
      </c>
      <c r="H3" s="6">
        <v>83.315</v>
      </c>
      <c r="I3" s="6">
        <v>74.095</v>
      </c>
      <c r="J3" s="6">
        <v>83.06</v>
      </c>
      <c r="K3" s="6">
        <v>85.26</v>
      </c>
      <c r="L3" s="6">
        <v>62.81</v>
      </c>
      <c r="M3" s="6">
        <v>75.5</v>
      </c>
      <c r="N3" s="6">
        <v>78.01</v>
      </c>
      <c r="O3" s="6">
        <v>78.26</v>
      </c>
      <c r="P3" s="6">
        <v>74.16</v>
      </c>
      <c r="Q3" s="6">
        <v>76.46</v>
      </c>
    </row>
    <row r="4" spans="1:17">
      <c r="A4" s="5">
        <v>20240202</v>
      </c>
      <c r="B4" s="6">
        <v>72.28</v>
      </c>
      <c r="C4" s="6">
        <v>77.33</v>
      </c>
      <c r="D4" s="6">
        <v>78.99</v>
      </c>
      <c r="E4" s="6">
        <v>574.1</v>
      </c>
      <c r="F4" s="6">
        <v>78.95</v>
      </c>
      <c r="G4" s="6">
        <v>79.08</v>
      </c>
      <c r="H4" s="6">
        <v>79.08</v>
      </c>
      <c r="I4" s="6">
        <v>73.08</v>
      </c>
      <c r="J4" s="6">
        <v>81.85</v>
      </c>
      <c r="K4" s="6">
        <v>84.05</v>
      </c>
      <c r="L4" s="6">
        <v>61.91</v>
      </c>
      <c r="M4" s="6">
        <v>71.54</v>
      </c>
      <c r="N4" s="6">
        <v>76.86</v>
      </c>
      <c r="O4" s="6">
        <v>77.11</v>
      </c>
      <c r="P4" s="6">
        <v>72.95</v>
      </c>
      <c r="Q4" s="6">
        <v>75.31</v>
      </c>
    </row>
    <row r="5" spans="1:17">
      <c r="A5" s="5">
        <v>20240205</v>
      </c>
      <c r="B5" s="6">
        <v>72.78</v>
      </c>
      <c r="C5" s="6">
        <v>77.99</v>
      </c>
      <c r="D5" s="6">
        <v>77.4</v>
      </c>
      <c r="E5" s="6">
        <v>556.3</v>
      </c>
      <c r="F5" s="6">
        <v>77.41</v>
      </c>
      <c r="G5" s="6">
        <v>77.5</v>
      </c>
      <c r="H5" s="6">
        <v>79.23</v>
      </c>
      <c r="I5" s="6">
        <v>71.475</v>
      </c>
      <c r="J5" s="6">
        <v>80.39</v>
      </c>
      <c r="K5" s="6">
        <v>82.64</v>
      </c>
      <c r="L5" s="6">
        <v>60.305</v>
      </c>
      <c r="M5" s="6">
        <v>71.36</v>
      </c>
      <c r="N5" s="6">
        <v>75.38</v>
      </c>
      <c r="O5" s="6">
        <v>75.63</v>
      </c>
      <c r="P5" s="6">
        <v>71.49</v>
      </c>
      <c r="Q5" s="6">
        <v>73.73</v>
      </c>
    </row>
    <row r="6" spans="1:17">
      <c r="A6" s="5">
        <v>20240206</v>
      </c>
      <c r="B6" s="6">
        <v>73.31</v>
      </c>
      <c r="C6" s="6">
        <v>78.59</v>
      </c>
      <c r="D6" s="6">
        <v>77.99</v>
      </c>
      <c r="E6" s="6">
        <v>555.5</v>
      </c>
      <c r="F6" s="6">
        <v>78</v>
      </c>
      <c r="G6" s="6">
        <v>78</v>
      </c>
      <c r="H6" s="6">
        <v>80.905</v>
      </c>
      <c r="I6" s="6">
        <v>72.01</v>
      </c>
      <c r="J6" s="6">
        <v>81.04</v>
      </c>
      <c r="K6" s="6">
        <v>83.29</v>
      </c>
      <c r="L6" s="6">
        <v>60.925</v>
      </c>
      <c r="M6" s="6">
        <v>72.88</v>
      </c>
      <c r="N6" s="6">
        <v>75.93</v>
      </c>
      <c r="O6" s="6">
        <v>76.18</v>
      </c>
      <c r="P6" s="6">
        <v>72.14</v>
      </c>
      <c r="Q6" s="6">
        <v>74.28</v>
      </c>
    </row>
    <row r="7" spans="1:17">
      <c r="A7" s="5">
        <v>20240207</v>
      </c>
      <c r="B7" s="6">
        <v>73.86</v>
      </c>
      <c r="C7" s="6">
        <v>79.21</v>
      </c>
      <c r="D7" s="6">
        <v>78.48</v>
      </c>
      <c r="E7" s="6">
        <v>561.9</v>
      </c>
      <c r="F7" s="6">
        <v>78.5</v>
      </c>
      <c r="G7" s="6">
        <v>78.5</v>
      </c>
      <c r="H7" s="6">
        <v>81.69</v>
      </c>
      <c r="I7" s="6">
        <v>72.995</v>
      </c>
      <c r="J7" s="6">
        <v>81.44</v>
      </c>
      <c r="K7" s="6">
        <v>83.74</v>
      </c>
      <c r="L7" s="6">
        <v>62.275</v>
      </c>
      <c r="M7" s="6">
        <v>73.36</v>
      </c>
      <c r="N7" s="6">
        <v>76.4</v>
      </c>
      <c r="O7" s="6">
        <v>76.65</v>
      </c>
      <c r="P7" s="6">
        <v>72.54</v>
      </c>
      <c r="Q7" s="6">
        <v>74.75</v>
      </c>
    </row>
    <row r="8" spans="1:17">
      <c r="A8" s="5">
        <v>20240208</v>
      </c>
      <c r="B8" s="6">
        <v>76.22</v>
      </c>
      <c r="C8" s="6">
        <v>81.63</v>
      </c>
      <c r="D8" s="6">
        <v>79.31</v>
      </c>
      <c r="E8" s="6">
        <v>566.2</v>
      </c>
      <c r="F8" s="6">
        <v>79.33</v>
      </c>
      <c r="G8" s="6">
        <v>79.33</v>
      </c>
      <c r="H8" s="6">
        <v>84.475</v>
      </c>
      <c r="I8" s="6">
        <v>73.715</v>
      </c>
      <c r="J8" s="6">
        <v>82.31</v>
      </c>
      <c r="K8" s="6">
        <v>84.56</v>
      </c>
      <c r="L8" s="6">
        <v>62.875</v>
      </c>
      <c r="M8" s="6">
        <v>75.57</v>
      </c>
      <c r="N8" s="6">
        <v>77.18</v>
      </c>
      <c r="O8" s="6">
        <v>77.43</v>
      </c>
      <c r="P8" s="6">
        <v>73.26</v>
      </c>
      <c r="Q8" s="6">
        <v>75.53</v>
      </c>
    </row>
    <row r="9" spans="1:17">
      <c r="A9" s="5">
        <v>20240209</v>
      </c>
      <c r="B9" s="6">
        <v>76.84</v>
      </c>
      <c r="C9" s="6">
        <v>82.19</v>
      </c>
      <c r="D9" s="6">
        <v>81.03</v>
      </c>
      <c r="E9" s="6"/>
      <c r="F9" s="6">
        <v>81.04</v>
      </c>
      <c r="G9" s="6">
        <v>81.04</v>
      </c>
      <c r="H9" s="6">
        <v>84.75</v>
      </c>
      <c r="I9" s="6">
        <v>75.71</v>
      </c>
      <c r="J9" s="6">
        <v>83.96</v>
      </c>
      <c r="K9" s="6">
        <v>86.36</v>
      </c>
      <c r="L9" s="6">
        <v>65.16</v>
      </c>
      <c r="M9" s="6">
        <v>74.92</v>
      </c>
      <c r="N9" s="6">
        <v>78.62</v>
      </c>
      <c r="O9" s="6">
        <v>78.87</v>
      </c>
      <c r="P9" s="6">
        <v>74.66</v>
      </c>
      <c r="Q9" s="6">
        <v>77.02</v>
      </c>
    </row>
    <row r="10" spans="1:17">
      <c r="A10" s="5">
        <v>20240212</v>
      </c>
      <c r="B10" s="6">
        <v>76.92</v>
      </c>
      <c r="C10" s="6">
        <v>82</v>
      </c>
      <c r="D10" s="6">
        <v>80.83</v>
      </c>
      <c r="E10" s="6"/>
      <c r="F10" s="6"/>
      <c r="G10" s="6"/>
      <c r="H10" s="6">
        <v>84.615</v>
      </c>
      <c r="I10" s="6"/>
      <c r="J10" s="6"/>
      <c r="K10" s="6"/>
      <c r="L10" s="6"/>
      <c r="M10" s="6"/>
      <c r="N10" s="6"/>
      <c r="O10" s="6"/>
      <c r="P10" s="6"/>
      <c r="Q10" s="6"/>
    </row>
    <row r="11" spans="1:17">
      <c r="A11" s="5">
        <v>20240213</v>
      </c>
      <c r="B11" s="6">
        <v>77.87</v>
      </c>
      <c r="C11" s="6">
        <v>82.77</v>
      </c>
      <c r="D11" s="6">
        <v>81.86</v>
      </c>
      <c r="E11" s="6"/>
      <c r="F11" s="6">
        <v>81.91</v>
      </c>
      <c r="G11" s="6">
        <v>81.91</v>
      </c>
      <c r="H11" s="6">
        <v>86</v>
      </c>
      <c r="I11" s="6">
        <v>76.085</v>
      </c>
      <c r="J11" s="6">
        <v>84.77</v>
      </c>
      <c r="K11" s="6">
        <v>87.07</v>
      </c>
      <c r="L11" s="6">
        <v>65.12</v>
      </c>
      <c r="M11" s="6">
        <v>76.02</v>
      </c>
      <c r="N11" s="6">
        <v>79.42</v>
      </c>
      <c r="O11" s="6">
        <v>79.67</v>
      </c>
      <c r="P11" s="6">
        <v>75.42</v>
      </c>
      <c r="Q11" s="6">
        <v>77.82</v>
      </c>
    </row>
    <row r="12" spans="1:17">
      <c r="A12" s="5">
        <v>20240214</v>
      </c>
      <c r="B12" s="6">
        <v>76.64</v>
      </c>
      <c r="C12" s="6">
        <v>81.6</v>
      </c>
      <c r="D12" s="6">
        <v>82.39</v>
      </c>
      <c r="E12" s="6"/>
      <c r="F12" s="6">
        <v>82.44</v>
      </c>
      <c r="G12" s="6">
        <v>82.44</v>
      </c>
      <c r="H12" s="6">
        <v>85.045</v>
      </c>
      <c r="I12" s="6">
        <v>76.945</v>
      </c>
      <c r="J12" s="6">
        <v>85.31</v>
      </c>
      <c r="K12" s="6">
        <v>87.61</v>
      </c>
      <c r="L12" s="6">
        <v>66.445</v>
      </c>
      <c r="M12" s="6">
        <v>75.58</v>
      </c>
      <c r="N12" s="6">
        <v>79.86</v>
      </c>
      <c r="O12" s="6">
        <v>80.11</v>
      </c>
      <c r="P12" s="6">
        <v>76.01</v>
      </c>
      <c r="Q12" s="6">
        <v>78.26</v>
      </c>
    </row>
    <row r="13" spans="1:17">
      <c r="A13" s="5">
        <v>20240215</v>
      </c>
      <c r="B13" s="6">
        <v>78.03</v>
      </c>
      <c r="C13" s="6">
        <v>82.86</v>
      </c>
      <c r="D13" s="6">
        <v>80.56</v>
      </c>
      <c r="E13" s="6"/>
      <c r="F13" s="6">
        <v>80.55</v>
      </c>
      <c r="G13" s="6">
        <v>80.55</v>
      </c>
      <c r="H13" s="6">
        <v>85.535</v>
      </c>
      <c r="I13" s="6">
        <v>75.905</v>
      </c>
      <c r="J13" s="6">
        <v>83.63</v>
      </c>
      <c r="K13" s="6">
        <v>85.88</v>
      </c>
      <c r="L13" s="6">
        <v>65.995</v>
      </c>
      <c r="M13" s="6">
        <v>76.19</v>
      </c>
      <c r="N13" s="6">
        <v>78.37</v>
      </c>
      <c r="O13" s="6">
        <v>78.62</v>
      </c>
      <c r="P13" s="6">
        <v>74.63</v>
      </c>
      <c r="Q13" s="6">
        <v>76.42</v>
      </c>
    </row>
    <row r="14" spans="1:17">
      <c r="A14" s="5">
        <v>20240216</v>
      </c>
      <c r="B14" s="6">
        <v>79.19</v>
      </c>
      <c r="C14" s="6">
        <v>83.47</v>
      </c>
      <c r="D14" s="6">
        <v>82.1</v>
      </c>
      <c r="E14" s="6"/>
      <c r="F14" s="6">
        <v>82.05</v>
      </c>
      <c r="G14" s="6">
        <v>82.05</v>
      </c>
      <c r="H14" s="6">
        <v>86.12</v>
      </c>
      <c r="I14" s="6">
        <v>77.835</v>
      </c>
      <c r="J14" s="6">
        <v>85.14</v>
      </c>
      <c r="K14" s="6">
        <v>87.44</v>
      </c>
      <c r="L14" s="6">
        <v>68.135</v>
      </c>
      <c r="M14" s="6">
        <v>76.82</v>
      </c>
      <c r="N14" s="6">
        <v>80.18</v>
      </c>
      <c r="O14" s="6">
        <v>80.43</v>
      </c>
      <c r="P14" s="6">
        <v>76.49</v>
      </c>
      <c r="Q14" s="6">
        <v>77.93</v>
      </c>
    </row>
    <row r="15" spans="1:17">
      <c r="A15" s="5">
        <v>20240219</v>
      </c>
      <c r="B15" s="6"/>
      <c r="C15" s="6">
        <v>83.56</v>
      </c>
      <c r="D15" s="6">
        <v>82.26</v>
      </c>
      <c r="E15" s="6">
        <v>600.3</v>
      </c>
      <c r="F15" s="6">
        <v>82.29</v>
      </c>
      <c r="G15" s="6">
        <v>82.29</v>
      </c>
      <c r="H15" s="6">
        <v>86.51</v>
      </c>
      <c r="I15" s="6">
        <v>78.055</v>
      </c>
      <c r="J15" s="6">
        <v>85.33</v>
      </c>
      <c r="K15" s="6">
        <v>87.58</v>
      </c>
      <c r="L15" s="6">
        <v>68.265</v>
      </c>
      <c r="M15" s="6">
        <v>77.48</v>
      </c>
      <c r="N15" s="6">
        <v>81.14</v>
      </c>
      <c r="O15" s="6">
        <v>81.39</v>
      </c>
      <c r="P15" s="6">
        <v>76.98</v>
      </c>
      <c r="Q15" s="6">
        <v>78.14</v>
      </c>
    </row>
    <row r="16" spans="1:17">
      <c r="A16" s="5">
        <v>20240220</v>
      </c>
      <c r="B16" s="6">
        <v>78.18</v>
      </c>
      <c r="C16" s="6">
        <v>82.34</v>
      </c>
      <c r="D16" s="6">
        <v>82.77</v>
      </c>
      <c r="E16" s="6">
        <v>604.1</v>
      </c>
      <c r="F16" s="6">
        <v>82.75</v>
      </c>
      <c r="G16" s="6">
        <v>82.75</v>
      </c>
      <c r="H16" s="6">
        <v>84.89</v>
      </c>
      <c r="I16" s="6">
        <v>78.97</v>
      </c>
      <c r="J16" s="6">
        <v>86.37</v>
      </c>
      <c r="K16" s="6">
        <v>88.17</v>
      </c>
      <c r="L16" s="6">
        <v>68.975</v>
      </c>
      <c r="M16" s="6">
        <v>76.63</v>
      </c>
      <c r="N16" s="6">
        <v>81.63</v>
      </c>
      <c r="O16" s="6">
        <v>81.88</v>
      </c>
      <c r="P16" s="6">
        <v>77.82</v>
      </c>
      <c r="Q16" s="6">
        <v>78.53</v>
      </c>
    </row>
    <row r="17" spans="1:17">
      <c r="A17" s="5">
        <v>20240221</v>
      </c>
      <c r="B17" s="6">
        <v>77.91</v>
      </c>
      <c r="C17" s="6">
        <v>83.03</v>
      </c>
      <c r="D17" s="6">
        <v>81.46</v>
      </c>
      <c r="E17" s="6">
        <v>598.5</v>
      </c>
      <c r="F17" s="6">
        <v>81.455</v>
      </c>
      <c r="G17" s="6">
        <v>81.455</v>
      </c>
      <c r="H17" s="6">
        <v>85.445</v>
      </c>
      <c r="I17" s="6">
        <v>77.705</v>
      </c>
      <c r="J17" s="6">
        <v>85.32</v>
      </c>
      <c r="K17" s="6">
        <v>86.77</v>
      </c>
      <c r="L17" s="6">
        <v>67.92</v>
      </c>
      <c r="M17" s="6">
        <v>77.42</v>
      </c>
      <c r="N17" s="6">
        <v>80.34</v>
      </c>
      <c r="O17" s="6">
        <v>80.59</v>
      </c>
      <c r="P17" s="6">
        <v>76.67</v>
      </c>
      <c r="Q17" s="6">
        <v>77.19</v>
      </c>
    </row>
    <row r="18" spans="1:17">
      <c r="A18" s="5">
        <v>20240222</v>
      </c>
      <c r="B18" s="6">
        <v>78.61</v>
      </c>
      <c r="C18" s="6">
        <v>83.67</v>
      </c>
      <c r="D18" s="6">
        <v>82.66</v>
      </c>
      <c r="E18" s="6">
        <v>598</v>
      </c>
      <c r="F18" s="6">
        <v>82.6</v>
      </c>
      <c r="G18" s="6">
        <v>82.6</v>
      </c>
      <c r="H18" s="6">
        <v>85.52</v>
      </c>
      <c r="I18" s="6">
        <v>79.015</v>
      </c>
      <c r="J18" s="6">
        <v>86.88</v>
      </c>
      <c r="K18" s="6">
        <v>87.88</v>
      </c>
      <c r="L18" s="6">
        <v>69.295</v>
      </c>
      <c r="M18" s="6">
        <v>77.87</v>
      </c>
      <c r="N18" s="6">
        <v>81.37</v>
      </c>
      <c r="O18" s="6">
        <v>81.62</v>
      </c>
      <c r="P18" s="6">
        <v>77.78</v>
      </c>
      <c r="Q18" s="6">
        <v>78.27</v>
      </c>
    </row>
    <row r="19" spans="1:17">
      <c r="A19" s="5">
        <v>20240223</v>
      </c>
      <c r="B19" s="6">
        <v>76.49</v>
      </c>
      <c r="C19" s="6">
        <v>81.62</v>
      </c>
      <c r="D19" s="6">
        <v>82.08</v>
      </c>
      <c r="E19" s="6">
        <v>602.3</v>
      </c>
      <c r="F19" s="6">
        <v>82.01</v>
      </c>
      <c r="G19" s="6">
        <v>82.01</v>
      </c>
      <c r="H19" s="6">
        <v>83.715</v>
      </c>
      <c r="I19" s="6">
        <v>78.91</v>
      </c>
      <c r="J19" s="6">
        <v>87.15</v>
      </c>
      <c r="K19" s="6">
        <v>87.75</v>
      </c>
      <c r="L19" s="6">
        <v>68.985</v>
      </c>
      <c r="M19" s="6">
        <v>77.21</v>
      </c>
      <c r="N19" s="6">
        <v>81.16</v>
      </c>
      <c r="O19" s="6">
        <v>81.41</v>
      </c>
      <c r="P19" s="6">
        <v>77.95</v>
      </c>
      <c r="Q19" s="6">
        <v>78.01</v>
      </c>
    </row>
    <row r="20" spans="1:17">
      <c r="A20" s="5">
        <v>20240226</v>
      </c>
      <c r="B20" s="6">
        <v>77.58</v>
      </c>
      <c r="C20" s="6">
        <v>82.53</v>
      </c>
      <c r="D20" s="6">
        <v>80.4</v>
      </c>
      <c r="E20" s="6">
        <v>597.5</v>
      </c>
      <c r="F20" s="6">
        <v>80.39</v>
      </c>
      <c r="G20" s="6">
        <v>80.39</v>
      </c>
      <c r="H20" s="6">
        <v>83.205</v>
      </c>
      <c r="I20" s="6">
        <v>77.19</v>
      </c>
      <c r="J20" s="6">
        <v>85.32</v>
      </c>
      <c r="K20" s="6">
        <v>86.07</v>
      </c>
      <c r="L20" s="6">
        <v>67.325</v>
      </c>
      <c r="M20" s="6">
        <v>77.28</v>
      </c>
      <c r="N20" s="6">
        <v>79.56</v>
      </c>
      <c r="O20" s="6">
        <v>79.81</v>
      </c>
      <c r="P20" s="6">
        <v>76.42</v>
      </c>
      <c r="Q20" s="6">
        <v>76.46</v>
      </c>
    </row>
    <row r="21" spans="1:17">
      <c r="A21" s="5">
        <v>20240227</v>
      </c>
      <c r="B21" s="6">
        <v>78.87</v>
      </c>
      <c r="C21" s="6">
        <v>83.65</v>
      </c>
      <c r="D21" s="6">
        <v>82.07</v>
      </c>
      <c r="E21" s="6">
        <v>598</v>
      </c>
      <c r="F21" s="6">
        <v>82.05</v>
      </c>
      <c r="G21" s="6">
        <v>82.05</v>
      </c>
      <c r="H21" s="6">
        <v>84.14</v>
      </c>
      <c r="I21" s="6">
        <v>78.165</v>
      </c>
      <c r="J21" s="6">
        <v>86.02</v>
      </c>
      <c r="K21" s="6">
        <v>87.37</v>
      </c>
      <c r="L21" s="6">
        <v>68.3</v>
      </c>
      <c r="M21" s="6">
        <v>78.21</v>
      </c>
      <c r="N21" s="6">
        <v>80.96</v>
      </c>
      <c r="O21" s="6">
        <v>81.21</v>
      </c>
      <c r="P21" s="6">
        <v>77.72</v>
      </c>
      <c r="Q21" s="6">
        <v>77.86</v>
      </c>
    </row>
    <row r="22" spans="1:17">
      <c r="A22" s="5">
        <v>20240228</v>
      </c>
      <c r="B22" s="6">
        <v>78.54</v>
      </c>
      <c r="C22" s="6">
        <v>83.68</v>
      </c>
      <c r="D22" s="6">
        <v>81.66</v>
      </c>
      <c r="E22" s="6">
        <v>605.5</v>
      </c>
      <c r="F22" s="6">
        <v>81.86</v>
      </c>
      <c r="G22" s="6">
        <v>81.86</v>
      </c>
      <c r="H22" s="6">
        <v>83.685</v>
      </c>
      <c r="I22" s="6">
        <v>78.185</v>
      </c>
      <c r="J22" s="6">
        <v>85.78</v>
      </c>
      <c r="K22" s="6">
        <v>87.68</v>
      </c>
      <c r="L22" s="6">
        <v>68.63</v>
      </c>
      <c r="M22" s="6">
        <v>77.91</v>
      </c>
      <c r="N22" s="6">
        <v>81.13</v>
      </c>
      <c r="O22" s="6">
        <v>81.38</v>
      </c>
      <c r="P22" s="6">
        <v>77.98</v>
      </c>
      <c r="Q22" s="6">
        <v>78.08</v>
      </c>
    </row>
    <row r="23" spans="1:17">
      <c r="A23" s="5">
        <v>20240229</v>
      </c>
      <c r="B23" s="6">
        <v>78.26</v>
      </c>
      <c r="C23" s="6">
        <v>83.62</v>
      </c>
      <c r="D23" s="6">
        <v>81.38</v>
      </c>
      <c r="E23" s="6">
        <v>609.1</v>
      </c>
      <c r="F23" s="6">
        <v>81.8</v>
      </c>
      <c r="G23" s="6">
        <v>81.8</v>
      </c>
      <c r="H23" s="6">
        <v>84.6</v>
      </c>
      <c r="I23" s="6">
        <v>77.84</v>
      </c>
      <c r="J23" s="6">
        <v>85.13</v>
      </c>
      <c r="K23" s="6">
        <v>87.43</v>
      </c>
      <c r="L23" s="6">
        <v>68.265</v>
      </c>
      <c r="M23" s="6">
        <v>78.49</v>
      </c>
      <c r="N23" s="6">
        <v>80.95</v>
      </c>
      <c r="O23" s="6">
        <v>81.2</v>
      </c>
      <c r="P23" s="6">
        <v>77.78</v>
      </c>
      <c r="Q23" s="6">
        <v>77.85</v>
      </c>
    </row>
    <row r="24" spans="1:17">
      <c r="A24" s="7" t="s">
        <v>17</v>
      </c>
      <c r="B24" s="8">
        <f>AVERAGE(B20:B23)</f>
        <v>78.3125</v>
      </c>
      <c r="C24" s="8">
        <f t="shared" ref="C24:Q24" si="0">AVERAGE(C20:C23)</f>
        <v>83.37</v>
      </c>
      <c r="D24" s="8">
        <f t="shared" si="0"/>
        <v>81.3775</v>
      </c>
      <c r="E24" s="8">
        <f t="shared" si="0"/>
        <v>602.525</v>
      </c>
      <c r="F24" s="8">
        <f t="shared" si="0"/>
        <v>81.525</v>
      </c>
      <c r="G24" s="8">
        <f t="shared" si="0"/>
        <v>81.525</v>
      </c>
      <c r="H24" s="8">
        <f t="shared" si="0"/>
        <v>83.9075</v>
      </c>
      <c r="I24" s="8">
        <f t="shared" si="0"/>
        <v>77.845</v>
      </c>
      <c r="J24" s="8">
        <f t="shared" si="0"/>
        <v>85.5625</v>
      </c>
      <c r="K24" s="8">
        <f t="shared" si="0"/>
        <v>87.1375</v>
      </c>
      <c r="L24" s="8">
        <f t="shared" si="0"/>
        <v>68.13</v>
      </c>
      <c r="M24" s="8">
        <f t="shared" si="0"/>
        <v>77.9725</v>
      </c>
      <c r="N24" s="8">
        <f t="shared" si="0"/>
        <v>80.65</v>
      </c>
      <c r="O24" s="8">
        <f t="shared" si="0"/>
        <v>80.9</v>
      </c>
      <c r="P24" s="8">
        <f t="shared" si="0"/>
        <v>77.475</v>
      </c>
      <c r="Q24" s="8">
        <f t="shared" si="0"/>
        <v>77.5625</v>
      </c>
    </row>
    <row r="25" ht="22.5" spans="1:17">
      <c r="A25" s="3" t="s">
        <v>41</v>
      </c>
      <c r="B25" s="9">
        <f>AVERAGE(B3:B23)</f>
        <v>76.61</v>
      </c>
      <c r="C25" s="9">
        <f t="shared" ref="C25:Q25" si="1">AVERAGE(C3:C23)</f>
        <v>81.7161904761905</v>
      </c>
      <c r="D25" s="9">
        <f t="shared" si="1"/>
        <v>80.85</v>
      </c>
      <c r="E25" s="9">
        <f t="shared" si="1"/>
        <v>587.113333333333</v>
      </c>
      <c r="F25" s="9">
        <f t="shared" si="1"/>
        <v>80.88425</v>
      </c>
      <c r="G25" s="9">
        <f t="shared" si="1"/>
        <v>80.89525</v>
      </c>
      <c r="H25" s="9">
        <f t="shared" si="1"/>
        <v>83.9271428571429</v>
      </c>
      <c r="I25" s="9">
        <f t="shared" si="1"/>
        <v>76.19425</v>
      </c>
      <c r="J25" s="9">
        <f t="shared" si="1"/>
        <v>84.31</v>
      </c>
      <c r="K25" s="9">
        <f t="shared" si="1"/>
        <v>86.23</v>
      </c>
      <c r="L25" s="9">
        <f t="shared" si="1"/>
        <v>65.89575</v>
      </c>
      <c r="M25" s="9">
        <f t="shared" si="1"/>
        <v>75.912</v>
      </c>
      <c r="N25" s="9">
        <f t="shared" si="1"/>
        <v>79.2225</v>
      </c>
      <c r="O25" s="9">
        <f t="shared" si="1"/>
        <v>79.4725</v>
      </c>
      <c r="P25" s="9">
        <f t="shared" si="1"/>
        <v>75.5425</v>
      </c>
      <c r="Q25" s="9">
        <f t="shared" si="1"/>
        <v>76.895</v>
      </c>
    </row>
    <row r="26" ht="23.25" spans="1:17">
      <c r="A26" s="10" t="s">
        <v>19</v>
      </c>
      <c r="B26" s="24">
        <f>(B25-B2)/B2</f>
        <v>0.0372192278928232</v>
      </c>
      <c r="C26" s="24">
        <f t="shared" ref="B26:Q26" si="2">(C25-C2)/C2</f>
        <v>0.0324277923127053</v>
      </c>
      <c r="D26" s="24">
        <f t="shared" si="2"/>
        <v>0.0266133361037527</v>
      </c>
      <c r="E26" s="24">
        <f t="shared" si="2"/>
        <v>0.0433860553284761</v>
      </c>
      <c r="F26" s="24">
        <f t="shared" si="2"/>
        <v>0.025837424011391</v>
      </c>
      <c r="G26" s="24">
        <f t="shared" si="2"/>
        <v>0.02559853625506</v>
      </c>
      <c r="H26" s="24">
        <f t="shared" si="2"/>
        <v>0.044942171471259</v>
      </c>
      <c r="I26" s="24">
        <f t="shared" si="2"/>
        <v>0.0411959998757726</v>
      </c>
      <c r="J26" s="24">
        <f t="shared" si="2"/>
        <v>0.0493556161531586</v>
      </c>
      <c r="K26" s="24">
        <f t="shared" si="2"/>
        <v>0.0320036121704032</v>
      </c>
      <c r="L26" s="24">
        <f t="shared" si="2"/>
        <v>0.0543971809166388</v>
      </c>
      <c r="M26" s="24">
        <f t="shared" si="2"/>
        <v>0.0585971273183654</v>
      </c>
      <c r="N26" s="24">
        <f t="shared" si="2"/>
        <v>0.0400438002375001</v>
      </c>
      <c r="O26" s="24">
        <f t="shared" si="2"/>
        <v>0.0376600947214738</v>
      </c>
      <c r="P26" s="24">
        <f t="shared" si="2"/>
        <v>0.0544737576772753</v>
      </c>
      <c r="Q26" s="24">
        <f t="shared" si="2"/>
        <v>0.0268598552906322</v>
      </c>
    </row>
    <row r="27" ht="15"/>
  </sheetData>
  <pageMargins left="0.75" right="0.75" top="1" bottom="1" header="0.5" footer="0.5"/>
  <pageSetup paperSize="9" orientation="portrait"/>
  <headerFooter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Q29"/>
  <sheetViews>
    <sheetView workbookViewId="0">
      <selection activeCell="E27" sqref="E27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43</v>
      </c>
      <c r="B2" s="9">
        <v>72.1235</v>
      </c>
      <c r="C2" s="9">
        <v>77.324</v>
      </c>
      <c r="D2" s="9">
        <v>77.209</v>
      </c>
      <c r="E2" s="9">
        <v>555.052380952381</v>
      </c>
      <c r="F2" s="9">
        <v>77.3305</v>
      </c>
      <c r="G2" s="9">
        <v>77.3305</v>
      </c>
      <c r="H2" s="9">
        <v>77.911052631579</v>
      </c>
      <c r="I2" s="9">
        <v>72.66025</v>
      </c>
      <c r="J2" s="9">
        <v>81.779</v>
      </c>
      <c r="K2" s="9">
        <v>82.604</v>
      </c>
      <c r="L2" s="9">
        <v>60.89475</v>
      </c>
      <c r="M2" s="9">
        <v>69.92</v>
      </c>
      <c r="N2" s="9">
        <v>74.5778947368421</v>
      </c>
      <c r="O2" s="9">
        <v>75.1778947368421</v>
      </c>
      <c r="P2" s="9">
        <v>69.9605263157895</v>
      </c>
      <c r="Q2" s="9">
        <v>73.222</v>
      </c>
    </row>
    <row r="3" spans="1:17">
      <c r="A3" s="5">
        <v>20240101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>
      <c r="A4" s="5">
        <v>20240102</v>
      </c>
      <c r="B4" s="6">
        <v>70.38</v>
      </c>
      <c r="C4" s="6">
        <v>75.89</v>
      </c>
      <c r="D4" s="6">
        <v>77.94</v>
      </c>
      <c r="E4" s="6">
        <v>553.3</v>
      </c>
      <c r="F4" s="6">
        <v>78.095</v>
      </c>
      <c r="G4" s="6">
        <v>78.095</v>
      </c>
      <c r="H4" s="6">
        <v>75.7</v>
      </c>
      <c r="I4" s="6">
        <v>72.12</v>
      </c>
      <c r="J4" s="6">
        <v>79.28</v>
      </c>
      <c r="K4" s="6">
        <v>82.88</v>
      </c>
      <c r="L4" s="6">
        <v>61.195</v>
      </c>
      <c r="M4" s="6">
        <v>68.64</v>
      </c>
      <c r="N4" s="6">
        <v>75.43</v>
      </c>
      <c r="O4" s="6">
        <v>76.03</v>
      </c>
      <c r="P4" s="6">
        <v>70.58</v>
      </c>
      <c r="Q4" s="6">
        <v>74.03</v>
      </c>
    </row>
    <row r="5" spans="1:17">
      <c r="A5" s="5">
        <v>20240103</v>
      </c>
      <c r="B5" s="6">
        <v>72.7</v>
      </c>
      <c r="C5" s="6">
        <v>78.25</v>
      </c>
      <c r="D5" s="6">
        <v>75.21</v>
      </c>
      <c r="E5" s="6">
        <v>548.5</v>
      </c>
      <c r="F5" s="6">
        <v>75.29</v>
      </c>
      <c r="G5" s="6">
        <v>75.29</v>
      </c>
      <c r="H5" s="6">
        <v>77.33</v>
      </c>
      <c r="I5" s="6">
        <v>69.445</v>
      </c>
      <c r="J5" s="6">
        <v>76.61</v>
      </c>
      <c r="K5" s="6">
        <v>80.31</v>
      </c>
      <c r="L5" s="6">
        <v>58.675</v>
      </c>
      <c r="M5" s="6">
        <v>70.51</v>
      </c>
      <c r="N5" s="6">
        <v>72.82</v>
      </c>
      <c r="O5" s="6">
        <v>73.42</v>
      </c>
      <c r="P5" s="6">
        <v>68.01</v>
      </c>
      <c r="Q5" s="6">
        <v>71.37</v>
      </c>
    </row>
    <row r="6" spans="1:17">
      <c r="A6" s="5">
        <v>20240104</v>
      </c>
      <c r="B6" s="6">
        <v>72.19</v>
      </c>
      <c r="C6" s="6">
        <v>77.59</v>
      </c>
      <c r="D6" s="6">
        <v>78.6</v>
      </c>
      <c r="E6" s="6">
        <v>552.3</v>
      </c>
      <c r="F6" s="6">
        <v>78.65</v>
      </c>
      <c r="G6" s="6">
        <v>78.65</v>
      </c>
      <c r="H6" s="6">
        <v>76.015</v>
      </c>
      <c r="I6" s="6">
        <v>72.445</v>
      </c>
      <c r="J6" s="6">
        <v>79.81</v>
      </c>
      <c r="K6" s="6">
        <v>83.51</v>
      </c>
      <c r="L6" s="6">
        <v>61.595</v>
      </c>
      <c r="M6" s="6">
        <v>69.18</v>
      </c>
      <c r="N6" s="6">
        <v>75.95</v>
      </c>
      <c r="O6" s="6">
        <v>76.55</v>
      </c>
      <c r="P6" s="6">
        <v>71.21</v>
      </c>
      <c r="Q6" s="6">
        <v>74.7</v>
      </c>
    </row>
    <row r="7" spans="1:17">
      <c r="A7" s="5">
        <v>20240105</v>
      </c>
      <c r="B7" s="6">
        <v>73.81</v>
      </c>
      <c r="C7" s="6">
        <v>78.76</v>
      </c>
      <c r="D7" s="6">
        <v>77.65</v>
      </c>
      <c r="E7" s="6">
        <v>553.1</v>
      </c>
      <c r="F7" s="6">
        <v>77.75</v>
      </c>
      <c r="G7" s="6">
        <v>77.75</v>
      </c>
      <c r="H7" s="6">
        <v>78.75</v>
      </c>
      <c r="I7" s="6">
        <v>71.35</v>
      </c>
      <c r="J7" s="6">
        <v>78.78</v>
      </c>
      <c r="K7" s="6">
        <v>82.43</v>
      </c>
      <c r="L7" s="6">
        <v>60.23</v>
      </c>
      <c r="M7" s="6">
        <v>71.49</v>
      </c>
      <c r="N7" s="6">
        <v>74.95</v>
      </c>
      <c r="O7" s="6">
        <v>75.55</v>
      </c>
      <c r="P7" s="6">
        <v>70.13</v>
      </c>
      <c r="Q7" s="6">
        <v>73.8</v>
      </c>
    </row>
    <row r="8" spans="1:17">
      <c r="A8" s="5">
        <v>20240108</v>
      </c>
      <c r="B8" s="6">
        <v>70.77</v>
      </c>
      <c r="C8" s="6">
        <v>76.12</v>
      </c>
      <c r="D8" s="6">
        <v>77.83</v>
      </c>
      <c r="E8" s="6">
        <v>557.6</v>
      </c>
      <c r="F8" s="6">
        <v>77.86</v>
      </c>
      <c r="G8" s="6">
        <v>77.86</v>
      </c>
      <c r="H8" s="6">
        <v>75.825</v>
      </c>
      <c r="I8" s="6">
        <v>71.57</v>
      </c>
      <c r="J8" s="6">
        <v>78.98</v>
      </c>
      <c r="K8" s="6">
        <v>82.58</v>
      </c>
      <c r="L8" s="6">
        <v>60.285</v>
      </c>
      <c r="M8" s="6">
        <v>68.29</v>
      </c>
      <c r="N8" s="6">
        <v>74.93</v>
      </c>
      <c r="O8" s="6">
        <v>75.53</v>
      </c>
      <c r="P8" s="6">
        <v>70.33</v>
      </c>
      <c r="Q8" s="6">
        <v>73.93</v>
      </c>
    </row>
    <row r="9" spans="1:17">
      <c r="A9" s="5">
        <v>20240109</v>
      </c>
      <c r="B9" s="6">
        <v>72.24</v>
      </c>
      <c r="C9" s="6">
        <v>77.59</v>
      </c>
      <c r="D9" s="6">
        <v>76.86</v>
      </c>
      <c r="E9" s="6">
        <v>538.6</v>
      </c>
      <c r="F9" s="6">
        <v>76.85</v>
      </c>
      <c r="G9" s="6">
        <v>76.85</v>
      </c>
      <c r="H9" s="6">
        <v>78.905</v>
      </c>
      <c r="I9" s="6">
        <v>70.515</v>
      </c>
      <c r="J9" s="6">
        <v>77.57</v>
      </c>
      <c r="K9" s="6">
        <v>81.17</v>
      </c>
      <c r="L9" s="6">
        <v>59.165</v>
      </c>
      <c r="M9" s="6">
        <v>70.07</v>
      </c>
      <c r="N9" s="6">
        <v>73.66</v>
      </c>
      <c r="O9" s="6">
        <v>74.26</v>
      </c>
      <c r="P9" s="6">
        <v>68.92</v>
      </c>
      <c r="Q9" s="6">
        <v>72.81</v>
      </c>
    </row>
    <row r="10" spans="1:17">
      <c r="A10" s="5">
        <v>20240110</v>
      </c>
      <c r="B10" s="6">
        <v>71.37</v>
      </c>
      <c r="C10" s="6">
        <v>76.8</v>
      </c>
      <c r="D10" s="6">
        <v>77.98</v>
      </c>
      <c r="E10" s="6">
        <v>552.2</v>
      </c>
      <c r="F10" s="6">
        <v>78</v>
      </c>
      <c r="G10" s="6">
        <v>78.07</v>
      </c>
      <c r="H10" s="6">
        <v>78.74</v>
      </c>
      <c r="I10" s="6">
        <v>71.8</v>
      </c>
      <c r="J10" s="6">
        <v>78.71</v>
      </c>
      <c r="K10" s="6">
        <v>82.21</v>
      </c>
      <c r="L10" s="6">
        <v>60.69</v>
      </c>
      <c r="M10" s="6">
        <v>69.55</v>
      </c>
      <c r="N10" s="6">
        <v>74.72</v>
      </c>
      <c r="O10" s="6">
        <v>75.32</v>
      </c>
      <c r="P10" s="6">
        <v>69.96</v>
      </c>
      <c r="Q10" s="6">
        <v>73.92</v>
      </c>
    </row>
    <row r="11" spans="1:17">
      <c r="A11" s="5">
        <v>20240111</v>
      </c>
      <c r="B11" s="6">
        <v>72.02</v>
      </c>
      <c r="C11" s="6">
        <v>77.41</v>
      </c>
      <c r="D11" s="6">
        <v>77.36</v>
      </c>
      <c r="E11" s="6">
        <v>560.2</v>
      </c>
      <c r="F11" s="6">
        <v>77.29</v>
      </c>
      <c r="G11" s="6">
        <v>77.31</v>
      </c>
      <c r="H11" s="6">
        <v>80.575</v>
      </c>
      <c r="I11" s="6">
        <v>70.995</v>
      </c>
      <c r="J11" s="6">
        <v>78</v>
      </c>
      <c r="K11" s="6">
        <v>81.5</v>
      </c>
      <c r="L11" s="6">
        <v>60.03</v>
      </c>
      <c r="M11" s="6">
        <v>71.08</v>
      </c>
      <c r="N11" s="6">
        <v>74.11</v>
      </c>
      <c r="O11" s="6">
        <v>74.66</v>
      </c>
      <c r="P11" s="6">
        <v>69.25</v>
      </c>
      <c r="Q11" s="6">
        <v>73.31</v>
      </c>
    </row>
    <row r="12" spans="1:17">
      <c r="A12" s="5">
        <v>20240112</v>
      </c>
      <c r="B12" s="6">
        <v>72.68</v>
      </c>
      <c r="C12" s="6">
        <v>78.29</v>
      </c>
      <c r="D12" s="6">
        <v>79.18</v>
      </c>
      <c r="E12" s="6">
        <v>565.2</v>
      </c>
      <c r="F12" s="6">
        <v>79.05</v>
      </c>
      <c r="G12" s="6">
        <v>79.08</v>
      </c>
      <c r="H12" s="6">
        <v>80.105</v>
      </c>
      <c r="I12" s="6">
        <v>72.58</v>
      </c>
      <c r="J12" s="6">
        <v>80.15</v>
      </c>
      <c r="K12" s="6">
        <v>83.5</v>
      </c>
      <c r="L12" s="6">
        <v>61.5</v>
      </c>
      <c r="M12" s="6">
        <v>70.9</v>
      </c>
      <c r="N12" s="6">
        <v>75.93</v>
      </c>
      <c r="O12" s="6">
        <v>76.43</v>
      </c>
      <c r="P12" s="6">
        <v>71.4</v>
      </c>
      <c r="Q12" s="6">
        <v>75.08</v>
      </c>
    </row>
    <row r="13" spans="1:17">
      <c r="A13" s="5">
        <v>20240115</v>
      </c>
      <c r="B13" s="6"/>
      <c r="C13" s="6">
        <v>78.15</v>
      </c>
      <c r="D13" s="6">
        <v>78.07</v>
      </c>
      <c r="E13" s="6">
        <v>565.1</v>
      </c>
      <c r="F13" s="6">
        <v>78</v>
      </c>
      <c r="G13" s="6">
        <v>78.05</v>
      </c>
      <c r="H13" s="6">
        <v>79.55</v>
      </c>
      <c r="I13" s="6">
        <v>71.92</v>
      </c>
      <c r="J13" s="6">
        <v>79.22</v>
      </c>
      <c r="K13" s="6">
        <v>82.57</v>
      </c>
      <c r="L13" s="6">
        <v>61.065</v>
      </c>
      <c r="M13" s="6">
        <v>70.2</v>
      </c>
      <c r="N13" s="6">
        <v>74.95</v>
      </c>
      <c r="O13" s="6">
        <v>75.45</v>
      </c>
      <c r="P13" s="6">
        <v>70.52</v>
      </c>
      <c r="Q13" s="6">
        <v>74.1</v>
      </c>
    </row>
    <row r="14" spans="1:17">
      <c r="A14" s="5">
        <v>20240116</v>
      </c>
      <c r="B14" s="6">
        <v>72.4</v>
      </c>
      <c r="C14" s="6">
        <v>78.29</v>
      </c>
      <c r="D14" s="6">
        <v>77.92</v>
      </c>
      <c r="E14" s="6">
        <v>552.4</v>
      </c>
      <c r="F14" s="6">
        <v>77.84</v>
      </c>
      <c r="G14" s="6">
        <v>77.84</v>
      </c>
      <c r="H14" s="6">
        <v>79.885</v>
      </c>
      <c r="I14" s="6">
        <v>71.64</v>
      </c>
      <c r="J14" s="6">
        <v>79.09</v>
      </c>
      <c r="K14" s="6">
        <v>82.44</v>
      </c>
      <c r="L14" s="6">
        <v>60.755</v>
      </c>
      <c r="M14" s="6">
        <v>70.58</v>
      </c>
      <c r="N14" s="6">
        <v>74.89</v>
      </c>
      <c r="O14" s="6">
        <v>75.34</v>
      </c>
      <c r="P14" s="6">
        <v>70.44</v>
      </c>
      <c r="Q14" s="6">
        <v>73.94</v>
      </c>
    </row>
    <row r="15" spans="1:17">
      <c r="A15" s="5">
        <v>20240117</v>
      </c>
      <c r="B15" s="6">
        <v>72.56</v>
      </c>
      <c r="C15" s="6">
        <v>77.88</v>
      </c>
      <c r="D15" s="6">
        <v>76.9</v>
      </c>
      <c r="E15" s="6">
        <v>555.7</v>
      </c>
      <c r="F15" s="6">
        <v>76.75</v>
      </c>
      <c r="G15" s="6">
        <v>76.83</v>
      </c>
      <c r="H15" s="6">
        <v>79.47</v>
      </c>
      <c r="I15" s="6">
        <v>70.955</v>
      </c>
      <c r="J15" s="6">
        <v>78.12</v>
      </c>
      <c r="K15" s="6">
        <v>81.52</v>
      </c>
      <c r="L15" s="6">
        <v>60.15</v>
      </c>
      <c r="M15" s="6">
        <v>69.85</v>
      </c>
      <c r="N15" s="6">
        <v>73.83</v>
      </c>
      <c r="O15" s="6">
        <v>74.28</v>
      </c>
      <c r="P15" s="6">
        <v>69.47</v>
      </c>
      <c r="Q15" s="6">
        <v>72.93</v>
      </c>
    </row>
    <row r="16" spans="1:17">
      <c r="A16" s="5">
        <v>20240118</v>
      </c>
      <c r="B16" s="6">
        <v>74.08</v>
      </c>
      <c r="C16" s="6">
        <v>79.1</v>
      </c>
      <c r="D16" s="6">
        <v>77.65</v>
      </c>
      <c r="E16" s="6">
        <v>549</v>
      </c>
      <c r="F16" s="6">
        <v>77.55</v>
      </c>
      <c r="G16" s="6">
        <v>77.78</v>
      </c>
      <c r="H16" s="6">
        <v>80.94</v>
      </c>
      <c r="I16" s="6">
        <v>72.215</v>
      </c>
      <c r="J16" s="6">
        <v>79.13</v>
      </c>
      <c r="K16" s="6">
        <v>82.53</v>
      </c>
      <c r="L16" s="6">
        <v>61.555</v>
      </c>
      <c r="M16" s="6">
        <v>71.04</v>
      </c>
      <c r="N16" s="6">
        <v>75.28</v>
      </c>
      <c r="O16" s="6">
        <v>75.53</v>
      </c>
      <c r="P16" s="6">
        <v>70.58</v>
      </c>
      <c r="Q16" s="6">
        <v>73.98</v>
      </c>
    </row>
    <row r="17" spans="1:17">
      <c r="A17" s="5">
        <v>20240119</v>
      </c>
      <c r="B17" s="6">
        <v>73.41</v>
      </c>
      <c r="C17" s="6">
        <v>78.56</v>
      </c>
      <c r="D17" s="6">
        <v>78.79</v>
      </c>
      <c r="E17" s="6">
        <v>560.2</v>
      </c>
      <c r="F17" s="6">
        <v>78.895</v>
      </c>
      <c r="G17" s="6">
        <v>78.93</v>
      </c>
      <c r="H17" s="6">
        <v>81.19</v>
      </c>
      <c r="I17" s="6">
        <v>74.035</v>
      </c>
      <c r="J17" s="6">
        <v>80.62</v>
      </c>
      <c r="K17" s="6">
        <v>83.77</v>
      </c>
      <c r="L17" s="6">
        <v>63.625</v>
      </c>
      <c r="M17" s="6">
        <v>71.47</v>
      </c>
      <c r="N17" s="6">
        <v>76.58</v>
      </c>
      <c r="O17" s="6">
        <v>76.83</v>
      </c>
      <c r="P17" s="6">
        <v>71.87</v>
      </c>
      <c r="Q17" s="6">
        <v>75.18</v>
      </c>
    </row>
    <row r="18" spans="1:17">
      <c r="A18" s="5">
        <v>20240122</v>
      </c>
      <c r="B18" s="6">
        <v>75.19</v>
      </c>
      <c r="C18" s="6">
        <v>80.06</v>
      </c>
      <c r="D18" s="6">
        <v>77.7</v>
      </c>
      <c r="E18" s="6">
        <v>563.3</v>
      </c>
      <c r="F18" s="6">
        <v>77.75</v>
      </c>
      <c r="G18" s="6">
        <v>77.75</v>
      </c>
      <c r="H18" s="6">
        <v>82.165</v>
      </c>
      <c r="I18" s="6">
        <v>73.215</v>
      </c>
      <c r="J18" s="6">
        <v>79.74</v>
      </c>
      <c r="K18" s="6">
        <v>82.59</v>
      </c>
      <c r="L18" s="6">
        <v>62.98</v>
      </c>
      <c r="M18" s="6">
        <v>72.43</v>
      </c>
      <c r="N18" s="6">
        <v>75.38</v>
      </c>
      <c r="O18" s="6">
        <v>75.63</v>
      </c>
      <c r="P18" s="6">
        <v>70.74</v>
      </c>
      <c r="Q18" s="6">
        <v>73.98</v>
      </c>
    </row>
    <row r="19" spans="1:17">
      <c r="A19" s="5">
        <v>20240123</v>
      </c>
      <c r="B19" s="6">
        <v>74.37</v>
      </c>
      <c r="C19" s="6">
        <v>79.55</v>
      </c>
      <c r="D19" s="6">
        <v>79.88</v>
      </c>
      <c r="E19" s="6">
        <v>567.9</v>
      </c>
      <c r="F19" s="6">
        <v>79.9</v>
      </c>
      <c r="G19" s="6">
        <v>79.9</v>
      </c>
      <c r="H19" s="6">
        <v>82.29</v>
      </c>
      <c r="I19" s="6">
        <v>75.14</v>
      </c>
      <c r="J19" s="6">
        <v>81.8</v>
      </c>
      <c r="K19" s="6">
        <v>84.65</v>
      </c>
      <c r="L19" s="6">
        <v>64.98</v>
      </c>
      <c r="M19" s="6">
        <v>72.65</v>
      </c>
      <c r="N19" s="6">
        <v>77.53</v>
      </c>
      <c r="O19" s="6">
        <v>77.78</v>
      </c>
      <c r="P19" s="6">
        <v>72.8</v>
      </c>
      <c r="Q19" s="6">
        <v>75.83</v>
      </c>
    </row>
    <row r="20" spans="1:17">
      <c r="A20" s="5">
        <v>20240124</v>
      </c>
      <c r="B20" s="6">
        <v>75.09</v>
      </c>
      <c r="C20" s="6">
        <v>80.04</v>
      </c>
      <c r="D20" s="6">
        <v>79.6</v>
      </c>
      <c r="E20" s="6">
        <v>567</v>
      </c>
      <c r="F20" s="6">
        <v>79.56</v>
      </c>
      <c r="G20" s="6">
        <v>79.66</v>
      </c>
      <c r="H20" s="6">
        <v>82.13</v>
      </c>
      <c r="I20" s="6">
        <v>74.74</v>
      </c>
      <c r="J20" s="6">
        <v>81.34</v>
      </c>
      <c r="K20" s="6">
        <v>84.19</v>
      </c>
      <c r="L20" s="6">
        <v>64.725</v>
      </c>
      <c r="M20" s="6">
        <v>73.38</v>
      </c>
      <c r="N20" s="6">
        <v>77.21</v>
      </c>
      <c r="O20" s="6">
        <v>77.46</v>
      </c>
      <c r="P20" s="6">
        <v>72.94</v>
      </c>
      <c r="Q20" s="6">
        <v>75.46</v>
      </c>
    </row>
    <row r="21" spans="1:17">
      <c r="A21" s="5">
        <v>20240125</v>
      </c>
      <c r="B21" s="6">
        <v>77.36</v>
      </c>
      <c r="C21" s="6">
        <v>82.43</v>
      </c>
      <c r="D21" s="6">
        <v>80.35</v>
      </c>
      <c r="E21" s="6">
        <v>571.8</v>
      </c>
      <c r="F21" s="6">
        <v>80.295</v>
      </c>
      <c r="G21" s="6">
        <v>80.32</v>
      </c>
      <c r="H21" s="6">
        <v>83.18</v>
      </c>
      <c r="I21" s="6">
        <v>75.51</v>
      </c>
      <c r="J21" s="6">
        <v>81.96</v>
      </c>
      <c r="K21" s="6">
        <v>84.86</v>
      </c>
      <c r="L21" s="6">
        <v>65.6</v>
      </c>
      <c r="M21" s="6">
        <v>74.37</v>
      </c>
      <c r="N21" s="6">
        <v>77.97</v>
      </c>
      <c r="O21" s="6">
        <v>78.22</v>
      </c>
      <c r="P21" s="6">
        <v>73.56</v>
      </c>
      <c r="Q21" s="6">
        <v>76.22</v>
      </c>
    </row>
    <row r="22" spans="1:17">
      <c r="A22" s="5">
        <v>20240126</v>
      </c>
      <c r="B22" s="6">
        <v>78.01</v>
      </c>
      <c r="C22" s="6">
        <v>83.55</v>
      </c>
      <c r="D22" s="6">
        <v>81.56</v>
      </c>
      <c r="E22" s="6">
        <v>582.8</v>
      </c>
      <c r="F22" s="6">
        <v>81.65</v>
      </c>
      <c r="G22" s="6">
        <v>81.65</v>
      </c>
      <c r="H22" s="6">
        <v>83.37</v>
      </c>
      <c r="I22" s="6">
        <v>76.675</v>
      </c>
      <c r="J22" s="6">
        <v>83.44</v>
      </c>
      <c r="K22" s="6">
        <v>86.64</v>
      </c>
      <c r="L22" s="6">
        <v>66.36</v>
      </c>
      <c r="M22" s="6">
        <v>74.88</v>
      </c>
      <c r="N22" s="6">
        <v>79.27</v>
      </c>
      <c r="O22" s="6">
        <v>79.52</v>
      </c>
      <c r="P22" s="6">
        <v>75.04</v>
      </c>
      <c r="Q22" s="6">
        <v>77.47</v>
      </c>
    </row>
    <row r="23" spans="1:17">
      <c r="A23" s="5">
        <v>20240129</v>
      </c>
      <c r="B23" s="6">
        <v>76.78</v>
      </c>
      <c r="C23" s="6">
        <v>82.4</v>
      </c>
      <c r="D23" s="6">
        <v>83.12</v>
      </c>
      <c r="E23" s="6">
        <v>591.1</v>
      </c>
      <c r="F23" s="6">
        <v>83.3</v>
      </c>
      <c r="G23" s="6">
        <v>83.3</v>
      </c>
      <c r="H23" s="6">
        <v>83.985</v>
      </c>
      <c r="I23" s="6">
        <v>77.835</v>
      </c>
      <c r="J23" s="6">
        <v>85.57</v>
      </c>
      <c r="K23" s="6">
        <v>88.22</v>
      </c>
      <c r="L23" s="6">
        <v>67.585</v>
      </c>
      <c r="M23" s="6">
        <v>75.73</v>
      </c>
      <c r="N23" s="6">
        <v>80.83</v>
      </c>
      <c r="O23" s="6">
        <v>81.08</v>
      </c>
      <c r="P23" s="6">
        <v>76.67</v>
      </c>
      <c r="Q23" s="6">
        <v>79.08</v>
      </c>
    </row>
    <row r="24" spans="1:17">
      <c r="A24" s="5">
        <v>20240130</v>
      </c>
      <c r="B24" s="6">
        <v>77.82</v>
      </c>
      <c r="C24" s="6">
        <v>82.87</v>
      </c>
      <c r="D24" s="6">
        <v>80.87</v>
      </c>
      <c r="E24" s="6">
        <v>589</v>
      </c>
      <c r="F24" s="6">
        <v>81.91</v>
      </c>
      <c r="G24" s="6">
        <v>81.91</v>
      </c>
      <c r="H24" s="6">
        <v>84.105</v>
      </c>
      <c r="I24" s="6">
        <v>76.33</v>
      </c>
      <c r="J24" s="6">
        <v>84.45</v>
      </c>
      <c r="K24" s="6">
        <v>86.7</v>
      </c>
      <c r="L24" s="6">
        <v>65.715</v>
      </c>
      <c r="M24" s="6">
        <v>76.01</v>
      </c>
      <c r="N24" s="6">
        <v>79.37</v>
      </c>
      <c r="O24" s="6">
        <v>79.62</v>
      </c>
      <c r="P24" s="6">
        <v>75.15</v>
      </c>
      <c r="Q24" s="6">
        <v>77.72</v>
      </c>
    </row>
    <row r="25" spans="1:17">
      <c r="A25" s="5">
        <v>20240131</v>
      </c>
      <c r="B25" s="6">
        <v>75.85</v>
      </c>
      <c r="C25" s="6">
        <v>81.71</v>
      </c>
      <c r="D25" s="6">
        <v>81.57</v>
      </c>
      <c r="E25" s="6">
        <v>583.1</v>
      </c>
      <c r="F25" s="6">
        <v>82.4</v>
      </c>
      <c r="G25" s="6">
        <v>82.4</v>
      </c>
      <c r="H25" s="6">
        <v>82.78</v>
      </c>
      <c r="I25" s="6">
        <v>76.92</v>
      </c>
      <c r="J25" s="6">
        <v>85.21</v>
      </c>
      <c r="K25" s="6">
        <v>87.46</v>
      </c>
      <c r="L25" s="6">
        <v>66.455</v>
      </c>
      <c r="M25" s="6">
        <v>75.32</v>
      </c>
      <c r="N25" s="6">
        <v>80.2</v>
      </c>
      <c r="O25" s="6">
        <v>80.45</v>
      </c>
      <c r="P25" s="6">
        <v>76.51</v>
      </c>
      <c r="Q25" s="6">
        <v>78.6</v>
      </c>
    </row>
    <row r="26" spans="1:17">
      <c r="A26" s="7" t="s">
        <v>17</v>
      </c>
      <c r="B26" s="8">
        <f>AVERAGE(B23:B25)</f>
        <v>76.8166666666667</v>
      </c>
      <c r="C26" s="8">
        <f t="shared" ref="C26:Q26" si="0">AVERAGE(C23:C25)</f>
        <v>82.3266666666667</v>
      </c>
      <c r="D26" s="8">
        <f t="shared" si="0"/>
        <v>81.8533333333333</v>
      </c>
      <c r="E26" s="8">
        <f t="shared" si="0"/>
        <v>587.733333333333</v>
      </c>
      <c r="F26" s="8">
        <f t="shared" si="0"/>
        <v>82.5366666666667</v>
      </c>
      <c r="G26" s="8">
        <f t="shared" si="0"/>
        <v>82.5366666666667</v>
      </c>
      <c r="H26" s="8">
        <f t="shared" si="0"/>
        <v>83.6233333333333</v>
      </c>
      <c r="I26" s="8">
        <f t="shared" si="0"/>
        <v>77.0283333333333</v>
      </c>
      <c r="J26" s="8">
        <f t="shared" si="0"/>
        <v>85.0766666666667</v>
      </c>
      <c r="K26" s="8">
        <f t="shared" si="0"/>
        <v>87.46</v>
      </c>
      <c r="L26" s="8">
        <f t="shared" si="0"/>
        <v>66.585</v>
      </c>
      <c r="M26" s="8">
        <f t="shared" si="0"/>
        <v>75.6866666666667</v>
      </c>
      <c r="N26" s="8">
        <f t="shared" si="0"/>
        <v>80.1333333333333</v>
      </c>
      <c r="O26" s="8">
        <f t="shared" si="0"/>
        <v>80.3833333333333</v>
      </c>
      <c r="P26" s="8">
        <f t="shared" si="0"/>
        <v>76.11</v>
      </c>
      <c r="Q26" s="8">
        <f t="shared" si="0"/>
        <v>78.4666666666667</v>
      </c>
    </row>
    <row r="27" ht="22.5" spans="1:17">
      <c r="A27" s="3" t="s">
        <v>36</v>
      </c>
      <c r="B27" s="9">
        <f>AVERAGE(B3:B25)</f>
        <v>73.8609523809524</v>
      </c>
      <c r="C27" s="9">
        <f t="shared" ref="C27:Q27" si="1">AVERAGE(C3:C25)</f>
        <v>79.1495454545454</v>
      </c>
      <c r="D27" s="9">
        <f t="shared" si="1"/>
        <v>78.7540909090909</v>
      </c>
      <c r="E27" s="9">
        <f t="shared" si="1"/>
        <v>562.7</v>
      </c>
      <c r="F27" s="9">
        <f t="shared" si="1"/>
        <v>78.8470454545455</v>
      </c>
      <c r="G27" s="9">
        <f t="shared" si="1"/>
        <v>78.8761363636364</v>
      </c>
      <c r="H27" s="9">
        <f t="shared" si="1"/>
        <v>80.3175</v>
      </c>
      <c r="I27" s="9">
        <f t="shared" si="1"/>
        <v>73.1795454545455</v>
      </c>
      <c r="J27" s="9">
        <f t="shared" si="1"/>
        <v>80.3445454545455</v>
      </c>
      <c r="K27" s="9">
        <f t="shared" si="1"/>
        <v>83.5559090909091</v>
      </c>
      <c r="L27" s="9">
        <f t="shared" si="1"/>
        <v>62.4961363636364</v>
      </c>
      <c r="M27" s="9">
        <f t="shared" si="1"/>
        <v>71.71</v>
      </c>
      <c r="N27" s="9">
        <f t="shared" si="1"/>
        <v>76.1722727272727</v>
      </c>
      <c r="O27" s="9">
        <f t="shared" si="1"/>
        <v>76.5881818181818</v>
      </c>
      <c r="P27" s="9">
        <f t="shared" si="1"/>
        <v>71.64</v>
      </c>
      <c r="Q27" s="9">
        <f t="shared" si="1"/>
        <v>74.8836363636364</v>
      </c>
    </row>
    <row r="28" ht="23.25" spans="1:17">
      <c r="A28" s="10" t="s">
        <v>19</v>
      </c>
      <c r="B28" s="24">
        <f t="shared" ref="B28:Q28" si="2">(B27-B2)/B2</f>
        <v>0.0240899620921387</v>
      </c>
      <c r="C28" s="24">
        <f t="shared" si="2"/>
        <v>0.023609040589538</v>
      </c>
      <c r="D28" s="24">
        <f t="shared" si="2"/>
        <v>0.0200117979651453</v>
      </c>
      <c r="E28" s="24">
        <f t="shared" si="2"/>
        <v>0.0137781933923008</v>
      </c>
      <c r="F28" s="24">
        <f t="shared" si="2"/>
        <v>0.0196112200819273</v>
      </c>
      <c r="G28" s="24">
        <f t="shared" si="2"/>
        <v>0.0199874094133155</v>
      </c>
      <c r="H28" s="24">
        <f t="shared" si="2"/>
        <v>0.0308871114834053</v>
      </c>
      <c r="I28" s="24">
        <f t="shared" si="2"/>
        <v>0.00714689881393845</v>
      </c>
      <c r="J28" s="23">
        <f t="shared" si="2"/>
        <v>-0.0175406222313126</v>
      </c>
      <c r="K28" s="24">
        <f t="shared" si="2"/>
        <v>0.0115237650829148</v>
      </c>
      <c r="L28" s="24">
        <f t="shared" si="2"/>
        <v>0.0262976096237585</v>
      </c>
      <c r="M28" s="24">
        <f t="shared" si="2"/>
        <v>0.0256006864988565</v>
      </c>
      <c r="N28" s="24">
        <f t="shared" si="2"/>
        <v>0.021378693995809</v>
      </c>
      <c r="O28" s="24">
        <f t="shared" si="2"/>
        <v>0.018759331932297</v>
      </c>
      <c r="P28" s="24">
        <f t="shared" si="2"/>
        <v>0.0240060184314462</v>
      </c>
      <c r="Q28" s="24">
        <f t="shared" si="2"/>
        <v>0.0226931299832886</v>
      </c>
    </row>
    <row r="29" ht="15"/>
  </sheetData>
  <pageMargins left="0.75" right="0.75" top="1" bottom="1" header="0.5" footer="0.5"/>
  <pageSetup paperSize="9" orientation="portrait"/>
  <headerFooter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Q27"/>
  <sheetViews>
    <sheetView workbookViewId="0">
      <selection activeCell="E23" sqref="E3:E23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25</v>
      </c>
      <c r="B2" s="9">
        <v>77.3766666666667</v>
      </c>
      <c r="C2" s="9">
        <v>82.03</v>
      </c>
      <c r="D2" s="9">
        <v>83.17</v>
      </c>
      <c r="E2" s="9">
        <v>602.181818181818</v>
      </c>
      <c r="F2" s="9">
        <v>83.5611904761905</v>
      </c>
      <c r="G2" s="9">
        <v>83.5680952380952</v>
      </c>
      <c r="H2" s="9">
        <v>83.1777272727273</v>
      </c>
      <c r="I2" s="9">
        <v>78.2840476190476</v>
      </c>
      <c r="J2" s="9">
        <v>86.81</v>
      </c>
      <c r="K2" s="9">
        <v>86.6102380952381</v>
      </c>
      <c r="L2" s="9">
        <v>68.1914285714286</v>
      </c>
      <c r="M2" s="9">
        <v>71.6466666666667</v>
      </c>
      <c r="N2" s="9">
        <v>79.6542857142857</v>
      </c>
      <c r="O2" s="9">
        <v>80.2542857142857</v>
      </c>
      <c r="P2" s="9">
        <v>71.6338095238095</v>
      </c>
      <c r="Q2" s="9">
        <v>78.3757142857143</v>
      </c>
    </row>
    <row r="3" spans="1:17">
      <c r="A3" s="5">
        <v>20231201</v>
      </c>
      <c r="B3" s="6">
        <v>74.07</v>
      </c>
      <c r="C3" s="6">
        <v>78.88</v>
      </c>
      <c r="D3" s="6">
        <v>81.24</v>
      </c>
      <c r="E3" s="6">
        <v>583.9</v>
      </c>
      <c r="F3" s="6">
        <v>81.3</v>
      </c>
      <c r="G3" s="6">
        <v>81.3</v>
      </c>
      <c r="H3" s="6">
        <v>81.1</v>
      </c>
      <c r="I3" s="6">
        <v>76.29</v>
      </c>
      <c r="J3" s="6">
        <v>85.01</v>
      </c>
      <c r="K3" s="6">
        <v>85.36</v>
      </c>
      <c r="L3" s="6">
        <v>64.435</v>
      </c>
      <c r="M3" s="6">
        <v>73.16</v>
      </c>
      <c r="N3" s="6">
        <v>77.66</v>
      </c>
      <c r="O3" s="6">
        <v>78.26</v>
      </c>
      <c r="P3" s="6">
        <v>72.26</v>
      </c>
      <c r="Q3" s="6">
        <v>77.06</v>
      </c>
    </row>
    <row r="4" spans="1:17">
      <c r="A4" s="5">
        <v>20231204</v>
      </c>
      <c r="B4" s="6">
        <v>73.04</v>
      </c>
      <c r="C4" s="6">
        <v>78.03</v>
      </c>
      <c r="D4" s="6">
        <v>77.96</v>
      </c>
      <c r="E4" s="6">
        <v>568.7</v>
      </c>
      <c r="F4" s="6">
        <v>78.04</v>
      </c>
      <c r="G4" s="6">
        <v>78.04</v>
      </c>
      <c r="H4" s="6">
        <v>78.25</v>
      </c>
      <c r="I4" s="6">
        <v>73.49</v>
      </c>
      <c r="J4" s="6">
        <v>82.78</v>
      </c>
      <c r="K4" s="6">
        <v>83.23</v>
      </c>
      <c r="L4" s="6">
        <v>61.525</v>
      </c>
      <c r="M4" s="6">
        <v>70.5</v>
      </c>
      <c r="N4" s="6">
        <v>74.76</v>
      </c>
      <c r="O4" s="6">
        <v>75.36</v>
      </c>
      <c r="P4" s="6">
        <v>70.23</v>
      </c>
      <c r="Q4" s="6">
        <v>73.81</v>
      </c>
    </row>
    <row r="5" spans="1:17">
      <c r="A5" s="5">
        <v>20231205</v>
      </c>
      <c r="B5" s="6">
        <v>72.32</v>
      </c>
      <c r="C5" s="6">
        <v>77.2</v>
      </c>
      <c r="D5" s="6">
        <v>78.5</v>
      </c>
      <c r="E5" s="6">
        <v>557.3</v>
      </c>
      <c r="F5" s="6">
        <v>78.54</v>
      </c>
      <c r="G5" s="6">
        <v>78.54</v>
      </c>
      <c r="H5" s="6">
        <v>78.125</v>
      </c>
      <c r="I5" s="6">
        <v>73.985</v>
      </c>
      <c r="J5" s="6">
        <v>83.28</v>
      </c>
      <c r="K5" s="6">
        <v>83.73</v>
      </c>
      <c r="L5" s="6">
        <v>61.985</v>
      </c>
      <c r="M5" s="6">
        <v>70.42</v>
      </c>
      <c r="N5" s="6">
        <v>75.31</v>
      </c>
      <c r="O5" s="6">
        <v>75.91</v>
      </c>
      <c r="P5" s="6">
        <v>70.73</v>
      </c>
      <c r="Q5" s="6">
        <v>74.31</v>
      </c>
    </row>
    <row r="6" spans="1:17">
      <c r="A6" s="5">
        <v>20231206</v>
      </c>
      <c r="B6" s="6">
        <v>69.38</v>
      </c>
      <c r="C6" s="6">
        <v>74.3</v>
      </c>
      <c r="D6" s="6">
        <v>77.62</v>
      </c>
      <c r="E6" s="6">
        <v>555.1</v>
      </c>
      <c r="F6" s="6">
        <v>77.54</v>
      </c>
      <c r="G6" s="6">
        <v>77.54</v>
      </c>
      <c r="H6" s="6">
        <v>74.66</v>
      </c>
      <c r="I6" s="6">
        <v>72.725</v>
      </c>
      <c r="J6" s="6">
        <v>82.08</v>
      </c>
      <c r="K6" s="6">
        <v>82.33</v>
      </c>
      <c r="L6" s="6">
        <v>60.755</v>
      </c>
      <c r="M6" s="6">
        <v>66.94</v>
      </c>
      <c r="N6" s="6">
        <v>74.23</v>
      </c>
      <c r="O6" s="6">
        <v>74.83</v>
      </c>
      <c r="P6" s="6">
        <v>69.53</v>
      </c>
      <c r="Q6" s="6">
        <v>73.33</v>
      </c>
    </row>
    <row r="7" spans="1:17">
      <c r="A7" s="5">
        <v>20231207</v>
      </c>
      <c r="B7" s="6">
        <v>69.34</v>
      </c>
      <c r="C7" s="6">
        <v>74.05</v>
      </c>
      <c r="D7" s="6">
        <v>74.85</v>
      </c>
      <c r="E7" s="6">
        <v>539.2</v>
      </c>
      <c r="F7" s="6">
        <v>75.01</v>
      </c>
      <c r="G7" s="6">
        <v>75.01</v>
      </c>
      <c r="H7" s="6">
        <v>74.295</v>
      </c>
      <c r="I7" s="6">
        <v>70.085</v>
      </c>
      <c r="J7" s="6">
        <v>79.61</v>
      </c>
      <c r="K7" s="6">
        <v>79.76</v>
      </c>
      <c r="L7" s="6">
        <v>58.095</v>
      </c>
      <c r="M7" s="6">
        <v>66.74</v>
      </c>
      <c r="N7" s="6">
        <v>71.77</v>
      </c>
      <c r="O7" s="6">
        <v>72.37</v>
      </c>
      <c r="P7" s="6">
        <v>67.11</v>
      </c>
      <c r="Q7" s="6">
        <v>70.87</v>
      </c>
    </row>
    <row r="8" spans="1:17">
      <c r="A8" s="5">
        <v>20231208</v>
      </c>
      <c r="B8" s="6">
        <v>71.23</v>
      </c>
      <c r="C8" s="6">
        <v>75.84</v>
      </c>
      <c r="D8" s="6">
        <v>75.85</v>
      </c>
      <c r="E8" s="6">
        <v>546</v>
      </c>
      <c r="F8" s="6">
        <v>76.08</v>
      </c>
      <c r="G8" s="6">
        <v>76.08</v>
      </c>
      <c r="H8" s="6">
        <v>75.81</v>
      </c>
      <c r="I8" s="6">
        <v>71.13</v>
      </c>
      <c r="J8" s="6">
        <v>80.45</v>
      </c>
      <c r="K8" s="6">
        <v>80.65</v>
      </c>
      <c r="L8" s="6">
        <v>59.28</v>
      </c>
      <c r="M8" s="6">
        <v>68.1</v>
      </c>
      <c r="N8" s="6">
        <v>72.83</v>
      </c>
      <c r="O8" s="6">
        <v>73.43</v>
      </c>
      <c r="P8" s="6">
        <v>67.9</v>
      </c>
      <c r="Q8" s="6">
        <v>71.93</v>
      </c>
    </row>
    <row r="9" spans="1:17">
      <c r="A9" s="5">
        <v>20231211</v>
      </c>
      <c r="B9" s="6">
        <v>71.32</v>
      </c>
      <c r="C9" s="6">
        <v>76.03</v>
      </c>
      <c r="D9" s="6">
        <v>76.64</v>
      </c>
      <c r="E9" s="6">
        <v>550.8</v>
      </c>
      <c r="F9" s="6">
        <v>76.64</v>
      </c>
      <c r="G9" s="6">
        <v>76.64</v>
      </c>
      <c r="H9" s="6">
        <v>75.945</v>
      </c>
      <c r="I9" s="6">
        <v>71.715</v>
      </c>
      <c r="J9" s="6">
        <v>81.02</v>
      </c>
      <c r="K9" s="6">
        <v>81.27</v>
      </c>
      <c r="L9" s="6">
        <v>59.785</v>
      </c>
      <c r="M9" s="6">
        <v>67.83</v>
      </c>
      <c r="N9" s="6">
        <v>73.37</v>
      </c>
      <c r="O9" s="6">
        <v>73.97</v>
      </c>
      <c r="P9" s="6">
        <v>68.42</v>
      </c>
      <c r="Q9" s="6">
        <v>72.52</v>
      </c>
    </row>
    <row r="10" spans="1:17">
      <c r="A10" s="5">
        <v>20231212</v>
      </c>
      <c r="B10" s="6">
        <v>68.61</v>
      </c>
      <c r="C10" s="6">
        <v>73.24</v>
      </c>
      <c r="D10" s="6">
        <v>76.1</v>
      </c>
      <c r="E10" s="6">
        <v>549.9</v>
      </c>
      <c r="F10" s="6">
        <v>76.24</v>
      </c>
      <c r="G10" s="6">
        <v>76.24</v>
      </c>
      <c r="H10" s="6">
        <v>73.555</v>
      </c>
      <c r="I10" s="6">
        <v>71.485</v>
      </c>
      <c r="J10" s="6">
        <v>81.09</v>
      </c>
      <c r="K10" s="6">
        <v>81.34</v>
      </c>
      <c r="L10" s="6">
        <v>59.49</v>
      </c>
      <c r="M10" s="6">
        <v>65.74</v>
      </c>
      <c r="N10" s="6">
        <v>73.2</v>
      </c>
      <c r="O10" s="6">
        <v>73.8</v>
      </c>
      <c r="P10" s="6">
        <v>68.49</v>
      </c>
      <c r="Q10" s="6">
        <v>72.1</v>
      </c>
    </row>
    <row r="11" spans="1:17">
      <c r="A11" s="5">
        <v>20231213</v>
      </c>
      <c r="B11" s="6">
        <v>69.47</v>
      </c>
      <c r="C11" s="6">
        <v>74.26</v>
      </c>
      <c r="D11" s="6">
        <v>71.42</v>
      </c>
      <c r="E11" s="6">
        <v>533.5</v>
      </c>
      <c r="F11" s="6">
        <v>71.64</v>
      </c>
      <c r="G11" s="6">
        <v>71.64</v>
      </c>
      <c r="H11" s="6">
        <v>74.09</v>
      </c>
      <c r="I11" s="6">
        <v>67.695</v>
      </c>
      <c r="J11" s="6">
        <v>77.76</v>
      </c>
      <c r="K11" s="6">
        <v>78.11</v>
      </c>
      <c r="L11" s="6">
        <v>55.97</v>
      </c>
      <c r="M11" s="6">
        <v>66.27</v>
      </c>
      <c r="N11" s="6">
        <v>69.23</v>
      </c>
      <c r="O11" s="6">
        <v>69.83</v>
      </c>
      <c r="P11" s="6">
        <v>65.21</v>
      </c>
      <c r="Q11" s="6">
        <v>67.53</v>
      </c>
    </row>
    <row r="12" spans="1:17">
      <c r="A12" s="5">
        <v>20231214</v>
      </c>
      <c r="B12" s="6">
        <v>71.58</v>
      </c>
      <c r="C12" s="6">
        <v>76.61</v>
      </c>
      <c r="D12" s="6">
        <v>74.23</v>
      </c>
      <c r="E12" s="6">
        <v>529</v>
      </c>
      <c r="F12" s="6">
        <v>74.4</v>
      </c>
      <c r="G12" s="6">
        <v>74.4</v>
      </c>
      <c r="H12" s="6">
        <v>77.275</v>
      </c>
      <c r="I12" s="6">
        <v>69.985</v>
      </c>
      <c r="J12" s="6">
        <v>79.7</v>
      </c>
      <c r="K12" s="6">
        <v>80.35</v>
      </c>
      <c r="L12" s="6">
        <v>57.92</v>
      </c>
      <c r="M12" s="6">
        <v>69.38</v>
      </c>
      <c r="N12" s="6">
        <v>72.18</v>
      </c>
      <c r="O12" s="6">
        <v>72.78</v>
      </c>
      <c r="P12" s="6">
        <v>67.65</v>
      </c>
      <c r="Q12" s="6">
        <v>70.38</v>
      </c>
    </row>
    <row r="13" spans="1:17">
      <c r="A13" s="5">
        <v>20231215</v>
      </c>
      <c r="B13" s="6">
        <v>71.43</v>
      </c>
      <c r="C13" s="6">
        <v>76.55</v>
      </c>
      <c r="D13" s="6">
        <v>76.04</v>
      </c>
      <c r="E13" s="6">
        <v>541.8</v>
      </c>
      <c r="F13" s="6">
        <v>76.15</v>
      </c>
      <c r="G13" s="6">
        <v>76.15</v>
      </c>
      <c r="H13" s="6">
        <v>77.085</v>
      </c>
      <c r="I13" s="6">
        <v>71.72</v>
      </c>
      <c r="J13" s="6">
        <v>81.38</v>
      </c>
      <c r="K13" s="6">
        <v>82.03</v>
      </c>
      <c r="L13" s="6">
        <v>59.82</v>
      </c>
      <c r="M13" s="6">
        <v>69.29</v>
      </c>
      <c r="N13" s="6">
        <v>74</v>
      </c>
      <c r="O13" s="6">
        <v>74.6</v>
      </c>
      <c r="P13" s="6">
        <v>69.58</v>
      </c>
      <c r="Q13" s="6">
        <v>72.1</v>
      </c>
    </row>
    <row r="14" spans="1:17">
      <c r="A14" s="5">
        <v>20231218</v>
      </c>
      <c r="B14" s="6">
        <v>72.47</v>
      </c>
      <c r="C14" s="6">
        <v>77.95</v>
      </c>
      <c r="D14" s="6">
        <v>75.96</v>
      </c>
      <c r="E14" s="6">
        <v>545.4</v>
      </c>
      <c r="F14" s="6">
        <v>76.15</v>
      </c>
      <c r="G14" s="6">
        <v>76.15</v>
      </c>
      <c r="H14" s="6">
        <v>79.18</v>
      </c>
      <c r="I14" s="6">
        <v>72.11</v>
      </c>
      <c r="J14" s="6">
        <v>81.48</v>
      </c>
      <c r="K14" s="6">
        <v>82.18</v>
      </c>
      <c r="L14" s="6">
        <v>60.505</v>
      </c>
      <c r="M14" s="6">
        <v>71.4</v>
      </c>
      <c r="N14" s="6">
        <v>73.92</v>
      </c>
      <c r="O14" s="6">
        <v>74.52</v>
      </c>
      <c r="P14" s="6">
        <v>69.88</v>
      </c>
      <c r="Q14" s="6">
        <v>72.12</v>
      </c>
    </row>
    <row r="15" spans="1:17">
      <c r="A15" s="5">
        <v>20231219</v>
      </c>
      <c r="B15" s="6">
        <v>73.44</v>
      </c>
      <c r="C15" s="6">
        <v>79.23</v>
      </c>
      <c r="D15" s="6">
        <v>76.77</v>
      </c>
      <c r="E15" s="6">
        <v>558.8</v>
      </c>
      <c r="F15" s="6">
        <v>76.84</v>
      </c>
      <c r="G15" s="6">
        <v>76.84</v>
      </c>
      <c r="H15" s="6">
        <v>80.165</v>
      </c>
      <c r="I15" s="6">
        <v>72.665</v>
      </c>
      <c r="J15" s="6">
        <v>82.05</v>
      </c>
      <c r="K15" s="6">
        <v>82.6</v>
      </c>
      <c r="L15" s="6">
        <v>60.93</v>
      </c>
      <c r="M15" s="6">
        <v>72.15</v>
      </c>
      <c r="N15" s="6">
        <v>74.48</v>
      </c>
      <c r="O15" s="6">
        <v>75.08</v>
      </c>
      <c r="P15" s="6">
        <v>70.3</v>
      </c>
      <c r="Q15" s="6">
        <v>72.78</v>
      </c>
    </row>
    <row r="16" spans="1:17">
      <c r="A16" s="5">
        <v>20231220</v>
      </c>
      <c r="B16" s="6">
        <v>74.22</v>
      </c>
      <c r="C16" s="6">
        <v>79.7</v>
      </c>
      <c r="D16" s="6">
        <v>78.98</v>
      </c>
      <c r="E16" s="6">
        <v>559.8</v>
      </c>
      <c r="F16" s="6">
        <v>79.05</v>
      </c>
      <c r="G16" s="6">
        <v>79.05</v>
      </c>
      <c r="H16" s="6">
        <v>81.87</v>
      </c>
      <c r="I16" s="6">
        <v>74.82</v>
      </c>
      <c r="J16" s="6">
        <v>84.33</v>
      </c>
      <c r="K16" s="6">
        <v>84.78</v>
      </c>
      <c r="L16" s="6">
        <v>62.955</v>
      </c>
      <c r="M16" s="6">
        <v>73.13</v>
      </c>
      <c r="N16" s="6">
        <v>76.86</v>
      </c>
      <c r="O16" s="6">
        <v>77.46</v>
      </c>
      <c r="P16" s="6">
        <v>72.58</v>
      </c>
      <c r="Q16" s="6">
        <v>75.16</v>
      </c>
    </row>
    <row r="17" spans="1:17">
      <c r="A17" s="5">
        <v>20231221</v>
      </c>
      <c r="B17" s="6">
        <v>73.89</v>
      </c>
      <c r="C17" s="6">
        <v>79.39</v>
      </c>
      <c r="D17" s="6">
        <v>78.75</v>
      </c>
      <c r="E17" s="6">
        <v>567.1</v>
      </c>
      <c r="F17" s="6">
        <v>78.85</v>
      </c>
      <c r="G17" s="6">
        <v>78.85</v>
      </c>
      <c r="H17" s="6">
        <v>80.58</v>
      </c>
      <c r="I17" s="6">
        <v>74.805</v>
      </c>
      <c r="J17" s="6">
        <v>84.09</v>
      </c>
      <c r="K17" s="6">
        <v>84.54</v>
      </c>
      <c r="L17" s="6">
        <v>62.99</v>
      </c>
      <c r="M17" s="6">
        <v>71.75</v>
      </c>
      <c r="N17" s="6">
        <v>76.8</v>
      </c>
      <c r="O17" s="6">
        <v>77.4</v>
      </c>
      <c r="P17" s="6">
        <v>72.34</v>
      </c>
      <c r="Q17" s="6">
        <v>75.2</v>
      </c>
    </row>
    <row r="18" spans="1:17">
      <c r="A18" s="5">
        <v>20231222</v>
      </c>
      <c r="B18" s="6">
        <v>73.56</v>
      </c>
      <c r="C18" s="6">
        <v>79.07</v>
      </c>
      <c r="D18" s="6">
        <v>79.15</v>
      </c>
      <c r="E18" s="6">
        <v>558.1</v>
      </c>
      <c r="F18" s="6">
        <v>79.1</v>
      </c>
      <c r="G18" s="6">
        <v>79.1</v>
      </c>
      <c r="H18" s="6">
        <v>80.775</v>
      </c>
      <c r="I18" s="6">
        <v>75.005</v>
      </c>
      <c r="J18" s="6">
        <v>83.86</v>
      </c>
      <c r="K18" s="6">
        <v>84.51</v>
      </c>
      <c r="L18" s="6">
        <v>63.255</v>
      </c>
      <c r="M18" s="6">
        <v>72.01</v>
      </c>
      <c r="N18" s="6">
        <v>77.14</v>
      </c>
      <c r="O18" s="6">
        <v>77.74</v>
      </c>
      <c r="P18" s="6">
        <v>72.11</v>
      </c>
      <c r="Q18" s="6">
        <v>75.49</v>
      </c>
    </row>
    <row r="19" spans="1:17">
      <c r="A19" s="5">
        <v>20231225</v>
      </c>
      <c r="B19" s="6"/>
      <c r="C19" s="6"/>
      <c r="D19" s="6"/>
      <c r="E19" s="6">
        <v>559.7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>
      <c r="A20" s="5">
        <v>20231226</v>
      </c>
      <c r="B20" s="6">
        <v>75.57</v>
      </c>
      <c r="C20" s="6">
        <v>81.07</v>
      </c>
      <c r="D20" s="6">
        <v>78.55</v>
      </c>
      <c r="E20" s="6">
        <v>559.4</v>
      </c>
      <c r="F20" s="6">
        <v>78.645</v>
      </c>
      <c r="G20" s="6">
        <v>78.645</v>
      </c>
      <c r="H20" s="6"/>
      <c r="I20" s="6">
        <v>73.5</v>
      </c>
      <c r="J20" s="6">
        <v>82.08</v>
      </c>
      <c r="K20" s="6">
        <v>83.43</v>
      </c>
      <c r="L20" s="6">
        <v>61.935</v>
      </c>
      <c r="M20" s="6"/>
      <c r="N20" s="6"/>
      <c r="O20" s="6"/>
      <c r="P20" s="6"/>
      <c r="Q20" s="6">
        <v>73.88</v>
      </c>
    </row>
    <row r="21" spans="1:17">
      <c r="A21" s="5">
        <v>20231227</v>
      </c>
      <c r="B21" s="6">
        <v>74.11</v>
      </c>
      <c r="C21" s="6">
        <v>79.65</v>
      </c>
      <c r="D21" s="6">
        <v>80.24</v>
      </c>
      <c r="E21" s="6">
        <v>572</v>
      </c>
      <c r="F21" s="6">
        <v>80.2</v>
      </c>
      <c r="G21" s="6">
        <v>80.2</v>
      </c>
      <c r="H21" s="6">
        <v>80.845</v>
      </c>
      <c r="I21" s="6">
        <v>75.225</v>
      </c>
      <c r="J21" s="6">
        <v>83.64</v>
      </c>
      <c r="K21" s="6">
        <v>85.69</v>
      </c>
      <c r="L21" s="6">
        <v>63.84</v>
      </c>
      <c r="M21" s="6">
        <v>72.57</v>
      </c>
      <c r="N21" s="6">
        <v>78</v>
      </c>
      <c r="O21" s="6">
        <v>78.6</v>
      </c>
      <c r="P21" s="6">
        <v>73.29</v>
      </c>
      <c r="Q21" s="6">
        <v>76.1</v>
      </c>
    </row>
    <row r="22" spans="1:17">
      <c r="A22" s="5">
        <v>20231228</v>
      </c>
      <c r="B22" s="6">
        <v>71.77</v>
      </c>
      <c r="C22" s="6">
        <v>78.39</v>
      </c>
      <c r="D22" s="6">
        <v>79</v>
      </c>
      <c r="E22" s="6">
        <v>568.1</v>
      </c>
      <c r="F22" s="6">
        <v>79.1</v>
      </c>
      <c r="G22" s="6">
        <v>79.1</v>
      </c>
      <c r="H22" s="6">
        <v>79.12</v>
      </c>
      <c r="I22" s="6">
        <v>73.55</v>
      </c>
      <c r="J22" s="6">
        <v>81.3</v>
      </c>
      <c r="K22" s="6">
        <v>84</v>
      </c>
      <c r="L22" s="6">
        <v>62.27</v>
      </c>
      <c r="M22" s="6">
        <v>71.26</v>
      </c>
      <c r="N22" s="6">
        <v>76.34</v>
      </c>
      <c r="O22" s="6">
        <v>76.94</v>
      </c>
      <c r="P22" s="6">
        <v>71.7</v>
      </c>
      <c r="Q22" s="6">
        <v>74.74</v>
      </c>
    </row>
    <row r="23" spans="1:17">
      <c r="A23" s="5">
        <v>20231229</v>
      </c>
      <c r="B23" s="6">
        <v>71.65</v>
      </c>
      <c r="C23" s="6">
        <v>77.04</v>
      </c>
      <c r="D23" s="6">
        <v>76.33</v>
      </c>
      <c r="E23" s="6">
        <v>552.5</v>
      </c>
      <c r="F23" s="6">
        <v>77.095</v>
      </c>
      <c r="G23" s="6">
        <v>77.095</v>
      </c>
      <c r="H23" s="6">
        <v>77.585</v>
      </c>
      <c r="I23" s="6">
        <v>71.22</v>
      </c>
      <c r="J23" s="6">
        <v>78.59</v>
      </c>
      <c r="K23" s="6">
        <v>82.19</v>
      </c>
      <c r="L23" s="6">
        <v>60.155</v>
      </c>
      <c r="M23" s="6">
        <v>69.84</v>
      </c>
      <c r="N23" s="6">
        <v>74.9</v>
      </c>
      <c r="O23" s="6">
        <v>75.5</v>
      </c>
      <c r="P23" s="6">
        <v>69.94</v>
      </c>
      <c r="Q23" s="6">
        <v>73.03</v>
      </c>
    </row>
    <row r="24" spans="1:17">
      <c r="A24" s="7" t="s">
        <v>17</v>
      </c>
      <c r="B24" s="8">
        <f>AVERAGE(B19:B23)</f>
        <v>73.275</v>
      </c>
      <c r="C24" s="8">
        <f t="shared" ref="C24:Q24" si="0">AVERAGE(C19:C23)</f>
        <v>79.0375</v>
      </c>
      <c r="D24" s="8">
        <f t="shared" si="0"/>
        <v>78.53</v>
      </c>
      <c r="E24" s="8">
        <f t="shared" si="0"/>
        <v>562.34</v>
      </c>
      <c r="F24" s="8">
        <f t="shared" si="0"/>
        <v>78.76</v>
      </c>
      <c r="G24" s="8">
        <f t="shared" si="0"/>
        <v>78.76</v>
      </c>
      <c r="H24" s="8">
        <f t="shared" si="0"/>
        <v>79.1833333333333</v>
      </c>
      <c r="I24" s="8">
        <f t="shared" si="0"/>
        <v>73.37375</v>
      </c>
      <c r="J24" s="8">
        <f t="shared" si="0"/>
        <v>81.4025</v>
      </c>
      <c r="K24" s="8">
        <f t="shared" si="0"/>
        <v>83.8275</v>
      </c>
      <c r="L24" s="8">
        <f t="shared" si="0"/>
        <v>62.05</v>
      </c>
      <c r="M24" s="8">
        <f t="shared" si="0"/>
        <v>71.2233333333333</v>
      </c>
      <c r="N24" s="8">
        <f t="shared" si="0"/>
        <v>76.4133333333333</v>
      </c>
      <c r="O24" s="8">
        <f t="shared" si="0"/>
        <v>77.0133333333333</v>
      </c>
      <c r="P24" s="8">
        <f t="shared" si="0"/>
        <v>71.6433333333333</v>
      </c>
      <c r="Q24" s="8">
        <f t="shared" si="0"/>
        <v>74.4375</v>
      </c>
    </row>
    <row r="25" ht="22.5" spans="1:17">
      <c r="A25" s="3" t="s">
        <v>43</v>
      </c>
      <c r="B25" s="9">
        <f>AVERAGE(B3:B23)</f>
        <v>72.1235</v>
      </c>
      <c r="C25" s="9">
        <f t="shared" ref="C25:Q25" si="1">AVERAGE(C3:C23)</f>
        <v>77.324</v>
      </c>
      <c r="D25" s="9">
        <f t="shared" si="1"/>
        <v>77.209</v>
      </c>
      <c r="E25" s="9">
        <f t="shared" si="1"/>
        <v>555.052380952381</v>
      </c>
      <c r="F25" s="9">
        <f t="shared" si="1"/>
        <v>77.3305</v>
      </c>
      <c r="G25" s="9">
        <f t="shared" si="1"/>
        <v>77.3305</v>
      </c>
      <c r="H25" s="9">
        <f t="shared" si="1"/>
        <v>77.911052631579</v>
      </c>
      <c r="I25" s="9">
        <f t="shared" si="1"/>
        <v>72.66025</v>
      </c>
      <c r="J25" s="9">
        <f t="shared" si="1"/>
        <v>81.779</v>
      </c>
      <c r="K25" s="9">
        <f t="shared" si="1"/>
        <v>82.604</v>
      </c>
      <c r="L25" s="9">
        <f t="shared" si="1"/>
        <v>60.89475</v>
      </c>
      <c r="M25" s="9">
        <f t="shared" si="1"/>
        <v>69.92</v>
      </c>
      <c r="N25" s="9">
        <f t="shared" si="1"/>
        <v>74.5778947368421</v>
      </c>
      <c r="O25" s="9">
        <f t="shared" si="1"/>
        <v>75.1778947368421</v>
      </c>
      <c r="P25" s="9">
        <f t="shared" si="1"/>
        <v>69.9605263157895</v>
      </c>
      <c r="Q25" s="9">
        <f t="shared" si="1"/>
        <v>73.222</v>
      </c>
    </row>
    <row r="26" ht="23.25" spans="1:17">
      <c r="A26" s="10" t="s">
        <v>19</v>
      </c>
      <c r="B26" s="23">
        <f t="shared" ref="B26:Q26" si="2">(B25-B2)/B2</f>
        <v>-0.0678908370309737</v>
      </c>
      <c r="C26" s="23">
        <f t="shared" si="2"/>
        <v>-0.0573692551505545</v>
      </c>
      <c r="D26" s="23">
        <f t="shared" si="2"/>
        <v>-0.0716724780569919</v>
      </c>
      <c r="E26" s="23">
        <f t="shared" si="2"/>
        <v>-0.0782644639981595</v>
      </c>
      <c r="F26" s="23">
        <f t="shared" si="2"/>
        <v>-0.0745644053260087</v>
      </c>
      <c r="G26" s="23">
        <f t="shared" si="2"/>
        <v>-0.0746408688665647</v>
      </c>
      <c r="H26" s="23">
        <f t="shared" si="2"/>
        <v>-0.0633183282813159</v>
      </c>
      <c r="I26" s="23">
        <f t="shared" si="2"/>
        <v>-0.0718383603057241</v>
      </c>
      <c r="J26" s="23">
        <f t="shared" si="2"/>
        <v>-0.0579541527473794</v>
      </c>
      <c r="K26" s="23">
        <f t="shared" si="2"/>
        <v>-0.0462559413684184</v>
      </c>
      <c r="L26" s="23">
        <f t="shared" si="2"/>
        <v>-0.107002870071647</v>
      </c>
      <c r="M26" s="23">
        <f t="shared" si="2"/>
        <v>-0.0240997487670981</v>
      </c>
      <c r="N26" s="23">
        <f t="shared" si="2"/>
        <v>-0.063730293127632</v>
      </c>
      <c r="O26" s="23">
        <f t="shared" si="2"/>
        <v>-0.063253830399988</v>
      </c>
      <c r="P26" s="23">
        <f t="shared" si="2"/>
        <v>-0.0233588471581127</v>
      </c>
      <c r="Q26" s="23">
        <f t="shared" si="2"/>
        <v>-0.0657565207881447</v>
      </c>
    </row>
    <row r="27" ht="15"/>
  </sheetData>
  <pageMargins left="0.75" right="0.75" top="1" bottom="1" header="0.5" footer="0.5"/>
  <pageSetup paperSize="9" orientation="portrait"/>
  <headerFooter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Q30"/>
  <sheetViews>
    <sheetView workbookViewId="0">
      <selection activeCell="E28" sqref="E28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27</v>
      </c>
      <c r="B2" s="9">
        <v>85.4668181818182</v>
      </c>
      <c r="C2" s="9">
        <v>88.7040909090909</v>
      </c>
      <c r="D2" s="9">
        <v>89.7877272727273</v>
      </c>
      <c r="E2" s="9">
        <v>669.523529411765</v>
      </c>
      <c r="F2" s="9">
        <v>89.7597727272727</v>
      </c>
      <c r="G2" s="9">
        <v>89.7777272727273</v>
      </c>
      <c r="H2" s="9">
        <v>91.0468181818182</v>
      </c>
      <c r="I2" s="9">
        <v>84.5172727272727</v>
      </c>
      <c r="J2" s="9">
        <v>93.15</v>
      </c>
      <c r="K2" s="9">
        <v>91.3954545454545</v>
      </c>
      <c r="L2" s="9">
        <v>71.9668181818182</v>
      </c>
      <c r="M2" s="9">
        <v>79.9968181818182</v>
      </c>
      <c r="N2" s="9">
        <v>85.1945454545454</v>
      </c>
      <c r="O2" s="9">
        <v>85.7945454545455</v>
      </c>
      <c r="P2" s="9">
        <v>80.2181818181818</v>
      </c>
      <c r="Q2" s="9">
        <v>83.4618181818182</v>
      </c>
    </row>
    <row r="3" spans="1:17">
      <c r="A3" s="5">
        <v>20231030</v>
      </c>
      <c r="B3" s="6">
        <v>82.31</v>
      </c>
      <c r="C3" s="6">
        <v>87.45</v>
      </c>
      <c r="D3" s="6">
        <v>89.68</v>
      </c>
      <c r="E3" s="6">
        <v>666.3</v>
      </c>
      <c r="F3" s="6">
        <v>89.86</v>
      </c>
      <c r="G3" s="6">
        <v>89.86</v>
      </c>
      <c r="H3" s="6">
        <v>89</v>
      </c>
      <c r="I3" s="6">
        <v>84.245</v>
      </c>
      <c r="J3" s="6">
        <v>93.1</v>
      </c>
      <c r="K3" s="6">
        <v>91.15</v>
      </c>
      <c r="L3" s="6">
        <v>71.565</v>
      </c>
      <c r="M3" s="6">
        <v>76.39</v>
      </c>
      <c r="N3" s="6">
        <v>85.42</v>
      </c>
      <c r="O3" s="6">
        <v>86.02</v>
      </c>
      <c r="P3" s="6">
        <v>77.7</v>
      </c>
      <c r="Q3" s="6">
        <v>83.52</v>
      </c>
    </row>
    <row r="4" spans="1:17">
      <c r="A4" s="5">
        <v>20231031</v>
      </c>
      <c r="B4" s="6">
        <v>81.02</v>
      </c>
      <c r="C4" s="6">
        <v>87.41</v>
      </c>
      <c r="D4" s="6">
        <v>88.52</v>
      </c>
      <c r="E4" s="6">
        <v>656.4</v>
      </c>
      <c r="F4" s="6">
        <v>88.06</v>
      </c>
      <c r="G4" s="6">
        <v>88.06</v>
      </c>
      <c r="H4" s="6">
        <v>88.675</v>
      </c>
      <c r="I4" s="6">
        <v>83.43</v>
      </c>
      <c r="J4" s="6">
        <v>92.16</v>
      </c>
      <c r="K4" s="6">
        <v>90.36</v>
      </c>
      <c r="L4" s="6">
        <v>70.915</v>
      </c>
      <c r="M4" s="6">
        <v>75.74</v>
      </c>
      <c r="N4" s="6">
        <v>84.49</v>
      </c>
      <c r="O4" s="6">
        <v>85.09</v>
      </c>
      <c r="P4" s="6">
        <v>76.36</v>
      </c>
      <c r="Q4" s="6">
        <v>82.49</v>
      </c>
    </row>
    <row r="5" spans="1:17">
      <c r="A5" s="5">
        <v>20231101</v>
      </c>
      <c r="B5" s="6">
        <v>80.44</v>
      </c>
      <c r="C5" s="6">
        <v>84.63</v>
      </c>
      <c r="D5" s="6">
        <v>86.26</v>
      </c>
      <c r="E5" s="6">
        <v>651.9</v>
      </c>
      <c r="F5" s="6">
        <v>86.26</v>
      </c>
      <c r="G5" s="6">
        <v>86.305</v>
      </c>
      <c r="H5" s="6">
        <v>88.615</v>
      </c>
      <c r="I5" s="6">
        <v>80.91</v>
      </c>
      <c r="J5" s="6">
        <v>89.73</v>
      </c>
      <c r="K5" s="6">
        <v>87.98</v>
      </c>
      <c r="L5" s="6">
        <v>87.98</v>
      </c>
      <c r="M5" s="6">
        <v>75.04</v>
      </c>
      <c r="N5" s="6">
        <v>82.17</v>
      </c>
      <c r="O5" s="6">
        <v>82.77</v>
      </c>
      <c r="P5" s="6">
        <v>73.53</v>
      </c>
      <c r="Q5" s="6">
        <v>80.67</v>
      </c>
    </row>
    <row r="6" spans="1:17">
      <c r="A6" s="5">
        <v>20231102</v>
      </c>
      <c r="B6" s="6">
        <v>82.46</v>
      </c>
      <c r="C6" s="6">
        <v>86.85</v>
      </c>
      <c r="D6" s="6">
        <v>86.87</v>
      </c>
      <c r="E6" s="6">
        <v>651.1</v>
      </c>
      <c r="F6" s="6">
        <v>86.945</v>
      </c>
      <c r="G6" s="6">
        <v>86.945</v>
      </c>
      <c r="H6" s="6">
        <v>88.525</v>
      </c>
      <c r="I6" s="6">
        <v>81.285</v>
      </c>
      <c r="J6" s="6">
        <v>90.28</v>
      </c>
      <c r="K6" s="6">
        <v>88.53</v>
      </c>
      <c r="L6" s="6">
        <v>68.545</v>
      </c>
      <c r="M6" s="6">
        <v>74.95</v>
      </c>
      <c r="N6" s="6">
        <v>82.91</v>
      </c>
      <c r="O6" s="6">
        <v>83.51</v>
      </c>
      <c r="P6" s="6">
        <v>73.98</v>
      </c>
      <c r="Q6" s="6">
        <v>81.21</v>
      </c>
    </row>
    <row r="7" spans="1:17">
      <c r="A7" s="5">
        <v>20231103</v>
      </c>
      <c r="B7" s="6">
        <v>80.51</v>
      </c>
      <c r="C7" s="6">
        <v>84.89</v>
      </c>
      <c r="D7" s="6">
        <v>88.22</v>
      </c>
      <c r="E7" s="6">
        <v>651.3</v>
      </c>
      <c r="F7" s="6">
        <v>88.245</v>
      </c>
      <c r="G7" s="6">
        <v>88.245</v>
      </c>
      <c r="H7" s="6">
        <v>88.015</v>
      </c>
      <c r="I7" s="6">
        <v>82.38</v>
      </c>
      <c r="J7" s="6">
        <v>91.44</v>
      </c>
      <c r="K7" s="6">
        <v>89.59</v>
      </c>
      <c r="L7" s="6">
        <v>69.53</v>
      </c>
      <c r="M7" s="6">
        <v>74.34</v>
      </c>
      <c r="N7" s="6">
        <v>84.03</v>
      </c>
      <c r="O7" s="6">
        <v>84.63</v>
      </c>
      <c r="P7" s="6">
        <v>75.04</v>
      </c>
      <c r="Q7" s="6">
        <v>82.38</v>
      </c>
    </row>
    <row r="8" spans="1:17">
      <c r="A8" s="5">
        <v>20231106</v>
      </c>
      <c r="B8" s="6">
        <v>80.82</v>
      </c>
      <c r="C8" s="6">
        <v>85.18</v>
      </c>
      <c r="D8" s="6">
        <v>86.78</v>
      </c>
      <c r="E8" s="6">
        <v>649.8</v>
      </c>
      <c r="F8" s="6">
        <v>86.9</v>
      </c>
      <c r="G8" s="6">
        <v>87</v>
      </c>
      <c r="H8" s="6">
        <v>88.095</v>
      </c>
      <c r="I8" s="6">
        <v>81.4</v>
      </c>
      <c r="J8" s="6">
        <v>90.35</v>
      </c>
      <c r="K8" s="6">
        <v>89.3</v>
      </c>
      <c r="L8" s="6">
        <v>68.815</v>
      </c>
      <c r="M8" s="6">
        <v>74.6</v>
      </c>
      <c r="N8" s="6">
        <v>82.9</v>
      </c>
      <c r="O8" s="6">
        <v>83.5</v>
      </c>
      <c r="P8" s="6">
        <v>73.95</v>
      </c>
      <c r="Q8" s="6">
        <v>81.25</v>
      </c>
    </row>
    <row r="9" spans="1:17">
      <c r="A9" s="5">
        <v>20231107</v>
      </c>
      <c r="B9" s="6">
        <v>77.37</v>
      </c>
      <c r="C9" s="6">
        <v>81.61</v>
      </c>
      <c r="D9" s="6">
        <v>85</v>
      </c>
      <c r="E9" s="6">
        <v>639</v>
      </c>
      <c r="F9" s="6">
        <v>85.045</v>
      </c>
      <c r="G9" s="6">
        <v>85.045</v>
      </c>
      <c r="H9" s="6">
        <v>84.71</v>
      </c>
      <c r="I9" s="6">
        <v>79.53</v>
      </c>
      <c r="J9" s="6">
        <v>88.46</v>
      </c>
      <c r="K9" s="6">
        <v>88.21</v>
      </c>
      <c r="L9" s="6">
        <v>67.01</v>
      </c>
      <c r="M9" s="6">
        <v>71.17</v>
      </c>
      <c r="N9" s="6">
        <v>80.95</v>
      </c>
      <c r="O9" s="6">
        <v>81.55</v>
      </c>
      <c r="P9" s="6">
        <v>72.01</v>
      </c>
      <c r="Q9" s="6">
        <v>79.35</v>
      </c>
    </row>
    <row r="10" spans="1:17">
      <c r="A10" s="5">
        <v>20231108</v>
      </c>
      <c r="B10" s="6">
        <v>75.33</v>
      </c>
      <c r="C10" s="6">
        <v>79.54</v>
      </c>
      <c r="D10" s="6">
        <v>82.81</v>
      </c>
      <c r="E10" s="6">
        <v>612.3</v>
      </c>
      <c r="F10" s="6">
        <v>82.75</v>
      </c>
      <c r="G10" s="6">
        <v>82.75</v>
      </c>
      <c r="H10" s="6">
        <v>82.31</v>
      </c>
      <c r="I10" s="6">
        <v>77.46</v>
      </c>
      <c r="J10" s="6">
        <v>86.23</v>
      </c>
      <c r="K10" s="6">
        <v>86.08</v>
      </c>
      <c r="L10" s="6">
        <v>65.3</v>
      </c>
      <c r="M10" s="6">
        <v>68.98</v>
      </c>
      <c r="N10" s="6">
        <v>78.89</v>
      </c>
      <c r="O10" s="6">
        <v>79.49</v>
      </c>
      <c r="P10" s="6">
        <v>69.83</v>
      </c>
      <c r="Q10" s="6">
        <v>77.39</v>
      </c>
    </row>
    <row r="11" spans="1:17">
      <c r="A11" s="5">
        <v>20231109</v>
      </c>
      <c r="B11" s="6">
        <v>75.74</v>
      </c>
      <c r="C11" s="6">
        <v>80.01</v>
      </c>
      <c r="D11" s="6">
        <v>81.3</v>
      </c>
      <c r="E11" s="6">
        <v>598</v>
      </c>
      <c r="F11" s="6">
        <v>81.3</v>
      </c>
      <c r="G11" s="6">
        <v>81.3</v>
      </c>
      <c r="H11" s="6">
        <v>82.7</v>
      </c>
      <c r="I11" s="6">
        <v>76.175</v>
      </c>
      <c r="J11" s="6">
        <v>84.69</v>
      </c>
      <c r="K11" s="6">
        <v>84.64</v>
      </c>
      <c r="L11" s="6">
        <v>64.44</v>
      </c>
      <c r="M11" s="6">
        <v>69.06</v>
      </c>
      <c r="N11" s="6">
        <v>77.47</v>
      </c>
      <c r="O11" s="6">
        <v>78.07</v>
      </c>
      <c r="P11" s="6">
        <v>68.44</v>
      </c>
      <c r="Q11" s="6">
        <v>75.92</v>
      </c>
    </row>
    <row r="12" spans="1:17">
      <c r="A12" s="5">
        <v>20231110</v>
      </c>
      <c r="B12" s="6">
        <v>77.17</v>
      </c>
      <c r="C12" s="6">
        <v>81.43</v>
      </c>
      <c r="D12" s="6">
        <v>81.4</v>
      </c>
      <c r="E12" s="6">
        <v>597.5</v>
      </c>
      <c r="F12" s="6">
        <v>81.61</v>
      </c>
      <c r="G12" s="6">
        <v>81.61</v>
      </c>
      <c r="H12" s="6">
        <v>83.58</v>
      </c>
      <c r="I12" s="6">
        <v>76.665</v>
      </c>
      <c r="J12" s="6">
        <v>84.91</v>
      </c>
      <c r="K12" s="6">
        <v>84.96</v>
      </c>
      <c r="L12" s="6">
        <v>65.4</v>
      </c>
      <c r="M12" s="6">
        <v>69.75</v>
      </c>
      <c r="N12" s="6">
        <v>77.82</v>
      </c>
      <c r="O12" s="6">
        <v>78.42</v>
      </c>
      <c r="P12" s="6">
        <v>68.81</v>
      </c>
      <c r="Q12" s="6">
        <v>76.72</v>
      </c>
    </row>
    <row r="13" spans="1:17">
      <c r="A13" s="5">
        <v>20231113</v>
      </c>
      <c r="B13" s="6">
        <v>78.26</v>
      </c>
      <c r="C13" s="6">
        <v>82.52</v>
      </c>
      <c r="D13" s="6">
        <v>81.4</v>
      </c>
      <c r="E13" s="6">
        <v>600.4</v>
      </c>
      <c r="F13" s="6"/>
      <c r="G13" s="6"/>
      <c r="H13" s="6">
        <v>84.465</v>
      </c>
      <c r="I13" s="6"/>
      <c r="J13" s="6"/>
      <c r="K13" s="6"/>
      <c r="L13" s="6"/>
      <c r="M13" s="6"/>
      <c r="N13" s="6"/>
      <c r="O13" s="6"/>
      <c r="P13" s="6"/>
      <c r="Q13" s="6"/>
    </row>
    <row r="14" spans="1:17">
      <c r="A14" s="5">
        <v>20231114</v>
      </c>
      <c r="B14" s="6">
        <v>78.26</v>
      </c>
      <c r="C14" s="6">
        <v>82.47</v>
      </c>
      <c r="D14" s="6">
        <v>83.35</v>
      </c>
      <c r="E14" s="6">
        <v>604.4</v>
      </c>
      <c r="F14" s="6">
        <v>83.355</v>
      </c>
      <c r="G14" s="6">
        <v>83.355</v>
      </c>
      <c r="H14" s="6">
        <v>85.185</v>
      </c>
      <c r="I14" s="6">
        <v>78.385</v>
      </c>
      <c r="J14" s="6">
        <v>86.96</v>
      </c>
      <c r="K14" s="6">
        <v>86.965</v>
      </c>
      <c r="L14" s="6">
        <v>66.81</v>
      </c>
      <c r="M14" s="6">
        <v>71.85</v>
      </c>
      <c r="N14" s="6">
        <v>79.55</v>
      </c>
      <c r="O14" s="6">
        <v>80.15</v>
      </c>
      <c r="P14" s="6">
        <v>70.86</v>
      </c>
      <c r="Q14" s="6">
        <v>78.75</v>
      </c>
    </row>
    <row r="15" spans="1:17">
      <c r="A15" s="5">
        <v>20231115</v>
      </c>
      <c r="B15" s="6">
        <v>76.66</v>
      </c>
      <c r="C15" s="6">
        <v>81.18</v>
      </c>
      <c r="D15" s="6">
        <v>83.27</v>
      </c>
      <c r="E15" s="6">
        <v>604.6</v>
      </c>
      <c r="F15" s="6">
        <v>83.24</v>
      </c>
      <c r="G15" s="6">
        <v>83.24</v>
      </c>
      <c r="H15" s="6">
        <v>82.61</v>
      </c>
      <c r="I15" s="6">
        <v>78.5</v>
      </c>
      <c r="J15" s="6">
        <v>86.94</v>
      </c>
      <c r="K15" s="6">
        <v>87.09</v>
      </c>
      <c r="L15" s="6">
        <v>66.84</v>
      </c>
      <c r="M15" s="6">
        <v>70.22</v>
      </c>
      <c r="N15" s="6">
        <v>79.4</v>
      </c>
      <c r="O15" s="6">
        <v>80</v>
      </c>
      <c r="P15" s="6">
        <v>71.04</v>
      </c>
      <c r="Q15" s="6">
        <v>78.9</v>
      </c>
    </row>
    <row r="16" s="25" customFormat="1" spans="1:17">
      <c r="A16" s="5">
        <v>20231116</v>
      </c>
      <c r="B16" s="6">
        <v>72.9</v>
      </c>
      <c r="C16" s="6">
        <v>77.42</v>
      </c>
      <c r="D16" s="6">
        <v>81.63</v>
      </c>
      <c r="E16" s="6">
        <v>592.2</v>
      </c>
      <c r="F16" s="6">
        <v>81.68</v>
      </c>
      <c r="G16" s="6">
        <v>81.68</v>
      </c>
      <c r="H16" s="6">
        <v>78.145</v>
      </c>
      <c r="I16" s="6">
        <v>76.83</v>
      </c>
      <c r="J16" s="6">
        <v>85.3</v>
      </c>
      <c r="K16" s="6">
        <v>85.45</v>
      </c>
      <c r="L16" s="6">
        <v>64.845</v>
      </c>
      <c r="M16" s="6">
        <v>66.92</v>
      </c>
      <c r="N16" s="6">
        <v>77.86</v>
      </c>
      <c r="O16" s="6">
        <v>78.46</v>
      </c>
      <c r="P16" s="6">
        <v>69.5</v>
      </c>
      <c r="Q16" s="6">
        <v>77.26</v>
      </c>
    </row>
    <row r="17" spans="1:17">
      <c r="A17" s="5">
        <v>20231117</v>
      </c>
      <c r="B17" s="6">
        <v>75.89</v>
      </c>
      <c r="C17" s="6">
        <v>80.61</v>
      </c>
      <c r="D17" s="6">
        <v>79.18</v>
      </c>
      <c r="E17" s="6">
        <v>572.3</v>
      </c>
      <c r="F17" s="6">
        <v>79.26</v>
      </c>
      <c r="G17" s="6">
        <v>79.26</v>
      </c>
      <c r="H17" s="6">
        <v>80.08</v>
      </c>
      <c r="I17" s="6">
        <v>74.725</v>
      </c>
      <c r="J17" s="6">
        <v>82.37</v>
      </c>
      <c r="K17" s="6">
        <v>82.82</v>
      </c>
      <c r="L17" s="6">
        <v>63.18</v>
      </c>
      <c r="M17" s="6">
        <v>69.13</v>
      </c>
      <c r="N17" s="6">
        <v>75.45</v>
      </c>
      <c r="O17" s="6">
        <v>76.05</v>
      </c>
      <c r="P17" s="6">
        <v>67.17</v>
      </c>
      <c r="Q17" s="6">
        <v>74.6</v>
      </c>
    </row>
    <row r="18" spans="1:17">
      <c r="A18" s="5">
        <v>20231120</v>
      </c>
      <c r="B18" s="6">
        <v>77.6</v>
      </c>
      <c r="C18" s="6">
        <v>82.32</v>
      </c>
      <c r="D18" s="6">
        <v>82.67</v>
      </c>
      <c r="E18" s="6">
        <v>578.4</v>
      </c>
      <c r="F18" s="6">
        <v>82.8</v>
      </c>
      <c r="G18" s="6">
        <v>82.8</v>
      </c>
      <c r="H18" s="6">
        <v>83.33</v>
      </c>
      <c r="I18" s="6">
        <v>78.065</v>
      </c>
      <c r="J18" s="6">
        <v>85.66</v>
      </c>
      <c r="K18" s="6">
        <v>86.31</v>
      </c>
      <c r="L18" s="6">
        <v>66.53</v>
      </c>
      <c r="M18" s="6">
        <v>72.65</v>
      </c>
      <c r="N18" s="6">
        <v>78.85</v>
      </c>
      <c r="O18" s="6">
        <v>79.45</v>
      </c>
      <c r="P18" s="6">
        <v>71.06</v>
      </c>
      <c r="Q18" s="6">
        <v>77.8</v>
      </c>
    </row>
    <row r="19" spans="1:17">
      <c r="A19" s="5">
        <v>20231121</v>
      </c>
      <c r="B19" s="6">
        <v>77.77</v>
      </c>
      <c r="C19" s="6">
        <v>82.45</v>
      </c>
      <c r="D19" s="6">
        <v>83.43</v>
      </c>
      <c r="E19" s="6">
        <v>592.3</v>
      </c>
      <c r="F19" s="6">
        <v>83.4</v>
      </c>
      <c r="G19" s="6">
        <v>83.4</v>
      </c>
      <c r="H19" s="6">
        <v>82.2</v>
      </c>
      <c r="I19" s="6">
        <v>78.58</v>
      </c>
      <c r="J19" s="6">
        <v>86.61</v>
      </c>
      <c r="K19" s="6">
        <v>87.06</v>
      </c>
      <c r="L19" s="6">
        <v>66.78</v>
      </c>
      <c r="M19" s="6">
        <v>71.87</v>
      </c>
      <c r="N19" s="6">
        <v>79.55</v>
      </c>
      <c r="O19" s="6">
        <v>80.15</v>
      </c>
      <c r="P19" s="6">
        <v>71.91</v>
      </c>
      <c r="Q19" s="6">
        <v>78.4</v>
      </c>
    </row>
    <row r="20" spans="1:17">
      <c r="A20" s="5">
        <v>20231122</v>
      </c>
      <c r="B20" s="6">
        <v>77.1</v>
      </c>
      <c r="C20" s="6">
        <v>81.96</v>
      </c>
      <c r="D20" s="6">
        <v>84.1</v>
      </c>
      <c r="E20" s="6">
        <v>589.7</v>
      </c>
      <c r="F20" s="6">
        <v>84.2</v>
      </c>
      <c r="G20" s="6">
        <v>84.2</v>
      </c>
      <c r="H20" s="6">
        <v>79.48</v>
      </c>
      <c r="I20" s="6">
        <v>78.865</v>
      </c>
      <c r="J20" s="6">
        <v>87.33</v>
      </c>
      <c r="K20" s="6">
        <v>87.58</v>
      </c>
      <c r="L20" s="6">
        <v>87.58</v>
      </c>
      <c r="M20" s="6">
        <v>69.41</v>
      </c>
      <c r="N20" s="6">
        <v>80.35</v>
      </c>
      <c r="O20" s="6">
        <v>80.95</v>
      </c>
      <c r="P20" s="6">
        <v>72.53</v>
      </c>
      <c r="Q20" s="6">
        <v>79</v>
      </c>
    </row>
    <row r="21" spans="1:17">
      <c r="A21" s="5">
        <v>20231123</v>
      </c>
      <c r="B21" s="6"/>
      <c r="C21" s="6">
        <v>81.42</v>
      </c>
      <c r="D21" s="6">
        <v>82.67</v>
      </c>
      <c r="E21" s="6">
        <v>571.9</v>
      </c>
      <c r="F21" s="6">
        <v>82.7</v>
      </c>
      <c r="G21" s="6">
        <v>82.7</v>
      </c>
      <c r="H21" s="6">
        <v>80.95</v>
      </c>
      <c r="I21" s="6">
        <v>77.215</v>
      </c>
      <c r="J21" s="6">
        <v>85.6</v>
      </c>
      <c r="K21" s="6">
        <v>85.85</v>
      </c>
      <c r="L21" s="6">
        <v>65.325</v>
      </c>
      <c r="M21" s="6">
        <v>71.83</v>
      </c>
      <c r="N21" s="6">
        <v>78.85</v>
      </c>
      <c r="O21" s="6">
        <v>79.45</v>
      </c>
      <c r="P21" s="6">
        <v>71.8</v>
      </c>
      <c r="Q21" s="6">
        <v>77.35</v>
      </c>
    </row>
    <row r="22" spans="1:17">
      <c r="A22" s="5">
        <v>20231124</v>
      </c>
      <c r="B22" s="6">
        <v>75.54</v>
      </c>
      <c r="C22" s="6">
        <v>80.58</v>
      </c>
      <c r="D22" s="6">
        <v>82.79</v>
      </c>
      <c r="E22" s="6">
        <v>578.3</v>
      </c>
      <c r="F22" s="6">
        <v>83.06</v>
      </c>
      <c r="G22" s="6">
        <v>83.06</v>
      </c>
      <c r="H22" s="6">
        <v>81.91</v>
      </c>
      <c r="I22" s="6">
        <v>77.64</v>
      </c>
      <c r="J22" s="6">
        <v>86.05</v>
      </c>
      <c r="K22" s="6">
        <v>86.2</v>
      </c>
      <c r="L22" s="6">
        <v>65.78</v>
      </c>
      <c r="M22" s="6">
        <v>72.85</v>
      </c>
      <c r="N22" s="6">
        <v>79.21</v>
      </c>
      <c r="O22" s="6">
        <v>79.81</v>
      </c>
      <c r="P22" s="6">
        <v>72.15</v>
      </c>
      <c r="Q22" s="6">
        <v>77.86</v>
      </c>
    </row>
    <row r="23" spans="1:17">
      <c r="A23" s="5">
        <v>20231127</v>
      </c>
      <c r="B23" s="6">
        <v>74.86</v>
      </c>
      <c r="C23" s="6">
        <v>79.98</v>
      </c>
      <c r="D23" s="6">
        <v>81.34</v>
      </c>
      <c r="E23" s="6">
        <v>579.5</v>
      </c>
      <c r="F23" s="6">
        <v>81.5</v>
      </c>
      <c r="G23" s="6">
        <v>81.5</v>
      </c>
      <c r="H23" s="6">
        <v>80.135</v>
      </c>
      <c r="I23" s="6">
        <v>75.885</v>
      </c>
      <c r="J23" s="6">
        <v>84.55</v>
      </c>
      <c r="K23" s="6">
        <v>84.6</v>
      </c>
      <c r="L23" s="6">
        <v>63.905</v>
      </c>
      <c r="M23" s="6">
        <v>71.28</v>
      </c>
      <c r="N23" s="6">
        <v>77.69</v>
      </c>
      <c r="O23" s="6">
        <v>78.29</v>
      </c>
      <c r="P23" s="6">
        <v>70.85</v>
      </c>
      <c r="Q23" s="6">
        <v>76.24</v>
      </c>
    </row>
    <row r="24" spans="1:17">
      <c r="A24" s="5">
        <v>20231128</v>
      </c>
      <c r="B24" s="6">
        <v>76.41</v>
      </c>
      <c r="C24" s="6">
        <v>81.68</v>
      </c>
      <c r="D24" s="6">
        <v>81.36</v>
      </c>
      <c r="E24" s="6">
        <v>572.7</v>
      </c>
      <c r="F24" s="6">
        <v>82.145</v>
      </c>
      <c r="G24" s="6">
        <v>82.145</v>
      </c>
      <c r="H24" s="6">
        <v>81.99</v>
      </c>
      <c r="I24" s="6">
        <v>76.36</v>
      </c>
      <c r="J24" s="6">
        <v>84.88</v>
      </c>
      <c r="K24" s="6">
        <v>85.03</v>
      </c>
      <c r="L24" s="6">
        <v>64.51</v>
      </c>
      <c r="M24" s="6">
        <v>73.05</v>
      </c>
      <c r="N24" s="6">
        <v>78.27</v>
      </c>
      <c r="O24" s="6">
        <v>78.87</v>
      </c>
      <c r="P24" s="6">
        <v>71.38</v>
      </c>
      <c r="Q24" s="6">
        <v>76.72</v>
      </c>
    </row>
    <row r="25" spans="1:17">
      <c r="A25" s="5">
        <v>20231129</v>
      </c>
      <c r="B25" s="6">
        <v>77.86</v>
      </c>
      <c r="C25" s="6">
        <v>83.1</v>
      </c>
      <c r="D25" s="6">
        <v>80.76</v>
      </c>
      <c r="E25" s="6">
        <v>577.4</v>
      </c>
      <c r="F25" s="6">
        <v>83</v>
      </c>
      <c r="G25" s="6">
        <v>83</v>
      </c>
      <c r="H25" s="6">
        <v>82.28</v>
      </c>
      <c r="I25" s="6">
        <v>77.35</v>
      </c>
      <c r="J25" s="6">
        <v>86.4</v>
      </c>
      <c r="K25" s="6">
        <v>86.25</v>
      </c>
      <c r="L25" s="6">
        <v>65.075</v>
      </c>
      <c r="M25" s="6">
        <v>73.67</v>
      </c>
      <c r="N25" s="6">
        <v>79.21</v>
      </c>
      <c r="O25" s="6">
        <v>79.81</v>
      </c>
      <c r="P25" s="6">
        <v>73.25</v>
      </c>
      <c r="Q25" s="6">
        <v>77.76</v>
      </c>
    </row>
    <row r="26" spans="1:17">
      <c r="A26" s="5">
        <v>20231130</v>
      </c>
      <c r="B26" s="6">
        <v>75.96</v>
      </c>
      <c r="C26" s="6">
        <v>82.83</v>
      </c>
      <c r="D26" s="6">
        <v>83.15</v>
      </c>
      <c r="E26" s="6">
        <v>583</v>
      </c>
      <c r="F26" s="6">
        <v>85.39</v>
      </c>
      <c r="G26" s="6">
        <v>85.39</v>
      </c>
      <c r="H26" s="6">
        <v>80.6</v>
      </c>
      <c r="I26" s="6">
        <v>79.76</v>
      </c>
      <c r="J26" s="6">
        <v>88.27</v>
      </c>
      <c r="K26" s="6">
        <v>88.32</v>
      </c>
      <c r="L26" s="6">
        <v>67.84</v>
      </c>
      <c r="M26" s="6">
        <v>71.96</v>
      </c>
      <c r="N26" s="6">
        <v>81.36</v>
      </c>
      <c r="O26" s="6">
        <v>81.96</v>
      </c>
      <c r="P26" s="6">
        <v>75.22</v>
      </c>
      <c r="Q26" s="6">
        <v>80.36</v>
      </c>
    </row>
    <row r="27" spans="1:17">
      <c r="A27" s="7" t="s">
        <v>17</v>
      </c>
      <c r="B27" s="8">
        <f>AVERAGE(B23:B26)</f>
        <v>76.2725</v>
      </c>
      <c r="C27" s="8">
        <f t="shared" ref="C27:Q27" si="0">AVERAGE(C23:C26)</f>
        <v>81.8975</v>
      </c>
      <c r="D27" s="8">
        <f t="shared" si="0"/>
        <v>81.6525</v>
      </c>
      <c r="E27" s="8">
        <f t="shared" si="0"/>
        <v>578.15</v>
      </c>
      <c r="F27" s="8">
        <f t="shared" si="0"/>
        <v>83.00875</v>
      </c>
      <c r="G27" s="8">
        <f t="shared" si="0"/>
        <v>83.00875</v>
      </c>
      <c r="H27" s="8">
        <f t="shared" si="0"/>
        <v>81.25125</v>
      </c>
      <c r="I27" s="8">
        <f t="shared" si="0"/>
        <v>77.33875</v>
      </c>
      <c r="J27" s="8">
        <f t="shared" si="0"/>
        <v>86.025</v>
      </c>
      <c r="K27" s="8">
        <f t="shared" si="0"/>
        <v>86.05</v>
      </c>
      <c r="L27" s="8">
        <f t="shared" si="0"/>
        <v>65.3325</v>
      </c>
      <c r="M27" s="8">
        <f t="shared" si="0"/>
        <v>72.49</v>
      </c>
      <c r="N27" s="8">
        <f t="shared" si="0"/>
        <v>79.1325</v>
      </c>
      <c r="O27" s="8">
        <f t="shared" si="0"/>
        <v>79.7325</v>
      </c>
      <c r="P27" s="8">
        <f t="shared" si="0"/>
        <v>72.675</v>
      </c>
      <c r="Q27" s="8">
        <f t="shared" si="0"/>
        <v>77.77</v>
      </c>
    </row>
    <row r="28" ht="22.5" spans="1:17">
      <c r="A28" s="3" t="s">
        <v>25</v>
      </c>
      <c r="B28" s="9">
        <f>AVERAGE(B5:B26)</f>
        <v>77.3766666666667</v>
      </c>
      <c r="C28" s="9">
        <f t="shared" ref="C28:Q28" si="1">AVERAGE(C5:C26)</f>
        <v>82.03</v>
      </c>
      <c r="D28" s="9">
        <f t="shared" si="1"/>
        <v>83.17</v>
      </c>
      <c r="E28" s="9">
        <f t="shared" si="1"/>
        <v>602.181818181818</v>
      </c>
      <c r="F28" s="9">
        <f t="shared" si="1"/>
        <v>83.5611904761905</v>
      </c>
      <c r="G28" s="9">
        <f t="shared" si="1"/>
        <v>83.5680952380952</v>
      </c>
      <c r="H28" s="9">
        <f t="shared" si="1"/>
        <v>83.1777272727273</v>
      </c>
      <c r="I28" s="9">
        <f t="shared" si="1"/>
        <v>78.2840476190476</v>
      </c>
      <c r="J28" s="9">
        <f t="shared" si="1"/>
        <v>86.81</v>
      </c>
      <c r="K28" s="9">
        <f t="shared" si="1"/>
        <v>86.6102380952381</v>
      </c>
      <c r="L28" s="9">
        <f t="shared" si="1"/>
        <v>68.1914285714286</v>
      </c>
      <c r="M28" s="9">
        <f t="shared" si="1"/>
        <v>71.6466666666667</v>
      </c>
      <c r="N28" s="9">
        <f t="shared" si="1"/>
        <v>79.6542857142857</v>
      </c>
      <c r="O28" s="9">
        <f t="shared" si="1"/>
        <v>80.2542857142857</v>
      </c>
      <c r="P28" s="9">
        <f t="shared" si="1"/>
        <v>71.6338095238095</v>
      </c>
      <c r="Q28" s="9">
        <f t="shared" si="1"/>
        <v>78.3757142857143</v>
      </c>
    </row>
    <row r="29" ht="23.25" spans="1:17">
      <c r="A29" s="10" t="s">
        <v>19</v>
      </c>
      <c r="B29" s="23">
        <f t="shared" ref="B29:Q29" si="2">(B28-B2)/B2</f>
        <v>-0.0946583912594114</v>
      </c>
      <c r="C29" s="23">
        <f t="shared" si="2"/>
        <v>-0.0752399448626437</v>
      </c>
      <c r="D29" s="23">
        <f t="shared" si="2"/>
        <v>-0.0737041405739798</v>
      </c>
      <c r="E29" s="23">
        <f t="shared" si="2"/>
        <v>-0.100581545340329</v>
      </c>
      <c r="F29" s="23">
        <f t="shared" si="2"/>
        <v>-0.0690574637473303</v>
      </c>
      <c r="G29" s="23">
        <f t="shared" si="2"/>
        <v>-0.0691667323652376</v>
      </c>
      <c r="H29" s="23">
        <f t="shared" si="2"/>
        <v>-0.0864290599741392</v>
      </c>
      <c r="I29" s="23">
        <f t="shared" si="2"/>
        <v>-0.0737509021184227</v>
      </c>
      <c r="J29" s="23">
        <f t="shared" si="2"/>
        <v>-0.0680622651637146</v>
      </c>
      <c r="K29" s="23">
        <f t="shared" si="2"/>
        <v>-0.0523572695602337</v>
      </c>
      <c r="L29" s="23">
        <f t="shared" si="2"/>
        <v>-0.0524601435185229</v>
      </c>
      <c r="M29" s="23">
        <f t="shared" si="2"/>
        <v>-0.104381045458247</v>
      </c>
      <c r="N29" s="23">
        <f t="shared" si="2"/>
        <v>-0.065030686069165</v>
      </c>
      <c r="O29" s="23">
        <f t="shared" si="2"/>
        <v>-0.0645758971145201</v>
      </c>
      <c r="P29" s="23">
        <f t="shared" si="2"/>
        <v>-0.107012800587144</v>
      </c>
      <c r="Q29" s="23">
        <f t="shared" si="2"/>
        <v>-0.0609392894487878</v>
      </c>
    </row>
    <row r="30" ht="15"/>
  </sheetData>
  <pageMargins left="0.75" right="0.75" top="1" bottom="1" header="0.5" footer="0.5"/>
  <pageSetup paperSize="9" orientation="portrait" horizontalDpi="600" verticalDpi="600"/>
  <headerFooter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1:Q28"/>
  <sheetViews>
    <sheetView workbookViewId="0">
      <selection activeCell="E24" sqref="E3:E24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44</v>
      </c>
      <c r="B2" s="9">
        <v>89.4305</v>
      </c>
      <c r="C2" s="9">
        <v>92.5871428571429</v>
      </c>
      <c r="D2" s="9">
        <v>92.7714285714286</v>
      </c>
      <c r="E2" s="9">
        <v>694.015</v>
      </c>
      <c r="F2" s="9">
        <v>93.31025</v>
      </c>
      <c r="G2" s="9">
        <v>93.32325</v>
      </c>
      <c r="H2" s="9">
        <v>94.0016666666667</v>
      </c>
      <c r="I2" s="9">
        <v>88.3145</v>
      </c>
      <c r="J2" s="9">
        <v>97.5445</v>
      </c>
      <c r="K2" s="9">
        <v>97.107</v>
      </c>
      <c r="L2" s="9">
        <v>77.24775</v>
      </c>
      <c r="M2" s="9">
        <v>84.804</v>
      </c>
      <c r="N2" s="9">
        <v>88.2205</v>
      </c>
      <c r="O2" s="9">
        <v>88.8205</v>
      </c>
      <c r="P2" s="9">
        <v>84.142</v>
      </c>
      <c r="Q2" s="9">
        <v>86.673</v>
      </c>
    </row>
    <row r="3" spans="1:17">
      <c r="A3" s="5">
        <v>20231002</v>
      </c>
      <c r="B3" s="6">
        <v>88.82</v>
      </c>
      <c r="C3" s="6">
        <v>90.71</v>
      </c>
      <c r="D3" s="6">
        <v>93</v>
      </c>
      <c r="E3" s="6"/>
      <c r="F3" s="6">
        <v>93.11</v>
      </c>
      <c r="G3" s="6">
        <v>93.11</v>
      </c>
      <c r="H3" s="6">
        <v>94.555</v>
      </c>
      <c r="I3" s="6">
        <v>88.485</v>
      </c>
      <c r="J3" s="6">
        <v>97.51</v>
      </c>
      <c r="K3" s="6">
        <v>95.36</v>
      </c>
      <c r="L3" s="6">
        <v>76.585</v>
      </c>
      <c r="M3" s="6">
        <v>84.63</v>
      </c>
      <c r="N3" s="6">
        <v>87.48</v>
      </c>
      <c r="O3" s="6">
        <v>88.08</v>
      </c>
      <c r="P3" s="6">
        <v>84.86</v>
      </c>
      <c r="Q3" s="6">
        <v>86.88</v>
      </c>
    </row>
    <row r="4" spans="1:17">
      <c r="A4" s="5">
        <v>20231003</v>
      </c>
      <c r="B4" s="6">
        <v>89.23</v>
      </c>
      <c r="C4" s="6">
        <v>90.92</v>
      </c>
      <c r="D4" s="6">
        <v>91.01</v>
      </c>
      <c r="E4" s="6"/>
      <c r="F4" s="6">
        <v>91.1</v>
      </c>
      <c r="G4" s="6">
        <v>91.1</v>
      </c>
      <c r="H4" s="6">
        <v>94.68</v>
      </c>
      <c r="I4" s="6">
        <v>86.67</v>
      </c>
      <c r="J4" s="6">
        <v>95.72</v>
      </c>
      <c r="K4" s="6">
        <v>92.97</v>
      </c>
      <c r="L4" s="6">
        <v>75.07</v>
      </c>
      <c r="M4" s="6">
        <v>85.03</v>
      </c>
      <c r="N4" s="6">
        <v>85.76</v>
      </c>
      <c r="O4" s="6">
        <v>86.36</v>
      </c>
      <c r="P4" s="6">
        <v>83.17</v>
      </c>
      <c r="Q4" s="6">
        <v>85.16</v>
      </c>
    </row>
    <row r="5" spans="1:17">
      <c r="A5" s="5">
        <v>20231004</v>
      </c>
      <c r="B5" s="6">
        <v>84.22</v>
      </c>
      <c r="C5" s="6">
        <v>85.81</v>
      </c>
      <c r="D5" s="6">
        <v>90.68</v>
      </c>
      <c r="E5" s="6"/>
      <c r="F5" s="6">
        <v>90.67</v>
      </c>
      <c r="G5" s="6">
        <v>90.67</v>
      </c>
      <c r="H5" s="6">
        <v>91.675</v>
      </c>
      <c r="I5" s="6">
        <v>86.495</v>
      </c>
      <c r="J5" s="6">
        <v>95.22</v>
      </c>
      <c r="K5" s="6">
        <v>92.47</v>
      </c>
      <c r="L5" s="6">
        <v>75.16</v>
      </c>
      <c r="M5" s="6">
        <v>81.89</v>
      </c>
      <c r="N5" s="6">
        <v>85.38</v>
      </c>
      <c r="O5" s="6">
        <v>85.98</v>
      </c>
      <c r="P5" s="6">
        <v>82.72</v>
      </c>
      <c r="Q5" s="6">
        <v>84.68</v>
      </c>
    </row>
    <row r="6" spans="1:17">
      <c r="A6" s="5">
        <v>20231005</v>
      </c>
      <c r="B6" s="6">
        <v>82.31</v>
      </c>
      <c r="C6" s="6">
        <v>84.07</v>
      </c>
      <c r="D6" s="6">
        <v>86.25</v>
      </c>
      <c r="E6" s="6"/>
      <c r="F6" s="6">
        <v>86.3</v>
      </c>
      <c r="G6" s="6">
        <v>86.3</v>
      </c>
      <c r="H6" s="6">
        <v>88.48</v>
      </c>
      <c r="I6" s="6">
        <v>82.14</v>
      </c>
      <c r="J6" s="6">
        <v>91.03</v>
      </c>
      <c r="K6" s="6">
        <v>88.28</v>
      </c>
      <c r="L6" s="6">
        <v>71.06</v>
      </c>
      <c r="M6" s="6">
        <v>78.71</v>
      </c>
      <c r="N6" s="6">
        <v>81.25</v>
      </c>
      <c r="O6" s="6">
        <v>81.85</v>
      </c>
      <c r="P6" s="6">
        <v>78.63</v>
      </c>
      <c r="Q6" s="6">
        <v>80.55</v>
      </c>
    </row>
    <row r="7" spans="1:17">
      <c r="A7" s="5">
        <v>20231006</v>
      </c>
      <c r="B7" s="6">
        <v>82.79</v>
      </c>
      <c r="C7" s="6">
        <v>84.58</v>
      </c>
      <c r="D7" s="6">
        <v>84.75</v>
      </c>
      <c r="E7" s="6"/>
      <c r="F7" s="6">
        <v>84.84</v>
      </c>
      <c r="G7" s="6">
        <v>84.84</v>
      </c>
      <c r="H7" s="6">
        <v>88.2</v>
      </c>
      <c r="I7" s="6">
        <v>80.755</v>
      </c>
      <c r="J7" s="6">
        <v>89.53</v>
      </c>
      <c r="K7" s="6">
        <v>86.78</v>
      </c>
      <c r="L7" s="6">
        <v>70.02</v>
      </c>
      <c r="M7" s="6">
        <v>78.3</v>
      </c>
      <c r="N7" s="6">
        <v>79.91</v>
      </c>
      <c r="O7" s="6">
        <v>80.51</v>
      </c>
      <c r="P7" s="6">
        <v>77.03</v>
      </c>
      <c r="Q7" s="6">
        <v>79.11</v>
      </c>
    </row>
    <row r="8" spans="1:17">
      <c r="A8" s="5">
        <v>20231009</v>
      </c>
      <c r="B8" s="6">
        <v>86.38</v>
      </c>
      <c r="C8" s="6">
        <v>88.15</v>
      </c>
      <c r="D8" s="6">
        <v>87.1</v>
      </c>
      <c r="E8" s="6">
        <v>666.6</v>
      </c>
      <c r="F8" s="6">
        <v>87.055</v>
      </c>
      <c r="G8" s="6">
        <v>87.06</v>
      </c>
      <c r="H8" s="6">
        <v>91.335</v>
      </c>
      <c r="I8" s="6">
        <v>82.625</v>
      </c>
      <c r="J8" s="6">
        <v>91.3</v>
      </c>
      <c r="K8" s="6">
        <v>88.75</v>
      </c>
      <c r="L8" s="6">
        <v>71.525</v>
      </c>
      <c r="M8" s="6">
        <v>79.89</v>
      </c>
      <c r="N8" s="6">
        <v>82.19</v>
      </c>
      <c r="O8" s="6">
        <v>82.79</v>
      </c>
      <c r="P8" s="6">
        <v>78.9</v>
      </c>
      <c r="Q8" s="6">
        <v>81.34</v>
      </c>
    </row>
    <row r="9" spans="1:17">
      <c r="A9" s="5">
        <v>20231010</v>
      </c>
      <c r="B9" s="6">
        <v>85.97</v>
      </c>
      <c r="C9" s="6">
        <v>87.65</v>
      </c>
      <c r="D9" s="6">
        <v>88.5</v>
      </c>
      <c r="E9" s="6">
        <v>660.5</v>
      </c>
      <c r="F9" s="6">
        <v>88.495</v>
      </c>
      <c r="G9" s="6">
        <v>88.5</v>
      </c>
      <c r="H9" s="6">
        <v>90.71</v>
      </c>
      <c r="I9" s="6">
        <v>83.83</v>
      </c>
      <c r="J9" s="6">
        <v>92.31</v>
      </c>
      <c r="K9" s="6">
        <v>90.01</v>
      </c>
      <c r="L9" s="6">
        <v>72.42</v>
      </c>
      <c r="M9" s="6">
        <v>79.47</v>
      </c>
      <c r="N9" s="6">
        <v>83.43</v>
      </c>
      <c r="O9" s="6">
        <v>84.03</v>
      </c>
      <c r="P9" s="6">
        <v>80.11</v>
      </c>
      <c r="Q9" s="6">
        <v>82.68</v>
      </c>
    </row>
    <row r="10" spans="1:17">
      <c r="A10" s="5">
        <v>20231011</v>
      </c>
      <c r="B10" s="6">
        <v>83.49</v>
      </c>
      <c r="C10" s="6">
        <v>85.82</v>
      </c>
      <c r="D10" s="6">
        <v>88.18</v>
      </c>
      <c r="E10" s="6">
        <v>656.4</v>
      </c>
      <c r="F10" s="6">
        <v>88.21</v>
      </c>
      <c r="G10" s="6">
        <v>88.21</v>
      </c>
      <c r="H10" s="6">
        <v>88.04</v>
      </c>
      <c r="I10" s="6">
        <v>83.385</v>
      </c>
      <c r="J10" s="6">
        <v>91.88</v>
      </c>
      <c r="K10" s="6">
        <v>89.88</v>
      </c>
      <c r="L10" s="6">
        <v>71.545</v>
      </c>
      <c r="M10" s="6">
        <v>77.83</v>
      </c>
      <c r="N10" s="6">
        <v>83.39</v>
      </c>
      <c r="O10" s="6">
        <v>83.99</v>
      </c>
      <c r="P10" s="6">
        <v>79.88</v>
      </c>
      <c r="Q10" s="6">
        <v>82.44</v>
      </c>
    </row>
    <row r="11" spans="1:17">
      <c r="A11" s="5">
        <v>20231012</v>
      </c>
      <c r="B11" s="6">
        <v>82.91</v>
      </c>
      <c r="C11" s="6">
        <v>86</v>
      </c>
      <c r="D11" s="6">
        <v>87.16</v>
      </c>
      <c r="E11" s="6">
        <v>651.5</v>
      </c>
      <c r="F11" s="6">
        <v>87.28</v>
      </c>
      <c r="G11" s="6">
        <v>87.28</v>
      </c>
      <c r="H11" s="6">
        <v>89.37</v>
      </c>
      <c r="I11" s="6">
        <v>82.47</v>
      </c>
      <c r="J11" s="6">
        <v>90.5</v>
      </c>
      <c r="K11" s="6">
        <v>88.85</v>
      </c>
      <c r="L11" s="6">
        <v>70.525</v>
      </c>
      <c r="M11" s="6">
        <v>78.68</v>
      </c>
      <c r="N11" s="6">
        <v>82.55</v>
      </c>
      <c r="O11" s="6">
        <v>83.15</v>
      </c>
      <c r="P11" s="6">
        <v>78.7</v>
      </c>
      <c r="Q11" s="6">
        <v>81.5</v>
      </c>
    </row>
    <row r="12" spans="1:17">
      <c r="A12" s="5">
        <v>20231013</v>
      </c>
      <c r="B12" s="6">
        <v>87.69</v>
      </c>
      <c r="C12" s="6">
        <v>90.89</v>
      </c>
      <c r="D12" s="6">
        <v>88.89</v>
      </c>
      <c r="E12" s="6">
        <v>653.1</v>
      </c>
      <c r="F12" s="6">
        <v>88.91</v>
      </c>
      <c r="G12" s="6">
        <v>88.91</v>
      </c>
      <c r="H12" s="6">
        <v>92.735</v>
      </c>
      <c r="I12" s="6">
        <v>83.465</v>
      </c>
      <c r="J12" s="6">
        <v>91.8</v>
      </c>
      <c r="K12" s="6">
        <v>90.25</v>
      </c>
      <c r="L12" s="6">
        <v>70.555</v>
      </c>
      <c r="M12" s="6">
        <v>81.29</v>
      </c>
      <c r="N12" s="6">
        <v>84.1</v>
      </c>
      <c r="O12" s="6">
        <v>84.7</v>
      </c>
      <c r="P12" s="6">
        <v>80</v>
      </c>
      <c r="Q12" s="6">
        <v>83.15</v>
      </c>
    </row>
    <row r="13" spans="1:17">
      <c r="A13" s="5">
        <v>20231016</v>
      </c>
      <c r="B13" s="6">
        <v>86.66</v>
      </c>
      <c r="C13" s="6">
        <v>89.65</v>
      </c>
      <c r="D13" s="6">
        <v>91.16</v>
      </c>
      <c r="E13" s="6">
        <v>675</v>
      </c>
      <c r="F13" s="6">
        <v>91.14</v>
      </c>
      <c r="G13" s="6">
        <v>91.14</v>
      </c>
      <c r="H13" s="6">
        <v>93.05</v>
      </c>
      <c r="I13" s="6">
        <v>85.25</v>
      </c>
      <c r="J13" s="6">
        <v>93.34</v>
      </c>
      <c r="K13" s="6">
        <v>92.29</v>
      </c>
      <c r="L13" s="6">
        <v>71.91</v>
      </c>
      <c r="M13" s="6">
        <v>81.92</v>
      </c>
      <c r="N13" s="6">
        <v>86.23</v>
      </c>
      <c r="O13" s="6">
        <v>86.83</v>
      </c>
      <c r="P13" s="6">
        <v>81.94</v>
      </c>
      <c r="Q13" s="6">
        <v>85.38</v>
      </c>
    </row>
    <row r="14" spans="1:17">
      <c r="A14" s="5">
        <v>20231017</v>
      </c>
      <c r="B14" s="6">
        <v>86.66</v>
      </c>
      <c r="C14" s="6">
        <v>89.9</v>
      </c>
      <c r="D14" s="6">
        <v>90.73</v>
      </c>
      <c r="E14" s="6">
        <v>675.3</v>
      </c>
      <c r="F14" s="6">
        <v>90.79</v>
      </c>
      <c r="G14" s="6">
        <v>90.79</v>
      </c>
      <c r="H14" s="6">
        <v>91.76</v>
      </c>
      <c r="I14" s="6">
        <v>84.26</v>
      </c>
      <c r="J14" s="6">
        <v>92.56</v>
      </c>
      <c r="K14" s="6">
        <v>91.76</v>
      </c>
      <c r="L14" s="6">
        <v>70.3</v>
      </c>
      <c r="M14" s="6">
        <v>80.79</v>
      </c>
      <c r="N14" s="6">
        <v>85.58</v>
      </c>
      <c r="O14" s="6">
        <v>86.18</v>
      </c>
      <c r="P14" s="6">
        <v>81.26</v>
      </c>
      <c r="Q14" s="6">
        <v>85.08</v>
      </c>
    </row>
    <row r="15" spans="1:17">
      <c r="A15" s="5">
        <v>20231018</v>
      </c>
      <c r="B15" s="6">
        <v>88.32</v>
      </c>
      <c r="C15" s="6">
        <v>91.5</v>
      </c>
      <c r="D15" s="6">
        <v>92.62</v>
      </c>
      <c r="E15" s="6">
        <v>679.2</v>
      </c>
      <c r="F15" s="6">
        <v>92.49</v>
      </c>
      <c r="G15" s="6">
        <v>92.49</v>
      </c>
      <c r="H15" s="6">
        <v>93.055</v>
      </c>
      <c r="I15" s="6">
        <v>86.08</v>
      </c>
      <c r="J15" s="6">
        <v>94.19</v>
      </c>
      <c r="K15" s="6">
        <v>93.59</v>
      </c>
      <c r="L15" s="6">
        <v>72.35</v>
      </c>
      <c r="M15" s="6">
        <v>82.49</v>
      </c>
      <c r="N15" s="6">
        <v>87.42</v>
      </c>
      <c r="O15" s="6">
        <v>88.02</v>
      </c>
      <c r="P15" s="6">
        <v>82.79</v>
      </c>
      <c r="Q15" s="6">
        <v>87.02</v>
      </c>
    </row>
    <row r="16" spans="1:17">
      <c r="A16" s="5">
        <v>20231019</v>
      </c>
      <c r="B16" s="6">
        <v>89.37</v>
      </c>
      <c r="C16" s="6">
        <v>92.38</v>
      </c>
      <c r="D16" s="6">
        <v>91.2</v>
      </c>
      <c r="E16" s="6">
        <v>683.4</v>
      </c>
      <c r="F16" s="6">
        <v>91.2</v>
      </c>
      <c r="G16" s="6">
        <v>91.25</v>
      </c>
      <c r="H16" s="6">
        <v>93.2</v>
      </c>
      <c r="I16" s="6">
        <v>84.85</v>
      </c>
      <c r="J16" s="6">
        <v>92.92</v>
      </c>
      <c r="K16" s="6">
        <v>92.72</v>
      </c>
      <c r="L16" s="6">
        <v>71.135</v>
      </c>
      <c r="M16" s="6">
        <v>82.1</v>
      </c>
      <c r="N16" s="6">
        <v>86.83</v>
      </c>
      <c r="O16" s="6">
        <v>87.43</v>
      </c>
      <c r="P16" s="6">
        <v>81.32</v>
      </c>
      <c r="Q16" s="6">
        <v>86.03</v>
      </c>
    </row>
    <row r="17" spans="1:17">
      <c r="A17" s="5">
        <v>20231020</v>
      </c>
      <c r="B17" s="6">
        <v>88.75</v>
      </c>
      <c r="C17" s="6">
        <v>92.16</v>
      </c>
      <c r="D17" s="6">
        <v>93.46</v>
      </c>
      <c r="E17" s="6">
        <v>689.3</v>
      </c>
      <c r="F17" s="6">
        <v>93.45</v>
      </c>
      <c r="G17" s="6">
        <v>93.5</v>
      </c>
      <c r="H17" s="6">
        <v>95</v>
      </c>
      <c r="I17" s="6">
        <v>87.53</v>
      </c>
      <c r="J17" s="6">
        <v>95.7</v>
      </c>
      <c r="K17" s="6">
        <v>95</v>
      </c>
      <c r="L17" s="6">
        <v>73.835</v>
      </c>
      <c r="M17" s="6">
        <v>83.43</v>
      </c>
      <c r="N17" s="6">
        <v>89.61</v>
      </c>
      <c r="O17" s="6">
        <v>90.21</v>
      </c>
      <c r="P17" s="6">
        <v>83.25</v>
      </c>
      <c r="Q17" s="6">
        <v>88.31</v>
      </c>
    </row>
    <row r="18" spans="1:17">
      <c r="A18" s="5">
        <v>20231023</v>
      </c>
      <c r="B18" s="6">
        <v>85.49</v>
      </c>
      <c r="C18" s="6">
        <v>89.83</v>
      </c>
      <c r="D18" s="6">
        <v>92.35</v>
      </c>
      <c r="E18" s="6">
        <v>692.2</v>
      </c>
      <c r="F18" s="6">
        <v>92.35</v>
      </c>
      <c r="G18" s="6">
        <v>92.47</v>
      </c>
      <c r="H18" s="6">
        <v>93.085</v>
      </c>
      <c r="I18" s="6">
        <v>86.695</v>
      </c>
      <c r="J18" s="6">
        <v>95.26</v>
      </c>
      <c r="K18" s="6">
        <v>94.26</v>
      </c>
      <c r="L18" s="6">
        <v>73</v>
      </c>
      <c r="M18" s="6">
        <v>81.34</v>
      </c>
      <c r="N18" s="6">
        <v>88.74</v>
      </c>
      <c r="O18" s="6">
        <v>89.34</v>
      </c>
      <c r="P18" s="6">
        <v>82.11</v>
      </c>
      <c r="Q18" s="6">
        <v>87.09</v>
      </c>
    </row>
    <row r="19" spans="1:17">
      <c r="A19" s="5">
        <v>20231024</v>
      </c>
      <c r="B19" s="6">
        <v>83.74</v>
      </c>
      <c r="C19" s="6">
        <v>88.07</v>
      </c>
      <c r="D19" s="6">
        <v>90.36</v>
      </c>
      <c r="E19" s="6">
        <v>679.9</v>
      </c>
      <c r="F19" s="6">
        <v>90.5</v>
      </c>
      <c r="G19" s="6">
        <v>90.5</v>
      </c>
      <c r="H19" s="6">
        <v>88.46</v>
      </c>
      <c r="I19" s="6">
        <v>84.805</v>
      </c>
      <c r="J19" s="6">
        <v>93.27</v>
      </c>
      <c r="K19" s="6">
        <v>91.97</v>
      </c>
      <c r="L19" s="6">
        <v>71.305</v>
      </c>
      <c r="M19" s="6">
        <v>77.57</v>
      </c>
      <c r="N19" s="6">
        <v>86.62</v>
      </c>
      <c r="O19" s="6">
        <v>87.22</v>
      </c>
      <c r="P19" s="6">
        <v>79.52</v>
      </c>
      <c r="Q19" s="6">
        <v>85.02</v>
      </c>
    </row>
    <row r="20" spans="1:17">
      <c r="A20" s="5">
        <v>20231025</v>
      </c>
      <c r="B20" s="6">
        <v>85.39</v>
      </c>
      <c r="C20" s="6">
        <v>90.13</v>
      </c>
      <c r="D20" s="6">
        <v>89.04</v>
      </c>
      <c r="E20" s="6">
        <v>666</v>
      </c>
      <c r="F20" s="6">
        <v>89.04</v>
      </c>
      <c r="G20" s="6">
        <v>89.2</v>
      </c>
      <c r="H20" s="6">
        <v>89.04</v>
      </c>
      <c r="I20" s="6">
        <v>83.345</v>
      </c>
      <c r="J20" s="6">
        <v>92.24</v>
      </c>
      <c r="K20" s="6">
        <v>90.49</v>
      </c>
      <c r="L20" s="6">
        <v>70.13</v>
      </c>
      <c r="M20" s="6">
        <v>77.72</v>
      </c>
      <c r="N20" s="6">
        <v>85.4</v>
      </c>
      <c r="O20" s="6">
        <v>86</v>
      </c>
      <c r="P20" s="6">
        <v>77.69</v>
      </c>
      <c r="Q20" s="6">
        <v>70.13</v>
      </c>
    </row>
    <row r="21" spans="1:17">
      <c r="A21" s="5">
        <v>20231026</v>
      </c>
      <c r="B21" s="6">
        <v>83.21</v>
      </c>
      <c r="C21" s="6">
        <v>87.93</v>
      </c>
      <c r="D21" s="6">
        <v>90.36</v>
      </c>
      <c r="E21" s="6">
        <v>667.1</v>
      </c>
      <c r="F21" s="6">
        <v>90.12</v>
      </c>
      <c r="G21" s="6">
        <v>90.12</v>
      </c>
      <c r="H21" s="6">
        <v>89.695</v>
      </c>
      <c r="I21" s="6">
        <v>84.3</v>
      </c>
      <c r="J21" s="6">
        <v>93.74</v>
      </c>
      <c r="K21" s="6">
        <v>91.59</v>
      </c>
      <c r="L21" s="6">
        <v>71.16</v>
      </c>
      <c r="M21" s="6">
        <v>77.6</v>
      </c>
      <c r="N21" s="6">
        <v>86.38</v>
      </c>
      <c r="O21" s="6">
        <v>86.98</v>
      </c>
      <c r="P21" s="6">
        <v>78.39</v>
      </c>
      <c r="Q21" s="6">
        <v>84.48</v>
      </c>
    </row>
    <row r="22" spans="1:17">
      <c r="A22" s="5">
        <v>20231027</v>
      </c>
      <c r="B22" s="6">
        <v>85.54</v>
      </c>
      <c r="C22" s="6">
        <v>90.48</v>
      </c>
      <c r="D22" s="6">
        <v>90.33</v>
      </c>
      <c r="E22" s="6">
        <v>663.7</v>
      </c>
      <c r="F22" s="6">
        <v>89.745</v>
      </c>
      <c r="G22" s="6">
        <v>89.75</v>
      </c>
      <c r="H22" s="6">
        <v>89.23</v>
      </c>
      <c r="I22" s="6">
        <v>84.27</v>
      </c>
      <c r="J22" s="6">
        <v>94.02</v>
      </c>
      <c r="K22" s="6">
        <v>91.92</v>
      </c>
      <c r="L22" s="6">
        <v>71.2</v>
      </c>
      <c r="M22" s="6">
        <v>77.12</v>
      </c>
      <c r="N22" s="6">
        <v>86.12</v>
      </c>
      <c r="O22" s="6">
        <v>86.72</v>
      </c>
      <c r="P22" s="6">
        <v>78.47</v>
      </c>
      <c r="Q22" s="6">
        <v>84.12</v>
      </c>
    </row>
    <row r="23" spans="1:17">
      <c r="A23" s="5">
        <v>20231030</v>
      </c>
      <c r="B23" s="6">
        <v>82.31</v>
      </c>
      <c r="C23" s="6">
        <v>87.45</v>
      </c>
      <c r="D23" s="6">
        <v>89.68</v>
      </c>
      <c r="E23" s="6">
        <v>666.3</v>
      </c>
      <c r="F23" s="6">
        <v>89.86</v>
      </c>
      <c r="G23" s="6">
        <v>89.86</v>
      </c>
      <c r="H23" s="6">
        <v>89</v>
      </c>
      <c r="I23" s="6">
        <v>84.245</v>
      </c>
      <c r="J23" s="6">
        <v>93.1</v>
      </c>
      <c r="K23" s="6">
        <v>91.15</v>
      </c>
      <c r="L23" s="6">
        <v>71.565</v>
      </c>
      <c r="M23" s="6">
        <v>76.39</v>
      </c>
      <c r="N23" s="6">
        <v>85.42</v>
      </c>
      <c r="O23" s="6">
        <v>86.02</v>
      </c>
      <c r="P23" s="6">
        <v>77.7</v>
      </c>
      <c r="Q23" s="6">
        <v>83.52</v>
      </c>
    </row>
    <row r="24" spans="1:17">
      <c r="A24" s="5">
        <v>20231031</v>
      </c>
      <c r="B24" s="6">
        <v>81.02</v>
      </c>
      <c r="C24" s="6">
        <v>87.41</v>
      </c>
      <c r="D24" s="6">
        <v>88.52</v>
      </c>
      <c r="E24" s="6">
        <v>656.4</v>
      </c>
      <c r="F24" s="6">
        <v>88.06</v>
      </c>
      <c r="G24" s="6">
        <v>88.06</v>
      </c>
      <c r="H24" s="6">
        <v>88.675</v>
      </c>
      <c r="I24" s="6">
        <v>83.43</v>
      </c>
      <c r="J24" s="6">
        <v>92.16</v>
      </c>
      <c r="K24" s="6">
        <v>90.36</v>
      </c>
      <c r="L24" s="6">
        <v>70.915</v>
      </c>
      <c r="M24" s="6">
        <v>75.74</v>
      </c>
      <c r="N24" s="6">
        <v>84.49</v>
      </c>
      <c r="O24" s="6">
        <v>85.09</v>
      </c>
      <c r="P24" s="6">
        <v>76.36</v>
      </c>
      <c r="Q24" s="6">
        <v>82.49</v>
      </c>
    </row>
    <row r="25" spans="1:17">
      <c r="A25" s="7" t="s">
        <v>17</v>
      </c>
      <c r="B25" s="8">
        <f>AVERAGE(B18:B22)</f>
        <v>84.674</v>
      </c>
      <c r="C25" s="8">
        <f t="shared" ref="C25:Q25" si="0">AVERAGE(C23:C24)</f>
        <v>87.43</v>
      </c>
      <c r="D25" s="8">
        <f t="shared" si="0"/>
        <v>89.1</v>
      </c>
      <c r="E25" s="8">
        <f t="shared" si="0"/>
        <v>661.35</v>
      </c>
      <c r="F25" s="8">
        <f t="shared" si="0"/>
        <v>88.96</v>
      </c>
      <c r="G25" s="8">
        <f t="shared" si="0"/>
        <v>88.96</v>
      </c>
      <c r="H25" s="8">
        <f t="shared" si="0"/>
        <v>88.8375</v>
      </c>
      <c r="I25" s="8">
        <f t="shared" si="0"/>
        <v>83.8375</v>
      </c>
      <c r="J25" s="8">
        <f t="shared" si="0"/>
        <v>92.63</v>
      </c>
      <c r="K25" s="8">
        <f t="shared" si="0"/>
        <v>90.755</v>
      </c>
      <c r="L25" s="8">
        <f t="shared" si="0"/>
        <v>71.24</v>
      </c>
      <c r="M25" s="8">
        <f t="shared" si="0"/>
        <v>76.065</v>
      </c>
      <c r="N25" s="8">
        <f t="shared" si="0"/>
        <v>84.955</v>
      </c>
      <c r="O25" s="8">
        <f t="shared" si="0"/>
        <v>85.555</v>
      </c>
      <c r="P25" s="8">
        <f t="shared" si="0"/>
        <v>77.03</v>
      </c>
      <c r="Q25" s="8">
        <f t="shared" si="0"/>
        <v>83.005</v>
      </c>
    </row>
    <row r="26" ht="22.5" spans="1:17">
      <c r="A26" s="3" t="s">
        <v>27</v>
      </c>
      <c r="B26" s="9">
        <f>AVERAGE(B3:B24)</f>
        <v>85.4668181818182</v>
      </c>
      <c r="C26" s="9">
        <f t="shared" ref="C26:Q26" si="1">AVERAGE(C3:C24)</f>
        <v>88.7040909090909</v>
      </c>
      <c r="D26" s="9">
        <f t="shared" si="1"/>
        <v>89.7877272727273</v>
      </c>
      <c r="E26" s="9">
        <f t="shared" si="1"/>
        <v>669.523529411765</v>
      </c>
      <c r="F26" s="9">
        <f t="shared" si="1"/>
        <v>89.7597727272727</v>
      </c>
      <c r="G26" s="9">
        <f t="shared" si="1"/>
        <v>89.7777272727273</v>
      </c>
      <c r="H26" s="9">
        <f t="shared" si="1"/>
        <v>91.0468181818182</v>
      </c>
      <c r="I26" s="9">
        <f t="shared" si="1"/>
        <v>84.5172727272727</v>
      </c>
      <c r="J26" s="9">
        <f t="shared" si="1"/>
        <v>93.15</v>
      </c>
      <c r="K26" s="9">
        <f t="shared" si="1"/>
        <v>91.3954545454545</v>
      </c>
      <c r="L26" s="9">
        <f t="shared" si="1"/>
        <v>71.9668181818182</v>
      </c>
      <c r="M26" s="9">
        <f t="shared" si="1"/>
        <v>79.9968181818182</v>
      </c>
      <c r="N26" s="9">
        <f t="shared" si="1"/>
        <v>85.1945454545454</v>
      </c>
      <c r="O26" s="9">
        <f t="shared" si="1"/>
        <v>85.7945454545455</v>
      </c>
      <c r="P26" s="9">
        <f t="shared" si="1"/>
        <v>80.2181818181818</v>
      </c>
      <c r="Q26" s="9">
        <f t="shared" si="1"/>
        <v>83.4618181818182</v>
      </c>
    </row>
    <row r="27" ht="23.25" spans="1:17">
      <c r="A27" s="10" t="s">
        <v>19</v>
      </c>
      <c r="B27" s="23">
        <f>(B26-B2)/B2</f>
        <v>-0.0443213648384146</v>
      </c>
      <c r="C27" s="23">
        <f t="shared" ref="C27:Q27" si="2">(C26-C2)/C2</f>
        <v>-0.0419394294739526</v>
      </c>
      <c r="D27" s="23">
        <f t="shared" si="2"/>
        <v>-0.032161855698967</v>
      </c>
      <c r="E27" s="23">
        <f t="shared" si="2"/>
        <v>-0.0352895406990274</v>
      </c>
      <c r="F27" s="23">
        <f t="shared" si="2"/>
        <v>-0.0380502385614365</v>
      </c>
      <c r="G27" s="23">
        <f t="shared" si="2"/>
        <v>-0.0379918479829274</v>
      </c>
      <c r="H27" s="23">
        <f t="shared" si="2"/>
        <v>-0.0314340010090084</v>
      </c>
      <c r="I27" s="23">
        <f t="shared" si="2"/>
        <v>-0.0429966457685575</v>
      </c>
      <c r="J27" s="23">
        <f t="shared" si="2"/>
        <v>-0.0450512330269775</v>
      </c>
      <c r="K27" s="23">
        <f t="shared" si="2"/>
        <v>-0.0588170312598006</v>
      </c>
      <c r="L27" s="23">
        <f t="shared" si="2"/>
        <v>-0.068363568106279</v>
      </c>
      <c r="M27" s="23">
        <f t="shared" si="2"/>
        <v>-0.0566857909789849</v>
      </c>
      <c r="N27" s="23">
        <f t="shared" si="2"/>
        <v>-0.0342999024654651</v>
      </c>
      <c r="O27" s="23">
        <f t="shared" si="2"/>
        <v>-0.034068199857629</v>
      </c>
      <c r="P27" s="23">
        <f t="shared" si="2"/>
        <v>-0.0466332887478094</v>
      </c>
      <c r="Q27" s="23">
        <f t="shared" si="2"/>
        <v>-0.0370493904466418</v>
      </c>
    </row>
    <row r="28" ht="15"/>
  </sheetData>
  <pageMargins left="0.75" right="0.75" top="1" bottom="1" header="0.5" footer="0.5"/>
  <pageSetup paperSize="9" orientation="portrait"/>
  <headerFooter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Q27"/>
  <sheetViews>
    <sheetView workbookViewId="0">
      <selection activeCell="E25" sqref="E25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30</v>
      </c>
      <c r="B2" s="9">
        <v>81.3208695652174</v>
      </c>
      <c r="C2" s="9">
        <v>85.1043478260869</v>
      </c>
      <c r="D2" s="9">
        <v>86.5678260869565</v>
      </c>
      <c r="E2" s="9">
        <v>635.617391304348</v>
      </c>
      <c r="F2" s="9">
        <v>86.4645454545454</v>
      </c>
      <c r="G2" s="9">
        <v>86.5904545454546</v>
      </c>
      <c r="H2" s="9">
        <v>86.2165909090909</v>
      </c>
      <c r="I2" s="9">
        <v>81.5459090909091</v>
      </c>
      <c r="J2" s="9">
        <v>90.1913636363636</v>
      </c>
      <c r="K2" s="9">
        <v>89.1004545454546</v>
      </c>
      <c r="L2" s="9">
        <v>71.9354545454545</v>
      </c>
      <c r="M2" s="9">
        <v>75.7695</v>
      </c>
      <c r="N2" s="9">
        <v>79.3909523809524</v>
      </c>
      <c r="O2" s="9">
        <v>79.9909523809524</v>
      </c>
      <c r="P2" s="9">
        <v>75.737619047619</v>
      </c>
      <c r="Q2" s="9">
        <v>78.6345454545454</v>
      </c>
    </row>
    <row r="3" spans="1:17">
      <c r="A3" s="5">
        <v>20230901</v>
      </c>
      <c r="B3" s="6">
        <v>85.55</v>
      </c>
      <c r="C3" s="6">
        <v>88.55</v>
      </c>
      <c r="D3" s="6">
        <v>88.23</v>
      </c>
      <c r="E3" s="6">
        <v>648.7</v>
      </c>
      <c r="F3" s="6"/>
      <c r="G3" s="6"/>
      <c r="H3" s="6">
        <v>89.44</v>
      </c>
      <c r="I3" s="6"/>
      <c r="J3" s="6"/>
      <c r="K3" s="6"/>
      <c r="L3" s="6"/>
      <c r="M3" s="6"/>
      <c r="N3" s="6"/>
      <c r="O3" s="6"/>
      <c r="P3" s="6"/>
      <c r="Q3" s="6"/>
    </row>
    <row r="4" spans="1:17">
      <c r="A4" s="5">
        <v>20230904</v>
      </c>
      <c r="B4" s="6"/>
      <c r="C4" s="6">
        <v>89</v>
      </c>
      <c r="D4" s="6">
        <v>89.41</v>
      </c>
      <c r="E4" s="6">
        <v>665.4</v>
      </c>
      <c r="F4" s="6">
        <v>89.48</v>
      </c>
      <c r="G4" s="6">
        <v>89.48</v>
      </c>
      <c r="H4" s="6">
        <v>90.605</v>
      </c>
      <c r="I4" s="6">
        <v>86.145</v>
      </c>
      <c r="J4" s="6">
        <v>94.06</v>
      </c>
      <c r="K4" s="6">
        <v>93.41</v>
      </c>
      <c r="L4" s="6">
        <v>77.21</v>
      </c>
      <c r="M4" s="6">
        <v>80.45</v>
      </c>
      <c r="N4" s="6">
        <v>84.55</v>
      </c>
      <c r="O4" s="6">
        <v>85.15</v>
      </c>
      <c r="P4" s="6">
        <v>79.21</v>
      </c>
      <c r="Q4" s="6">
        <v>82.65</v>
      </c>
    </row>
    <row r="5" spans="1:17">
      <c r="A5" s="5">
        <v>20230905</v>
      </c>
      <c r="B5" s="6">
        <v>86.69</v>
      </c>
      <c r="C5" s="6">
        <v>90.04</v>
      </c>
      <c r="D5" s="6">
        <v>89.21</v>
      </c>
      <c r="E5" s="6">
        <v>668.1</v>
      </c>
      <c r="F5" s="6">
        <v>89.21</v>
      </c>
      <c r="G5" s="6">
        <v>89.21</v>
      </c>
      <c r="H5" s="6">
        <v>91.935</v>
      </c>
      <c r="I5" s="6">
        <v>85.89</v>
      </c>
      <c r="J5" s="6">
        <v>94.02</v>
      </c>
      <c r="K5" s="6">
        <v>93.37</v>
      </c>
      <c r="L5" s="6">
        <v>76.805</v>
      </c>
      <c r="M5" s="6">
        <v>82.19</v>
      </c>
      <c r="N5" s="6">
        <v>84.33</v>
      </c>
      <c r="O5" s="6">
        <v>84.93</v>
      </c>
      <c r="P5" s="6">
        <v>79.27</v>
      </c>
      <c r="Q5" s="6">
        <v>82.48</v>
      </c>
    </row>
    <row r="6" spans="1:17">
      <c r="A6" s="5">
        <v>20230906</v>
      </c>
      <c r="B6" s="6">
        <v>87.54</v>
      </c>
      <c r="C6" s="6">
        <v>90.6</v>
      </c>
      <c r="D6" s="6">
        <v>90.41</v>
      </c>
      <c r="E6" s="6">
        <v>688.4</v>
      </c>
      <c r="F6" s="6">
        <v>90.59</v>
      </c>
      <c r="G6" s="6">
        <v>90.59</v>
      </c>
      <c r="H6" s="6">
        <v>91.41</v>
      </c>
      <c r="I6" s="6">
        <v>87.08</v>
      </c>
      <c r="J6" s="6">
        <v>95.13</v>
      </c>
      <c r="K6" s="6">
        <v>94.48</v>
      </c>
      <c r="L6" s="6">
        <v>77.865</v>
      </c>
      <c r="M6" s="6">
        <v>81.68</v>
      </c>
      <c r="N6" s="6">
        <v>85.57</v>
      </c>
      <c r="O6" s="6">
        <v>86.17</v>
      </c>
      <c r="P6" s="6">
        <v>80.43</v>
      </c>
      <c r="Q6" s="6">
        <v>83.87</v>
      </c>
    </row>
    <row r="7" spans="1:17">
      <c r="A7" s="5">
        <v>20230907</v>
      </c>
      <c r="B7" s="6">
        <v>86.87</v>
      </c>
      <c r="C7" s="6">
        <v>89.92</v>
      </c>
      <c r="D7" s="6">
        <v>91.39</v>
      </c>
      <c r="E7" s="6">
        <v>689.9</v>
      </c>
      <c r="F7" s="6">
        <v>91.495</v>
      </c>
      <c r="G7" s="6">
        <v>91.495</v>
      </c>
      <c r="H7" s="6">
        <v>91.9</v>
      </c>
      <c r="I7" s="6">
        <v>87.99</v>
      </c>
      <c r="J7" s="6">
        <v>95.85</v>
      </c>
      <c r="K7" s="6">
        <v>95.3</v>
      </c>
      <c r="L7" s="6">
        <v>78.92</v>
      </c>
      <c r="M7" s="6">
        <v>82.07</v>
      </c>
      <c r="N7" s="6">
        <v>86.36</v>
      </c>
      <c r="O7" s="6">
        <v>86.96</v>
      </c>
      <c r="P7" s="6">
        <v>81.2</v>
      </c>
      <c r="Q7" s="6">
        <v>84.76</v>
      </c>
    </row>
    <row r="8" spans="1:17">
      <c r="A8" s="5">
        <v>20230908</v>
      </c>
      <c r="B8" s="6">
        <v>87.51</v>
      </c>
      <c r="C8" s="6">
        <v>90.65</v>
      </c>
      <c r="D8" s="6">
        <v>91.04</v>
      </c>
      <c r="E8" s="6">
        <v>694.7</v>
      </c>
      <c r="F8" s="6">
        <v>91.09</v>
      </c>
      <c r="G8" s="6">
        <v>91.09</v>
      </c>
      <c r="H8" s="6">
        <v>92.395</v>
      </c>
      <c r="I8" s="6">
        <v>87.32</v>
      </c>
      <c r="J8" s="6">
        <v>95.49</v>
      </c>
      <c r="K8" s="6">
        <v>95.04</v>
      </c>
      <c r="L8" s="6">
        <v>77.955</v>
      </c>
      <c r="M8" s="6">
        <v>82.69</v>
      </c>
      <c r="N8" s="6">
        <v>86.03</v>
      </c>
      <c r="O8" s="6">
        <v>86.63</v>
      </c>
      <c r="P8" s="6">
        <v>81.04</v>
      </c>
      <c r="Q8" s="6">
        <v>84.38</v>
      </c>
    </row>
    <row r="9" spans="1:17">
      <c r="A9" s="5">
        <v>20230911</v>
      </c>
      <c r="B9" s="6">
        <v>87.29</v>
      </c>
      <c r="C9" s="6">
        <v>90.64</v>
      </c>
      <c r="D9" s="6">
        <v>91.58</v>
      </c>
      <c r="E9" s="6">
        <v>696.1</v>
      </c>
      <c r="F9" s="6">
        <v>91.6</v>
      </c>
      <c r="G9" s="6">
        <v>91.6</v>
      </c>
      <c r="H9" s="6">
        <v>92.02</v>
      </c>
      <c r="I9" s="6">
        <v>87.51</v>
      </c>
      <c r="J9" s="6">
        <v>95.89</v>
      </c>
      <c r="K9" s="6">
        <v>95.74</v>
      </c>
      <c r="L9" s="6">
        <v>77.66</v>
      </c>
      <c r="M9" s="6">
        <v>81.86</v>
      </c>
      <c r="N9" s="6">
        <v>86.63</v>
      </c>
      <c r="O9" s="6">
        <v>87.23</v>
      </c>
      <c r="P9" s="6">
        <v>81.84</v>
      </c>
      <c r="Q9" s="6">
        <v>84.93</v>
      </c>
    </row>
    <row r="10" spans="1:17">
      <c r="A10" s="5">
        <v>20230912</v>
      </c>
      <c r="B10" s="6">
        <v>88.84</v>
      </c>
      <c r="C10" s="6">
        <v>92.06</v>
      </c>
      <c r="D10" s="6">
        <v>92.31</v>
      </c>
      <c r="E10" s="6">
        <v>695.6</v>
      </c>
      <c r="F10" s="6">
        <v>92.35</v>
      </c>
      <c r="G10" s="6">
        <v>92.35</v>
      </c>
      <c r="H10" s="6">
        <v>93.6</v>
      </c>
      <c r="I10" s="6">
        <v>87.61</v>
      </c>
      <c r="J10" s="6">
        <v>96.23</v>
      </c>
      <c r="K10" s="6">
        <v>96.28</v>
      </c>
      <c r="L10" s="6">
        <v>77.275</v>
      </c>
      <c r="M10" s="6">
        <v>83.49</v>
      </c>
      <c r="N10" s="6">
        <v>87.42</v>
      </c>
      <c r="O10" s="6">
        <v>88.02</v>
      </c>
      <c r="P10" s="6">
        <v>82.48</v>
      </c>
      <c r="Q10" s="6">
        <v>85.72</v>
      </c>
    </row>
    <row r="11" spans="1:17">
      <c r="A11" s="5">
        <v>20230913</v>
      </c>
      <c r="B11" s="6">
        <v>88.52</v>
      </c>
      <c r="C11" s="6">
        <v>91.88</v>
      </c>
      <c r="D11" s="6">
        <v>93.82</v>
      </c>
      <c r="E11" s="6">
        <v>707.8</v>
      </c>
      <c r="F11" s="6">
        <v>93.9</v>
      </c>
      <c r="G11" s="6">
        <v>93.9</v>
      </c>
      <c r="H11" s="6">
        <v>93.385</v>
      </c>
      <c r="I11" s="6">
        <v>87.965</v>
      </c>
      <c r="J11" s="6">
        <v>97.59</v>
      </c>
      <c r="K11" s="6">
        <v>97.64</v>
      </c>
      <c r="L11" s="6">
        <v>76.2</v>
      </c>
      <c r="M11" s="6">
        <v>83.45</v>
      </c>
      <c r="N11" s="6">
        <v>88.83</v>
      </c>
      <c r="O11" s="6">
        <v>89.43</v>
      </c>
      <c r="P11" s="6">
        <v>83.99</v>
      </c>
      <c r="Q11" s="6">
        <v>87.08</v>
      </c>
    </row>
    <row r="12" spans="1:17">
      <c r="A12" s="5">
        <v>20230914</v>
      </c>
      <c r="B12" s="6">
        <v>90.16</v>
      </c>
      <c r="C12" s="6">
        <v>93.7</v>
      </c>
      <c r="D12" s="6">
        <v>93.86</v>
      </c>
      <c r="E12" s="6">
        <v>717.2</v>
      </c>
      <c r="F12" s="6">
        <v>93.85</v>
      </c>
      <c r="G12" s="6">
        <v>93.9</v>
      </c>
      <c r="H12" s="6">
        <v>95.105</v>
      </c>
      <c r="I12" s="6">
        <v>88.09</v>
      </c>
      <c r="J12" s="6">
        <v>97.71</v>
      </c>
      <c r="K12" s="6">
        <v>97.66</v>
      </c>
      <c r="L12" s="6">
        <v>76.255</v>
      </c>
      <c r="M12" s="6">
        <v>85.07</v>
      </c>
      <c r="N12" s="6">
        <v>89.05</v>
      </c>
      <c r="O12" s="6">
        <v>89.65</v>
      </c>
      <c r="P12" s="6">
        <v>84.11</v>
      </c>
      <c r="Q12" s="6">
        <v>87.25</v>
      </c>
    </row>
    <row r="13" spans="1:17">
      <c r="A13" s="5">
        <v>20230915</v>
      </c>
      <c r="B13" s="6">
        <v>90.77</v>
      </c>
      <c r="C13" s="6">
        <v>93.93</v>
      </c>
      <c r="D13" s="6">
        <v>95.51</v>
      </c>
      <c r="E13" s="6">
        <v>736.5</v>
      </c>
      <c r="F13" s="6">
        <v>95.55</v>
      </c>
      <c r="G13" s="6">
        <v>95.56</v>
      </c>
      <c r="H13" s="6">
        <v>95.14</v>
      </c>
      <c r="I13" s="6">
        <v>89.39</v>
      </c>
      <c r="J13" s="6">
        <v>99.41</v>
      </c>
      <c r="K13" s="6">
        <v>99.16</v>
      </c>
      <c r="L13" s="6">
        <v>77.205</v>
      </c>
      <c r="M13" s="6">
        <v>85.61</v>
      </c>
      <c r="N13" s="6">
        <v>90.86</v>
      </c>
      <c r="O13" s="6">
        <v>91.46</v>
      </c>
      <c r="P13" s="6">
        <v>86.11</v>
      </c>
      <c r="Q13" s="6">
        <v>88.91</v>
      </c>
    </row>
    <row r="14" spans="1:17">
      <c r="A14" s="5">
        <v>20230918</v>
      </c>
      <c r="B14" s="6">
        <v>91.48</v>
      </c>
      <c r="C14" s="6">
        <v>94.43</v>
      </c>
      <c r="D14" s="6">
        <v>95.2</v>
      </c>
      <c r="E14" s="6">
        <v>697.7</v>
      </c>
      <c r="F14" s="6">
        <v>95.21</v>
      </c>
      <c r="G14" s="6">
        <v>95.21</v>
      </c>
      <c r="H14" s="6">
        <v>96.24</v>
      </c>
      <c r="I14" s="6">
        <v>89.39</v>
      </c>
      <c r="J14" s="6">
        <v>99.09</v>
      </c>
      <c r="K14" s="6">
        <v>98.89</v>
      </c>
      <c r="L14" s="6">
        <v>77.675</v>
      </c>
      <c r="M14" s="6">
        <v>86.32</v>
      </c>
      <c r="N14" s="6">
        <v>90.46</v>
      </c>
      <c r="O14" s="6">
        <v>91.06</v>
      </c>
      <c r="P14" s="6">
        <v>85.89</v>
      </c>
      <c r="Q14" s="6">
        <v>88.56</v>
      </c>
    </row>
    <row r="15" spans="1:17">
      <c r="A15" s="5">
        <v>20230919</v>
      </c>
      <c r="B15" s="6">
        <v>91.2</v>
      </c>
      <c r="C15" s="6">
        <v>94.34</v>
      </c>
      <c r="D15" s="6">
        <v>95.09</v>
      </c>
      <c r="E15" s="6">
        <v>700.6</v>
      </c>
      <c r="F15" s="6">
        <v>95.2</v>
      </c>
      <c r="G15" s="6">
        <v>95.2</v>
      </c>
      <c r="H15" s="6">
        <v>96.865</v>
      </c>
      <c r="I15" s="6">
        <v>89.695</v>
      </c>
      <c r="J15" s="6">
        <v>99.45</v>
      </c>
      <c r="K15" s="6">
        <v>99.25</v>
      </c>
      <c r="L15" s="6">
        <v>78.34</v>
      </c>
      <c r="M15" s="6">
        <v>87.52</v>
      </c>
      <c r="N15" s="6">
        <v>90.28</v>
      </c>
      <c r="O15" s="6">
        <v>90.88</v>
      </c>
      <c r="P15" s="6">
        <v>87.15</v>
      </c>
      <c r="Q15" s="6">
        <v>88.58</v>
      </c>
    </row>
    <row r="16" spans="1:17">
      <c r="A16" s="5">
        <v>20230920</v>
      </c>
      <c r="B16" s="6">
        <v>90.28</v>
      </c>
      <c r="C16" s="6">
        <v>93.53</v>
      </c>
      <c r="D16" s="6">
        <v>93.79</v>
      </c>
      <c r="E16" s="6">
        <v>698.7</v>
      </c>
      <c r="F16" s="6">
        <v>93.86</v>
      </c>
      <c r="G16" s="6">
        <v>93.86</v>
      </c>
      <c r="H16" s="6">
        <v>95.725</v>
      </c>
      <c r="I16" s="6">
        <v>88.465</v>
      </c>
      <c r="J16" s="6">
        <v>98.51</v>
      </c>
      <c r="K16" s="6">
        <v>98.06</v>
      </c>
      <c r="L16" s="6">
        <v>76.67</v>
      </c>
      <c r="M16" s="6">
        <v>86.76</v>
      </c>
      <c r="N16" s="6">
        <v>89.14</v>
      </c>
      <c r="O16" s="6">
        <v>89.74</v>
      </c>
      <c r="P16" s="6">
        <v>86.06</v>
      </c>
      <c r="Q16" s="6">
        <v>87.34</v>
      </c>
    </row>
    <row r="17" spans="1:17">
      <c r="A17" s="5">
        <v>20230921</v>
      </c>
      <c r="B17" s="6">
        <v>89.63</v>
      </c>
      <c r="C17" s="6">
        <v>93.3</v>
      </c>
      <c r="D17" s="6">
        <v>93.21</v>
      </c>
      <c r="E17" s="6">
        <v>693.2</v>
      </c>
      <c r="F17" s="6">
        <v>93.24</v>
      </c>
      <c r="G17" s="6">
        <v>93.24</v>
      </c>
      <c r="H17" s="6">
        <v>94.5</v>
      </c>
      <c r="I17" s="6">
        <v>87.725</v>
      </c>
      <c r="J17" s="6">
        <v>97.66</v>
      </c>
      <c r="K17" s="6">
        <v>97.11</v>
      </c>
      <c r="L17" s="6">
        <v>75.48</v>
      </c>
      <c r="M17" s="6">
        <v>86.77</v>
      </c>
      <c r="N17" s="6">
        <v>88.69</v>
      </c>
      <c r="O17" s="6">
        <v>89.29</v>
      </c>
      <c r="P17" s="6">
        <v>85.21</v>
      </c>
      <c r="Q17" s="6">
        <v>86.79</v>
      </c>
    </row>
    <row r="18" spans="1:17">
      <c r="A18" s="5">
        <v>20230922</v>
      </c>
      <c r="B18" s="6">
        <v>90.03</v>
      </c>
      <c r="C18" s="6">
        <v>93.27</v>
      </c>
      <c r="D18" s="6">
        <v>94.28</v>
      </c>
      <c r="E18" s="6">
        <v>696.5</v>
      </c>
      <c r="F18" s="6">
        <v>94.3</v>
      </c>
      <c r="G18" s="6">
        <v>94.33</v>
      </c>
      <c r="H18" s="6">
        <v>94.225</v>
      </c>
      <c r="I18" s="6">
        <v>88.845</v>
      </c>
      <c r="J18" s="6">
        <v>98.82</v>
      </c>
      <c r="K18" s="6">
        <v>98.27</v>
      </c>
      <c r="L18" s="6">
        <v>76.56</v>
      </c>
      <c r="M18" s="6">
        <v>86.3</v>
      </c>
      <c r="N18" s="6">
        <v>89.69</v>
      </c>
      <c r="O18" s="6">
        <v>90.29</v>
      </c>
      <c r="P18" s="6">
        <v>86.27</v>
      </c>
      <c r="Q18" s="6">
        <v>87.79</v>
      </c>
    </row>
    <row r="19" spans="1:17">
      <c r="A19" s="5">
        <v>20230925</v>
      </c>
      <c r="B19" s="6">
        <v>89.68</v>
      </c>
      <c r="C19" s="6">
        <v>93.29</v>
      </c>
      <c r="D19" s="6">
        <v>94.19</v>
      </c>
      <c r="E19" s="6">
        <v>691.7</v>
      </c>
      <c r="F19" s="6">
        <v>94.1</v>
      </c>
      <c r="G19" s="6">
        <v>94.11</v>
      </c>
      <c r="H19" s="6">
        <v>93.4</v>
      </c>
      <c r="I19" s="6">
        <v>88.475</v>
      </c>
      <c r="J19" s="6">
        <v>98.53</v>
      </c>
      <c r="K19" s="6">
        <v>98.18</v>
      </c>
      <c r="L19" s="6">
        <v>76.21</v>
      </c>
      <c r="M19" s="6">
        <v>85.3</v>
      </c>
      <c r="N19" s="6">
        <v>89.03</v>
      </c>
      <c r="O19" s="6">
        <v>89.63</v>
      </c>
      <c r="P19" s="6">
        <v>85.98</v>
      </c>
      <c r="Q19" s="6">
        <v>87.58</v>
      </c>
    </row>
    <row r="20" spans="1:17">
      <c r="A20" s="5">
        <v>20230926</v>
      </c>
      <c r="B20" s="6">
        <v>90.39</v>
      </c>
      <c r="C20" s="6">
        <v>93.96</v>
      </c>
      <c r="D20" s="6">
        <v>92.57</v>
      </c>
      <c r="E20" s="6">
        <v>685.8</v>
      </c>
      <c r="F20" s="6">
        <v>92.84</v>
      </c>
      <c r="G20" s="6">
        <v>92.88</v>
      </c>
      <c r="H20" s="6">
        <v>94.135</v>
      </c>
      <c r="I20" s="6">
        <v>87.37</v>
      </c>
      <c r="J20" s="6">
        <v>97.16</v>
      </c>
      <c r="K20" s="6">
        <v>96.81</v>
      </c>
      <c r="L20" s="6">
        <v>75.54</v>
      </c>
      <c r="M20" s="6">
        <v>85.83</v>
      </c>
      <c r="N20" s="6">
        <v>87.73</v>
      </c>
      <c r="O20" s="6">
        <v>88.33</v>
      </c>
      <c r="P20" s="6">
        <v>84.61</v>
      </c>
      <c r="Q20" s="6">
        <v>86.53</v>
      </c>
    </row>
    <row r="21" spans="1:17">
      <c r="A21" s="5">
        <v>20230927</v>
      </c>
      <c r="B21" s="6">
        <v>93.68</v>
      </c>
      <c r="C21" s="6">
        <v>96.55</v>
      </c>
      <c r="D21" s="6">
        <v>94.31</v>
      </c>
      <c r="E21" s="6">
        <v>694.5</v>
      </c>
      <c r="F21" s="6">
        <v>95.45</v>
      </c>
      <c r="G21" s="6">
        <v>95.49</v>
      </c>
      <c r="H21" s="6">
        <v>97.915</v>
      </c>
      <c r="I21" s="6">
        <v>89.82</v>
      </c>
      <c r="J21" s="6">
        <v>99.35</v>
      </c>
      <c r="K21" s="6">
        <v>99</v>
      </c>
      <c r="L21" s="6">
        <v>77.795</v>
      </c>
      <c r="M21" s="6">
        <v>88.49</v>
      </c>
      <c r="N21" s="6">
        <v>89.84</v>
      </c>
      <c r="O21" s="6">
        <v>90.44</v>
      </c>
      <c r="P21" s="6">
        <v>86.6</v>
      </c>
      <c r="Q21" s="6">
        <v>89.04</v>
      </c>
    </row>
    <row r="22" spans="1:17">
      <c r="A22" s="5">
        <v>20230928</v>
      </c>
      <c r="B22" s="6">
        <v>91.71</v>
      </c>
      <c r="C22" s="6">
        <v>95.38</v>
      </c>
      <c r="D22" s="6">
        <v>94.81</v>
      </c>
      <c r="E22" s="6">
        <v>713.2</v>
      </c>
      <c r="F22" s="6">
        <v>96.77</v>
      </c>
      <c r="G22" s="6">
        <v>96.81</v>
      </c>
      <c r="H22" s="6">
        <v>97.77</v>
      </c>
      <c r="I22" s="6">
        <v>91.23</v>
      </c>
      <c r="J22" s="6">
        <v>101.04</v>
      </c>
      <c r="K22" s="6">
        <v>100.24</v>
      </c>
      <c r="L22" s="6">
        <v>79.26</v>
      </c>
      <c r="M22" s="6">
        <v>87.69</v>
      </c>
      <c r="N22" s="6">
        <v>90.44</v>
      </c>
      <c r="O22" s="6">
        <v>91.04</v>
      </c>
      <c r="P22" s="6">
        <v>88.24</v>
      </c>
      <c r="Q22" s="6">
        <v>90.04</v>
      </c>
    </row>
    <row r="23" spans="1:17">
      <c r="A23" s="5">
        <v>20230929</v>
      </c>
      <c r="B23" s="6">
        <v>90.79</v>
      </c>
      <c r="C23" s="6">
        <v>95.31</v>
      </c>
      <c r="D23" s="6">
        <v>93.98</v>
      </c>
      <c r="E23" s="6"/>
      <c r="F23" s="6">
        <v>96.12</v>
      </c>
      <c r="G23" s="6">
        <v>96.16</v>
      </c>
      <c r="H23" s="6">
        <v>96.325</v>
      </c>
      <c r="I23" s="6">
        <v>90.285</v>
      </c>
      <c r="J23" s="6">
        <v>99.9</v>
      </c>
      <c r="K23" s="6">
        <v>98.25</v>
      </c>
      <c r="L23" s="6">
        <v>78.075</v>
      </c>
      <c r="M23" s="6">
        <v>86.54</v>
      </c>
      <c r="N23" s="6">
        <v>89.48</v>
      </c>
      <c r="O23" s="6">
        <v>90.08</v>
      </c>
      <c r="P23" s="6">
        <v>87.15</v>
      </c>
      <c r="Q23" s="6">
        <v>89.18</v>
      </c>
    </row>
    <row r="24" spans="1:17">
      <c r="A24" s="7" t="s">
        <v>17</v>
      </c>
      <c r="B24" s="8">
        <f>AVERAGE(B19:B23)</f>
        <v>91.25</v>
      </c>
      <c r="C24" s="8">
        <f t="shared" ref="C24:Q24" si="0">AVERAGE(C19:C23)</f>
        <v>94.898</v>
      </c>
      <c r="D24" s="8">
        <f t="shared" si="0"/>
        <v>93.972</v>
      </c>
      <c r="E24" s="8">
        <f t="shared" si="0"/>
        <v>696.3</v>
      </c>
      <c r="F24" s="8">
        <f t="shared" si="0"/>
        <v>95.056</v>
      </c>
      <c r="G24" s="8">
        <f t="shared" si="0"/>
        <v>95.09</v>
      </c>
      <c r="H24" s="8">
        <f t="shared" si="0"/>
        <v>95.909</v>
      </c>
      <c r="I24" s="8">
        <f t="shared" si="0"/>
        <v>89.436</v>
      </c>
      <c r="J24" s="8">
        <f t="shared" si="0"/>
        <v>99.196</v>
      </c>
      <c r="K24" s="8">
        <f t="shared" si="0"/>
        <v>98.496</v>
      </c>
      <c r="L24" s="8">
        <f t="shared" si="0"/>
        <v>77.376</v>
      </c>
      <c r="M24" s="8">
        <f t="shared" si="0"/>
        <v>86.77</v>
      </c>
      <c r="N24" s="8">
        <f t="shared" si="0"/>
        <v>89.304</v>
      </c>
      <c r="O24" s="8">
        <f t="shared" si="0"/>
        <v>89.904</v>
      </c>
      <c r="P24" s="8">
        <f t="shared" si="0"/>
        <v>86.516</v>
      </c>
      <c r="Q24" s="8">
        <f t="shared" si="0"/>
        <v>88.474</v>
      </c>
    </row>
    <row r="25" ht="22.5" spans="1:17">
      <c r="A25" s="3" t="s">
        <v>44</v>
      </c>
      <c r="B25" s="9">
        <f>AVERAGE(B3:B23)</f>
        <v>89.4305</v>
      </c>
      <c r="C25" s="9">
        <f>AVERAGE(C3:C23)</f>
        <v>92.5871428571429</v>
      </c>
      <c r="D25" s="9">
        <f t="shared" ref="D25:Q25" si="1">AVERAGE(D3:D23)</f>
        <v>92.7714285714286</v>
      </c>
      <c r="E25" s="9">
        <f t="shared" si="1"/>
        <v>694.015</v>
      </c>
      <c r="F25" s="9">
        <f t="shared" si="1"/>
        <v>93.31025</v>
      </c>
      <c r="G25" s="9">
        <f t="shared" si="1"/>
        <v>93.32325</v>
      </c>
      <c r="H25" s="9">
        <f t="shared" si="1"/>
        <v>94.0016666666667</v>
      </c>
      <c r="I25" s="9">
        <f t="shared" si="1"/>
        <v>88.3145</v>
      </c>
      <c r="J25" s="9">
        <f t="shared" si="1"/>
        <v>97.5445</v>
      </c>
      <c r="K25" s="9">
        <f t="shared" si="1"/>
        <v>97.107</v>
      </c>
      <c r="L25" s="9">
        <f t="shared" si="1"/>
        <v>77.24775</v>
      </c>
      <c r="M25" s="9">
        <f t="shared" si="1"/>
        <v>84.804</v>
      </c>
      <c r="N25" s="9">
        <f t="shared" si="1"/>
        <v>88.2205</v>
      </c>
      <c r="O25" s="9">
        <f t="shared" si="1"/>
        <v>88.8205</v>
      </c>
      <c r="P25" s="9">
        <f t="shared" si="1"/>
        <v>84.142</v>
      </c>
      <c r="Q25" s="9">
        <f t="shared" si="1"/>
        <v>86.673</v>
      </c>
    </row>
    <row r="26" ht="23.25" spans="1:17">
      <c r="A26" s="10" t="s">
        <v>19</v>
      </c>
      <c r="B26" s="24">
        <f>(B25-B2)/B2</f>
        <v>0.099723852906896</v>
      </c>
      <c r="C26" s="24">
        <f>(C25-C2)/C2</f>
        <v>0.0879249441679197</v>
      </c>
      <c r="D26" s="24">
        <f t="shared" ref="D26:Q26" si="2">(D25-D2)/D2</f>
        <v>0.0716617566235355</v>
      </c>
      <c r="E26" s="24">
        <f t="shared" si="2"/>
        <v>0.0918754104191747</v>
      </c>
      <c r="F26" s="24">
        <f t="shared" si="2"/>
        <v>0.0791735445952625</v>
      </c>
      <c r="G26" s="24">
        <f t="shared" si="2"/>
        <v>0.0777544764014506</v>
      </c>
      <c r="H26" s="24">
        <f t="shared" si="2"/>
        <v>0.090296724510768</v>
      </c>
      <c r="I26" s="24">
        <f t="shared" si="2"/>
        <v>0.0830034392227466</v>
      </c>
      <c r="J26" s="24">
        <f t="shared" si="2"/>
        <v>0.0815281648615822</v>
      </c>
      <c r="K26" s="24">
        <f t="shared" si="2"/>
        <v>0.0898597599236815</v>
      </c>
      <c r="L26" s="24">
        <f t="shared" si="2"/>
        <v>0.0738480835092064</v>
      </c>
      <c r="M26" s="24">
        <f t="shared" si="2"/>
        <v>0.119236632154099</v>
      </c>
      <c r="N26" s="24">
        <f t="shared" si="2"/>
        <v>0.111216043569796</v>
      </c>
      <c r="O26" s="24">
        <f t="shared" si="2"/>
        <v>0.110381828897316</v>
      </c>
      <c r="P26" s="24">
        <f t="shared" si="2"/>
        <v>0.110967060465643</v>
      </c>
      <c r="Q26" s="24">
        <f t="shared" si="2"/>
        <v>0.102225484982312</v>
      </c>
    </row>
    <row r="27" ht="15"/>
  </sheetData>
  <pageMargins left="0.75" right="0.75" top="1" bottom="1" header="0.5" footer="0.5"/>
  <pageSetup paperSize="9" orientation="portrait"/>
  <headerFooter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Q30"/>
  <sheetViews>
    <sheetView workbookViewId="0">
      <selection activeCell="E26" sqref="E4:E26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31</v>
      </c>
      <c r="B2" s="9">
        <v>76.0345</v>
      </c>
      <c r="C2" s="9">
        <v>80.16</v>
      </c>
      <c r="D2" s="9">
        <v>80.5385714285714</v>
      </c>
      <c r="E2" s="9">
        <v>578.690476190476</v>
      </c>
      <c r="F2" s="9">
        <v>80.445</v>
      </c>
      <c r="G2" s="9">
        <v>80.4964285714286</v>
      </c>
      <c r="H2" s="9">
        <v>80.0514285714286</v>
      </c>
      <c r="I2" s="9">
        <v>75.1402380952381</v>
      </c>
      <c r="J2" s="9">
        <v>83.2557142857143</v>
      </c>
      <c r="K2" s="9">
        <v>82.4461904761905</v>
      </c>
      <c r="L2" s="9">
        <v>65.4388095238095</v>
      </c>
      <c r="M2" s="9">
        <v>68.8385714285714</v>
      </c>
      <c r="N2" s="9">
        <v>72.3057142857143</v>
      </c>
      <c r="O2" s="9">
        <v>72.9057142857143</v>
      </c>
      <c r="P2" s="9">
        <v>68.3723809523809</v>
      </c>
      <c r="Q2" s="9">
        <v>71.9319047619048</v>
      </c>
    </row>
    <row r="3" spans="1:17">
      <c r="A3" s="5">
        <v>20230731</v>
      </c>
      <c r="B3" s="6">
        <v>81.8</v>
      </c>
      <c r="C3" s="6">
        <v>85.56</v>
      </c>
      <c r="D3" s="6">
        <v>86.04</v>
      </c>
      <c r="E3" s="6">
        <v>607.2</v>
      </c>
      <c r="F3" s="6">
        <v>85.645</v>
      </c>
      <c r="G3" s="6">
        <v>85.675</v>
      </c>
      <c r="H3" s="6">
        <v>85.655</v>
      </c>
      <c r="I3" s="6">
        <v>79.97</v>
      </c>
      <c r="J3" s="6">
        <v>89.35</v>
      </c>
      <c r="K3" s="6">
        <v>87.6</v>
      </c>
      <c r="L3" s="6">
        <v>69.32</v>
      </c>
      <c r="M3" s="6">
        <v>76.26</v>
      </c>
      <c r="N3" s="6">
        <v>77.77</v>
      </c>
      <c r="O3" s="6">
        <v>78.37</v>
      </c>
      <c r="P3" s="6">
        <v>75.4</v>
      </c>
      <c r="Q3" s="6">
        <v>78.17</v>
      </c>
    </row>
    <row r="4" spans="1:17">
      <c r="A4" s="5">
        <v>20230801</v>
      </c>
      <c r="B4" s="6">
        <v>81.37</v>
      </c>
      <c r="C4" s="6">
        <v>84.91</v>
      </c>
      <c r="D4" s="6">
        <v>85.79</v>
      </c>
      <c r="E4" s="6">
        <v>617.4</v>
      </c>
      <c r="F4" s="6">
        <v>85.84</v>
      </c>
      <c r="G4" s="6">
        <v>85.87</v>
      </c>
      <c r="H4" s="6">
        <v>85.275</v>
      </c>
      <c r="I4" s="6">
        <v>80.47</v>
      </c>
      <c r="J4" s="6">
        <v>89.58</v>
      </c>
      <c r="K4" s="6">
        <v>87.88</v>
      </c>
      <c r="L4" s="6">
        <v>69.785</v>
      </c>
      <c r="M4" s="6">
        <v>75.72</v>
      </c>
      <c r="N4" s="6">
        <v>77.68</v>
      </c>
      <c r="O4" s="6">
        <v>78.28</v>
      </c>
      <c r="P4" s="6">
        <v>75.58</v>
      </c>
      <c r="Q4" s="6">
        <v>78.28</v>
      </c>
    </row>
    <row r="5" spans="1:17">
      <c r="A5" s="5">
        <v>20230802</v>
      </c>
      <c r="B5" s="6">
        <v>79.49</v>
      </c>
      <c r="C5" s="6">
        <v>83.2</v>
      </c>
      <c r="D5" s="6">
        <v>86.37</v>
      </c>
      <c r="E5" s="6">
        <v>620.3</v>
      </c>
      <c r="F5" s="6">
        <v>86.305</v>
      </c>
      <c r="G5" s="6">
        <v>86.36</v>
      </c>
      <c r="H5" s="6">
        <v>84.175</v>
      </c>
      <c r="I5" s="6">
        <v>80.965</v>
      </c>
      <c r="J5" s="6">
        <v>89.84</v>
      </c>
      <c r="K5" s="6">
        <v>88.04</v>
      </c>
      <c r="L5" s="6">
        <v>70.015</v>
      </c>
      <c r="M5" s="6">
        <v>74.24</v>
      </c>
      <c r="N5" s="6">
        <v>77.96</v>
      </c>
      <c r="O5" s="6">
        <v>78.56</v>
      </c>
      <c r="P5" s="6">
        <v>75.74</v>
      </c>
      <c r="Q5" s="6">
        <v>78.61</v>
      </c>
    </row>
    <row r="6" spans="1:17">
      <c r="A6" s="5">
        <v>20230803</v>
      </c>
      <c r="B6" s="6">
        <v>81.55</v>
      </c>
      <c r="C6" s="6">
        <v>85.14</v>
      </c>
      <c r="D6" s="6">
        <v>84.05</v>
      </c>
      <c r="E6" s="6">
        <v>612.6</v>
      </c>
      <c r="F6" s="6">
        <v>83.98</v>
      </c>
      <c r="G6" s="6">
        <v>84.09</v>
      </c>
      <c r="H6" s="6">
        <v>85.8</v>
      </c>
      <c r="I6" s="6">
        <v>78.72</v>
      </c>
      <c r="J6" s="6">
        <v>87.47</v>
      </c>
      <c r="K6" s="6">
        <v>85.62</v>
      </c>
      <c r="L6" s="6">
        <v>67.725</v>
      </c>
      <c r="M6" s="6">
        <v>75.7</v>
      </c>
      <c r="N6" s="6">
        <v>75.79</v>
      </c>
      <c r="O6" s="6">
        <v>76.39</v>
      </c>
      <c r="P6" s="6">
        <v>73.32</v>
      </c>
      <c r="Q6" s="6">
        <v>76.29</v>
      </c>
    </row>
    <row r="7" spans="1:17">
      <c r="A7" s="5">
        <v>20230804</v>
      </c>
      <c r="B7" s="6">
        <v>82.82</v>
      </c>
      <c r="C7" s="6">
        <v>86.24</v>
      </c>
      <c r="D7" s="6">
        <v>87.13</v>
      </c>
      <c r="E7" s="6">
        <v>616.9</v>
      </c>
      <c r="F7" s="6">
        <v>87.105</v>
      </c>
      <c r="G7" s="6">
        <v>87.14</v>
      </c>
      <c r="H7" s="6">
        <v>86.86</v>
      </c>
      <c r="I7" s="6">
        <v>81.51</v>
      </c>
      <c r="J7" s="6">
        <v>90.19</v>
      </c>
      <c r="K7" s="6">
        <v>88.34</v>
      </c>
      <c r="L7" s="6">
        <v>70.415</v>
      </c>
      <c r="M7" s="6">
        <v>76.73</v>
      </c>
      <c r="N7" s="6">
        <v>78.59</v>
      </c>
      <c r="O7" s="6">
        <v>79.19</v>
      </c>
      <c r="P7" s="6">
        <v>75.94</v>
      </c>
      <c r="Q7" s="6">
        <v>78.99</v>
      </c>
    </row>
    <row r="8" spans="1:17">
      <c r="A8" s="5">
        <v>20230807</v>
      </c>
      <c r="B8" s="6">
        <v>81.94</v>
      </c>
      <c r="C8" s="6">
        <v>85.34</v>
      </c>
      <c r="D8" s="6">
        <v>87.75</v>
      </c>
      <c r="E8" s="6">
        <v>626.2</v>
      </c>
      <c r="F8" s="6">
        <v>87.74</v>
      </c>
      <c r="G8" s="6">
        <v>87.86</v>
      </c>
      <c r="H8" s="6">
        <v>86.55</v>
      </c>
      <c r="I8" s="6">
        <v>82.115</v>
      </c>
      <c r="J8" s="6">
        <v>90.67</v>
      </c>
      <c r="K8" s="6">
        <v>90.67</v>
      </c>
      <c r="L8" s="6">
        <v>71.345</v>
      </c>
      <c r="M8" s="6">
        <v>76.2</v>
      </c>
      <c r="N8" s="6">
        <v>79.18</v>
      </c>
      <c r="O8" s="6">
        <v>79.78</v>
      </c>
      <c r="P8" s="6">
        <v>76.47</v>
      </c>
      <c r="Q8" s="6">
        <v>79.63</v>
      </c>
    </row>
    <row r="9" spans="1:17">
      <c r="A9" s="5">
        <v>20230808</v>
      </c>
      <c r="B9" s="6">
        <v>82.92</v>
      </c>
      <c r="C9" s="6">
        <v>86.17</v>
      </c>
      <c r="D9" s="6">
        <v>86.15</v>
      </c>
      <c r="E9" s="6">
        <v>625.1</v>
      </c>
      <c r="F9" s="6">
        <v>87.1</v>
      </c>
      <c r="G9" s="6">
        <v>87.1</v>
      </c>
      <c r="H9" s="6">
        <v>86.655</v>
      </c>
      <c r="I9" s="6">
        <v>82.115</v>
      </c>
      <c r="J9" s="6">
        <v>90.07</v>
      </c>
      <c r="K9" s="6">
        <v>88.22</v>
      </c>
      <c r="L9" s="6">
        <v>71.345</v>
      </c>
      <c r="M9" s="6"/>
      <c r="N9" s="6">
        <v>78.72</v>
      </c>
      <c r="O9" s="6">
        <v>79.32</v>
      </c>
      <c r="P9" s="6">
        <v>75.97</v>
      </c>
      <c r="Q9" s="6">
        <v>78.97</v>
      </c>
    </row>
    <row r="10" spans="1:17">
      <c r="A10" s="5">
        <v>20230809</v>
      </c>
      <c r="B10" s="6">
        <v>84.4</v>
      </c>
      <c r="C10" s="6">
        <v>87.55</v>
      </c>
      <c r="D10" s="6">
        <v>87.86</v>
      </c>
      <c r="E10" s="6">
        <v>624.2</v>
      </c>
      <c r="F10" s="6"/>
      <c r="G10" s="6"/>
      <c r="H10" s="6">
        <v>88.455</v>
      </c>
      <c r="I10" s="6"/>
      <c r="J10" s="6"/>
      <c r="K10" s="6"/>
      <c r="L10" s="6"/>
      <c r="M10" s="6"/>
      <c r="N10" s="6"/>
      <c r="O10" s="6"/>
      <c r="P10" s="6"/>
      <c r="Q10" s="6"/>
    </row>
    <row r="11" spans="1:17">
      <c r="A11" s="5">
        <v>20230810</v>
      </c>
      <c r="B11" s="6">
        <v>82.82</v>
      </c>
      <c r="C11" s="6">
        <v>86.4</v>
      </c>
      <c r="D11" s="6">
        <v>89.03</v>
      </c>
      <c r="E11" s="6">
        <v>637.7</v>
      </c>
      <c r="F11" s="6">
        <v>89.04</v>
      </c>
      <c r="G11" s="6">
        <v>89.04</v>
      </c>
      <c r="H11" s="6">
        <v>88.27</v>
      </c>
      <c r="I11" s="6">
        <v>83.245</v>
      </c>
      <c r="J11" s="6">
        <v>92.23</v>
      </c>
      <c r="K11" s="6">
        <v>90.28</v>
      </c>
      <c r="L11" s="6">
        <v>72.36</v>
      </c>
      <c r="M11" s="6">
        <v>77.4</v>
      </c>
      <c r="N11" s="6">
        <v>80.62</v>
      </c>
      <c r="O11" s="6">
        <v>81.22</v>
      </c>
      <c r="P11" s="6">
        <v>78.03</v>
      </c>
      <c r="Q11" s="6">
        <v>80.82</v>
      </c>
    </row>
    <row r="12" spans="1:17">
      <c r="A12" s="5">
        <v>20230811</v>
      </c>
      <c r="B12" s="6">
        <v>83.19</v>
      </c>
      <c r="C12" s="6">
        <v>86.81</v>
      </c>
      <c r="D12" s="6">
        <v>87.92</v>
      </c>
      <c r="E12" s="6">
        <v>639</v>
      </c>
      <c r="F12" s="6">
        <v>87.89</v>
      </c>
      <c r="G12" s="6">
        <v>87.92</v>
      </c>
      <c r="H12" s="6">
        <v>88.425</v>
      </c>
      <c r="I12" s="6">
        <v>82.005</v>
      </c>
      <c r="J12" s="6">
        <v>91.18</v>
      </c>
      <c r="K12" s="6">
        <v>89.23</v>
      </c>
      <c r="L12" s="6">
        <v>71.24</v>
      </c>
      <c r="M12" s="6">
        <v>77.28</v>
      </c>
      <c r="N12" s="6">
        <v>79.52</v>
      </c>
      <c r="O12" s="6">
        <v>80.12</v>
      </c>
      <c r="P12" s="6">
        <v>76.98</v>
      </c>
      <c r="Q12" s="6">
        <v>79.67</v>
      </c>
    </row>
    <row r="13" spans="1:17">
      <c r="A13" s="5">
        <v>20230814</v>
      </c>
      <c r="B13" s="6">
        <v>82.51</v>
      </c>
      <c r="C13" s="6">
        <v>86.21</v>
      </c>
      <c r="D13" s="6">
        <v>87.69</v>
      </c>
      <c r="E13" s="6">
        <v>657.6</v>
      </c>
      <c r="F13" s="6">
        <v>87.6</v>
      </c>
      <c r="G13" s="6">
        <v>87.67</v>
      </c>
      <c r="H13" s="6">
        <v>87.815</v>
      </c>
      <c r="I13" s="6">
        <v>82.01</v>
      </c>
      <c r="J13" s="6">
        <v>90.94</v>
      </c>
      <c r="K13" s="6">
        <v>89.09</v>
      </c>
      <c r="L13" s="6">
        <v>71.505</v>
      </c>
      <c r="M13" s="6">
        <v>76.72</v>
      </c>
      <c r="N13" s="6">
        <v>79.32</v>
      </c>
      <c r="O13" s="6">
        <v>79.92</v>
      </c>
      <c r="P13" s="6">
        <v>76.79</v>
      </c>
      <c r="Q13" s="6">
        <v>79.42</v>
      </c>
    </row>
    <row r="14" spans="1:17">
      <c r="A14" s="5">
        <v>20230815</v>
      </c>
      <c r="B14" s="6">
        <v>80.99</v>
      </c>
      <c r="C14" s="6">
        <v>84.89</v>
      </c>
      <c r="D14" s="6">
        <v>87.19</v>
      </c>
      <c r="E14" s="6">
        <v>658.5</v>
      </c>
      <c r="F14" s="6">
        <v>87.15</v>
      </c>
      <c r="G14" s="6">
        <v>87.21</v>
      </c>
      <c r="H14" s="6">
        <v>86.195</v>
      </c>
      <c r="I14" s="6">
        <v>81.705</v>
      </c>
      <c r="J14" s="6">
        <v>90.55</v>
      </c>
      <c r="K14" s="6">
        <v>88.7</v>
      </c>
      <c r="L14" s="6">
        <v>71.28</v>
      </c>
      <c r="M14" s="6">
        <v>75.18</v>
      </c>
      <c r="N14" s="6">
        <v>78.81</v>
      </c>
      <c r="O14" s="6">
        <v>79.41</v>
      </c>
      <c r="P14" s="6">
        <v>76.4</v>
      </c>
      <c r="Q14" s="6">
        <v>78.86</v>
      </c>
    </row>
    <row r="15" spans="1:17">
      <c r="A15" s="5">
        <v>20230816</v>
      </c>
      <c r="B15" s="6">
        <v>79.38</v>
      </c>
      <c r="C15" s="6">
        <v>83.45</v>
      </c>
      <c r="D15" s="6">
        <v>86.09</v>
      </c>
      <c r="E15" s="6">
        <v>656.1</v>
      </c>
      <c r="F15" s="6">
        <v>86.05</v>
      </c>
      <c r="G15" s="6">
        <v>86.05</v>
      </c>
      <c r="H15" s="6">
        <v>86.11</v>
      </c>
      <c r="I15" s="6">
        <v>80.955</v>
      </c>
      <c r="J15" s="6">
        <v>89.59</v>
      </c>
      <c r="K15" s="6">
        <v>89.59</v>
      </c>
      <c r="L15" s="6">
        <v>70.84</v>
      </c>
      <c r="M15" s="6">
        <v>75.48</v>
      </c>
      <c r="N15" s="6">
        <v>77.91</v>
      </c>
      <c r="O15" s="6">
        <v>78.51</v>
      </c>
      <c r="P15" s="6">
        <v>75.54</v>
      </c>
      <c r="Q15" s="6">
        <v>77.71</v>
      </c>
    </row>
    <row r="16" spans="1:17">
      <c r="A16" s="5">
        <v>20230817</v>
      </c>
      <c r="B16" s="6">
        <v>80.39</v>
      </c>
      <c r="C16" s="6">
        <v>84.12</v>
      </c>
      <c r="D16" s="6">
        <v>85</v>
      </c>
      <c r="E16" s="6">
        <v>656.4</v>
      </c>
      <c r="F16" s="6">
        <v>84.95</v>
      </c>
      <c r="G16" s="6">
        <v>84.95</v>
      </c>
      <c r="H16" s="6">
        <v>86.03</v>
      </c>
      <c r="I16" s="6">
        <v>79.775</v>
      </c>
      <c r="J16" s="6">
        <v>88.67</v>
      </c>
      <c r="K16" s="6">
        <v>87.57</v>
      </c>
      <c r="L16" s="6">
        <v>69.415</v>
      </c>
      <c r="M16" s="6">
        <v>75.35</v>
      </c>
      <c r="N16" s="6">
        <v>76.82</v>
      </c>
      <c r="O16" s="6">
        <v>77.42</v>
      </c>
      <c r="P16" s="6">
        <v>74.47</v>
      </c>
      <c r="Q16" s="6">
        <v>76.62</v>
      </c>
    </row>
    <row r="17" spans="1:17">
      <c r="A17" s="5">
        <v>20230818</v>
      </c>
      <c r="B17" s="6">
        <v>81.25</v>
      </c>
      <c r="C17" s="6">
        <v>84.8</v>
      </c>
      <c r="D17" s="6">
        <v>85.45</v>
      </c>
      <c r="E17" s="6">
        <v>640.3</v>
      </c>
      <c r="F17" s="6">
        <v>85.4</v>
      </c>
      <c r="G17" s="6">
        <v>85.4</v>
      </c>
      <c r="H17" s="6">
        <v>85.76</v>
      </c>
      <c r="I17" s="6">
        <v>80.19</v>
      </c>
      <c r="J17" s="6">
        <v>88.96</v>
      </c>
      <c r="K17" s="6">
        <v>88.21</v>
      </c>
      <c r="L17" s="6">
        <v>69.49</v>
      </c>
      <c r="M17" s="6">
        <v>75.05</v>
      </c>
      <c r="N17" s="6">
        <v>78.21</v>
      </c>
      <c r="O17" s="6">
        <v>78.81</v>
      </c>
      <c r="P17" s="6">
        <v>74.66</v>
      </c>
      <c r="Q17" s="6">
        <v>77.11</v>
      </c>
    </row>
    <row r="18" spans="1:17">
      <c r="A18" s="5">
        <v>20230821</v>
      </c>
      <c r="B18" s="6">
        <v>80.72</v>
      </c>
      <c r="C18" s="6">
        <v>84.46</v>
      </c>
      <c r="D18" s="6">
        <v>86.94</v>
      </c>
      <c r="E18" s="6">
        <v>641.1</v>
      </c>
      <c r="F18" s="6">
        <v>86.94</v>
      </c>
      <c r="G18" s="6">
        <v>87.03</v>
      </c>
      <c r="H18" s="6">
        <v>86.4</v>
      </c>
      <c r="I18" s="6">
        <v>82.075</v>
      </c>
      <c r="J18" s="6">
        <v>90.81</v>
      </c>
      <c r="K18" s="6">
        <v>90.11</v>
      </c>
      <c r="L18" s="6">
        <v>71.445</v>
      </c>
      <c r="M18" s="6">
        <v>75.89</v>
      </c>
      <c r="N18" s="6">
        <v>80.66</v>
      </c>
      <c r="O18" s="6">
        <v>81.26</v>
      </c>
      <c r="P18" s="6">
        <v>76.26</v>
      </c>
      <c r="Q18" s="6">
        <v>78.71</v>
      </c>
    </row>
    <row r="19" spans="1:17">
      <c r="A19" s="5">
        <v>20230822</v>
      </c>
      <c r="B19" s="6">
        <v>80.35</v>
      </c>
      <c r="C19" s="6">
        <v>84.03</v>
      </c>
      <c r="D19" s="6">
        <v>85.81</v>
      </c>
      <c r="E19" s="6">
        <v>646.1</v>
      </c>
      <c r="F19" s="6">
        <v>85.75</v>
      </c>
      <c r="G19" s="6">
        <v>85.79</v>
      </c>
      <c r="H19" s="6">
        <v>85.32</v>
      </c>
      <c r="I19" s="6">
        <v>81.375</v>
      </c>
      <c r="J19" s="6">
        <v>90.03</v>
      </c>
      <c r="K19" s="6">
        <v>89.38</v>
      </c>
      <c r="L19" s="6">
        <v>71.21</v>
      </c>
      <c r="M19" s="6">
        <v>75.05</v>
      </c>
      <c r="N19" s="6">
        <v>80.39</v>
      </c>
      <c r="O19" s="6">
        <v>80.99</v>
      </c>
      <c r="P19" s="6">
        <v>75.18</v>
      </c>
      <c r="Q19" s="6">
        <v>77.59</v>
      </c>
    </row>
    <row r="20" spans="1:17">
      <c r="A20" s="5">
        <v>20230823</v>
      </c>
      <c r="B20" s="6">
        <v>78.89</v>
      </c>
      <c r="C20" s="6">
        <v>83.21</v>
      </c>
      <c r="D20" s="6">
        <v>85.34</v>
      </c>
      <c r="E20" s="6">
        <v>637.2</v>
      </c>
      <c r="F20" s="6">
        <v>85.35</v>
      </c>
      <c r="G20" s="6">
        <v>85.43</v>
      </c>
      <c r="H20" s="6">
        <v>84.14</v>
      </c>
      <c r="I20" s="6">
        <v>81.1</v>
      </c>
      <c r="J20" s="6">
        <v>89.55</v>
      </c>
      <c r="K20" s="6">
        <v>89</v>
      </c>
      <c r="L20" s="6">
        <v>71.155</v>
      </c>
      <c r="M20" s="6">
        <v>74.33</v>
      </c>
      <c r="N20" s="6">
        <v>80.18</v>
      </c>
      <c r="O20" s="6">
        <v>80.78</v>
      </c>
      <c r="P20" s="6">
        <v>74.7</v>
      </c>
      <c r="Q20" s="6">
        <v>77.18</v>
      </c>
    </row>
    <row r="21" spans="1:17">
      <c r="A21" s="5">
        <v>20230824</v>
      </c>
      <c r="B21" s="6">
        <v>79.05</v>
      </c>
      <c r="C21" s="6">
        <v>83.36</v>
      </c>
      <c r="D21" s="6">
        <v>85.19</v>
      </c>
      <c r="E21" s="6">
        <v>625.1</v>
      </c>
      <c r="F21" s="6">
        <v>85.1</v>
      </c>
      <c r="G21" s="6">
        <v>85.21</v>
      </c>
      <c r="H21" s="6">
        <v>83.975</v>
      </c>
      <c r="I21" s="6">
        <v>80.67</v>
      </c>
      <c r="J21" s="6">
        <v>88.93</v>
      </c>
      <c r="K21" s="6">
        <v>88.48</v>
      </c>
      <c r="L21" s="6">
        <v>70.825</v>
      </c>
      <c r="M21" s="6">
        <v>74.21</v>
      </c>
      <c r="N21" s="6">
        <v>79.91</v>
      </c>
      <c r="O21" s="6">
        <v>80.51</v>
      </c>
      <c r="P21" s="6">
        <v>74.08</v>
      </c>
      <c r="Q21" s="6">
        <v>77.31</v>
      </c>
    </row>
    <row r="22" spans="1:17">
      <c r="A22" s="5">
        <v>20230825</v>
      </c>
      <c r="B22" s="6">
        <v>79.83</v>
      </c>
      <c r="C22" s="6">
        <v>84.48</v>
      </c>
      <c r="D22" s="6">
        <v>86.39</v>
      </c>
      <c r="E22" s="6">
        <v>627.2</v>
      </c>
      <c r="F22" s="6">
        <v>86.2</v>
      </c>
      <c r="G22" s="6">
        <v>86.54</v>
      </c>
      <c r="H22" s="6">
        <v>85.235</v>
      </c>
      <c r="I22" s="6">
        <v>81.94</v>
      </c>
      <c r="J22" s="6">
        <v>90.16</v>
      </c>
      <c r="K22" s="6">
        <v>89.61</v>
      </c>
      <c r="L22" s="6">
        <v>71.975</v>
      </c>
      <c r="M22" s="6">
        <v>75.16</v>
      </c>
      <c r="N22" s="6">
        <v>81.17</v>
      </c>
      <c r="O22" s="6">
        <v>81.77</v>
      </c>
      <c r="P22" s="6">
        <v>75.26</v>
      </c>
      <c r="Q22" s="6">
        <v>79.02</v>
      </c>
    </row>
    <row r="23" spans="1:17">
      <c r="A23" s="5">
        <v>20230828</v>
      </c>
      <c r="B23" s="6">
        <v>80.1</v>
      </c>
      <c r="C23" s="6">
        <v>84.42</v>
      </c>
      <c r="D23" s="6">
        <v>86.82</v>
      </c>
      <c r="E23" s="6">
        <v>636.1</v>
      </c>
      <c r="F23" s="6">
        <v>86.3</v>
      </c>
      <c r="G23" s="6">
        <v>86.7</v>
      </c>
      <c r="H23" s="6"/>
      <c r="I23" s="6">
        <v>82.13</v>
      </c>
      <c r="J23" s="6">
        <v>90.87</v>
      </c>
      <c r="K23" s="6">
        <v>90.22</v>
      </c>
      <c r="L23" s="6">
        <v>71.75</v>
      </c>
      <c r="M23" s="6"/>
      <c r="N23" s="6"/>
      <c r="O23" s="6"/>
      <c r="P23" s="6"/>
      <c r="Q23" s="6">
        <v>79.2</v>
      </c>
    </row>
    <row r="24" spans="1:17">
      <c r="A24" s="5">
        <v>20230829</v>
      </c>
      <c r="B24" s="6">
        <v>81.16</v>
      </c>
      <c r="C24" s="6">
        <v>85.49</v>
      </c>
      <c r="D24" s="6">
        <v>86.48</v>
      </c>
      <c r="E24" s="6">
        <v>637.5</v>
      </c>
      <c r="F24" s="6">
        <v>86.1</v>
      </c>
      <c r="G24" s="6">
        <v>86.5</v>
      </c>
      <c r="H24" s="6">
        <v>85.865</v>
      </c>
      <c r="I24" s="6">
        <v>82.175</v>
      </c>
      <c r="J24" s="6">
        <v>90.59</v>
      </c>
      <c r="K24" s="6">
        <v>89.94</v>
      </c>
      <c r="L24" s="6">
        <v>89.94</v>
      </c>
      <c r="M24" s="6">
        <v>75.97</v>
      </c>
      <c r="N24" s="6">
        <v>81.16</v>
      </c>
      <c r="O24" s="6">
        <v>81.76</v>
      </c>
      <c r="P24" s="6">
        <v>75.64</v>
      </c>
      <c r="Q24" s="6">
        <v>79.06</v>
      </c>
    </row>
    <row r="25" spans="1:17">
      <c r="A25" s="5">
        <v>20230830</v>
      </c>
      <c r="B25" s="6">
        <v>81.63</v>
      </c>
      <c r="C25" s="6">
        <v>85.86</v>
      </c>
      <c r="D25" s="6">
        <v>87.13</v>
      </c>
      <c r="E25" s="6">
        <v>637</v>
      </c>
      <c r="F25" s="6">
        <v>86.79</v>
      </c>
      <c r="G25" s="6">
        <v>87.19</v>
      </c>
      <c r="H25" s="6">
        <v>86.095</v>
      </c>
      <c r="I25" s="6">
        <v>83.035</v>
      </c>
      <c r="J25" s="6">
        <v>91.54</v>
      </c>
      <c r="K25" s="6">
        <v>90.89</v>
      </c>
      <c r="L25" s="6">
        <v>73.12</v>
      </c>
      <c r="M25" s="6">
        <v>76.22</v>
      </c>
      <c r="N25" s="6">
        <v>81.99</v>
      </c>
      <c r="O25" s="6">
        <v>82.59</v>
      </c>
      <c r="P25" s="6">
        <v>76.59</v>
      </c>
      <c r="Q25" s="6">
        <v>80.14</v>
      </c>
    </row>
    <row r="26" spans="1:17">
      <c r="A26" s="5">
        <v>20230831</v>
      </c>
      <c r="B26" s="6">
        <v>83.63</v>
      </c>
      <c r="C26" s="6">
        <v>86.86</v>
      </c>
      <c r="D26" s="6">
        <v>87.49</v>
      </c>
      <c r="E26" s="6">
        <v>643.6</v>
      </c>
      <c r="F26" s="6">
        <v>87.54</v>
      </c>
      <c r="G26" s="6">
        <v>87.94</v>
      </c>
      <c r="H26" s="6">
        <v>87.36</v>
      </c>
      <c r="I26" s="6">
        <v>83.73</v>
      </c>
      <c r="J26" s="6">
        <v>91.79</v>
      </c>
      <c r="K26" s="6">
        <v>91.14</v>
      </c>
      <c r="L26" s="6">
        <v>74.4</v>
      </c>
      <c r="M26" s="6">
        <v>77.51</v>
      </c>
      <c r="N26" s="6">
        <v>82.62</v>
      </c>
      <c r="O26" s="6">
        <v>83.22</v>
      </c>
      <c r="P26" s="6">
        <v>76.89</v>
      </c>
      <c r="Q26" s="6">
        <v>80.77</v>
      </c>
    </row>
    <row r="27" spans="1:17">
      <c r="A27" s="7" t="s">
        <v>17</v>
      </c>
      <c r="B27" s="8">
        <f>AVERAGE(B23:B26)</f>
        <v>81.63</v>
      </c>
      <c r="C27" s="8">
        <f t="shared" ref="C27:Q27" si="0">AVERAGE(C23:C26)</f>
        <v>85.6575</v>
      </c>
      <c r="D27" s="8">
        <f t="shared" si="0"/>
        <v>86.98</v>
      </c>
      <c r="E27" s="8">
        <f t="shared" si="0"/>
        <v>638.55</v>
      </c>
      <c r="F27" s="8">
        <f t="shared" si="0"/>
        <v>86.6825</v>
      </c>
      <c r="G27" s="8">
        <f t="shared" si="0"/>
        <v>87.0825</v>
      </c>
      <c r="H27" s="8">
        <f t="shared" si="0"/>
        <v>86.44</v>
      </c>
      <c r="I27" s="8">
        <f t="shared" si="0"/>
        <v>82.7675</v>
      </c>
      <c r="J27" s="8">
        <f t="shared" si="0"/>
        <v>91.1975</v>
      </c>
      <c r="K27" s="8">
        <f t="shared" si="0"/>
        <v>90.5475</v>
      </c>
      <c r="L27" s="8">
        <f t="shared" si="0"/>
        <v>77.3025</v>
      </c>
      <c r="M27" s="8">
        <f t="shared" si="0"/>
        <v>76.5666666666667</v>
      </c>
      <c r="N27" s="8">
        <f t="shared" si="0"/>
        <v>81.9233333333333</v>
      </c>
      <c r="O27" s="8">
        <f t="shared" si="0"/>
        <v>82.5233333333333</v>
      </c>
      <c r="P27" s="8">
        <f t="shared" si="0"/>
        <v>76.3733333333333</v>
      </c>
      <c r="Q27" s="8">
        <f t="shared" si="0"/>
        <v>79.7925</v>
      </c>
    </row>
    <row r="28" ht="22.5" spans="1:17">
      <c r="A28" s="3" t="s">
        <v>30</v>
      </c>
      <c r="B28" s="9">
        <f>AVERAGE(B4:B26)</f>
        <v>81.3208695652174</v>
      </c>
      <c r="C28" s="9">
        <f t="shared" ref="C28:Q28" si="1">AVERAGE(C4:C26)</f>
        <v>85.1043478260869</v>
      </c>
      <c r="D28" s="9">
        <f t="shared" si="1"/>
        <v>86.5678260869565</v>
      </c>
      <c r="E28" s="9">
        <f t="shared" si="1"/>
        <v>635.617391304348</v>
      </c>
      <c r="F28" s="9">
        <f t="shared" si="1"/>
        <v>86.4645454545454</v>
      </c>
      <c r="G28" s="9">
        <f t="shared" si="1"/>
        <v>86.5904545454546</v>
      </c>
      <c r="H28" s="9">
        <f t="shared" si="1"/>
        <v>86.2165909090909</v>
      </c>
      <c r="I28" s="9">
        <f t="shared" si="1"/>
        <v>81.5459090909091</v>
      </c>
      <c r="J28" s="9">
        <f t="shared" si="1"/>
        <v>90.1913636363636</v>
      </c>
      <c r="K28" s="9">
        <f t="shared" si="1"/>
        <v>89.1004545454546</v>
      </c>
      <c r="L28" s="9">
        <f t="shared" si="1"/>
        <v>71.9354545454545</v>
      </c>
      <c r="M28" s="9">
        <f t="shared" si="1"/>
        <v>75.7695</v>
      </c>
      <c r="N28" s="9">
        <f t="shared" si="1"/>
        <v>79.3909523809524</v>
      </c>
      <c r="O28" s="9">
        <f t="shared" si="1"/>
        <v>79.9909523809524</v>
      </c>
      <c r="P28" s="9">
        <f t="shared" si="1"/>
        <v>75.737619047619</v>
      </c>
      <c r="Q28" s="9">
        <f t="shared" si="1"/>
        <v>78.6345454545454</v>
      </c>
    </row>
    <row r="29" ht="23.25" spans="1:17">
      <c r="A29" s="10" t="s">
        <v>19</v>
      </c>
      <c r="B29" s="24">
        <f>(B28-B2)/B2</f>
        <v>0.0695259331647791</v>
      </c>
      <c r="C29" s="24">
        <f>(C28-C2)/C2</f>
        <v>0.0616809858543778</v>
      </c>
      <c r="D29" s="24">
        <f t="shared" ref="D29:Q29" si="2">(D28-D2)/D2</f>
        <v>0.0748617035470066</v>
      </c>
      <c r="E29" s="24">
        <f t="shared" si="2"/>
        <v>0.0983719578186631</v>
      </c>
      <c r="F29" s="24">
        <f t="shared" si="2"/>
        <v>0.0748280869481689</v>
      </c>
      <c r="G29" s="24">
        <f t="shared" si="2"/>
        <v>0.075705544732565</v>
      </c>
      <c r="H29" s="24">
        <f t="shared" si="2"/>
        <v>0.0770150195653444</v>
      </c>
      <c r="I29" s="24">
        <f t="shared" si="2"/>
        <v>0.0852495434942862</v>
      </c>
      <c r="J29" s="24">
        <f t="shared" si="2"/>
        <v>0.0833053852237434</v>
      </c>
      <c r="K29" s="24">
        <f t="shared" si="2"/>
        <v>0.0807103885677501</v>
      </c>
      <c r="L29" s="24">
        <f t="shared" si="2"/>
        <v>0.0992781664110389</v>
      </c>
      <c r="M29" s="24">
        <f t="shared" si="2"/>
        <v>0.100683794384378</v>
      </c>
      <c r="N29" s="24">
        <f t="shared" si="2"/>
        <v>0.0979900159376196</v>
      </c>
      <c r="O29" s="24">
        <f t="shared" si="2"/>
        <v>0.0971835769617639</v>
      </c>
      <c r="P29" s="24">
        <f t="shared" si="2"/>
        <v>0.107722416458888</v>
      </c>
      <c r="Q29" s="24">
        <f t="shared" si="2"/>
        <v>0.0931803587688449</v>
      </c>
    </row>
    <row r="30" ht="15"/>
  </sheetData>
  <pageMargins left="0.75" right="0.75" top="1" bottom="1" header="0.5" footer="0.5"/>
  <pageSetup paperSize="9" orientation="portrait" horizontalDpi="200" verticalDpi="300"/>
  <headerFooter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/>
  <dimension ref="A1:Q27"/>
  <sheetViews>
    <sheetView workbookViewId="0">
      <selection activeCell="E25" sqref="E25"/>
    </sheetView>
  </sheetViews>
  <sheetFormatPr defaultColWidth="9" defaultRowHeight="14.25"/>
  <cols>
    <col min="18" max="18" width="12.625"/>
  </cols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33</v>
      </c>
      <c r="B2" s="9">
        <v>70.2742857142857</v>
      </c>
      <c r="C2" s="9">
        <v>74.9786363636364</v>
      </c>
      <c r="D2" s="9">
        <v>74.7836363636363</v>
      </c>
      <c r="E2" s="9">
        <v>527.385</v>
      </c>
      <c r="F2" s="9">
        <v>74.99175</v>
      </c>
      <c r="G2" s="9">
        <v>75.005</v>
      </c>
      <c r="H2" s="9">
        <v>74.6959090909091</v>
      </c>
      <c r="I2" s="9">
        <v>69.80025</v>
      </c>
      <c r="J2" s="9">
        <v>77.6595</v>
      </c>
      <c r="K2" s="9">
        <v>78.172</v>
      </c>
      <c r="L2" s="9">
        <v>59.4075</v>
      </c>
      <c r="M2" s="9">
        <v>63.588</v>
      </c>
      <c r="N2" s="9">
        <v>68.304</v>
      </c>
      <c r="O2" s="9">
        <v>69.469</v>
      </c>
      <c r="P2" s="9">
        <v>63.412</v>
      </c>
      <c r="Q2" s="9">
        <v>65.269</v>
      </c>
    </row>
    <row r="3" spans="1:17">
      <c r="A3" s="5">
        <v>20230703</v>
      </c>
      <c r="B3" s="6">
        <v>69.79</v>
      </c>
      <c r="C3" s="6">
        <v>74.65</v>
      </c>
      <c r="D3" s="6">
        <v>75.36</v>
      </c>
      <c r="E3" s="6">
        <v>551.3</v>
      </c>
      <c r="F3" s="6">
        <v>75.2</v>
      </c>
      <c r="G3" s="6">
        <v>75.3</v>
      </c>
      <c r="H3" s="6">
        <v>75.53</v>
      </c>
      <c r="I3" s="6">
        <v>70.485</v>
      </c>
      <c r="J3" s="6">
        <v>78.29</v>
      </c>
      <c r="K3" s="6">
        <v>78.09</v>
      </c>
      <c r="L3" s="6">
        <v>60.65</v>
      </c>
      <c r="M3" s="6">
        <v>62.28</v>
      </c>
      <c r="N3" s="6">
        <v>67.25</v>
      </c>
      <c r="O3" s="6">
        <v>67.85</v>
      </c>
      <c r="P3" s="6">
        <v>61.44</v>
      </c>
      <c r="Q3" s="6">
        <v>66.45</v>
      </c>
    </row>
    <row r="4" spans="1:17">
      <c r="A4" s="5">
        <v>20230704</v>
      </c>
      <c r="B4" s="6"/>
      <c r="C4" s="6">
        <v>76.25</v>
      </c>
      <c r="D4" s="6">
        <v>75.27</v>
      </c>
      <c r="E4" s="6">
        <v>551.9</v>
      </c>
      <c r="F4" s="6">
        <v>75.195</v>
      </c>
      <c r="G4" s="6">
        <v>75.28</v>
      </c>
      <c r="H4" s="6">
        <v>75.995</v>
      </c>
      <c r="I4" s="6">
        <v>70.535</v>
      </c>
      <c r="J4" s="6">
        <v>78.27</v>
      </c>
      <c r="K4" s="6">
        <v>78.07</v>
      </c>
      <c r="L4" s="6">
        <v>60.715</v>
      </c>
      <c r="M4" s="6">
        <v>62.69</v>
      </c>
      <c r="N4" s="6">
        <v>67.13</v>
      </c>
      <c r="O4" s="6">
        <v>67.73</v>
      </c>
      <c r="P4" s="6">
        <v>61.47</v>
      </c>
      <c r="Q4" s="6">
        <v>66.43</v>
      </c>
    </row>
    <row r="5" spans="1:17">
      <c r="A5" s="5">
        <v>20230705</v>
      </c>
      <c r="B5" s="6">
        <v>71.79</v>
      </c>
      <c r="C5" s="6">
        <v>76.65</v>
      </c>
      <c r="D5" s="6">
        <v>75.52</v>
      </c>
      <c r="E5" s="6">
        <v>553.7</v>
      </c>
      <c r="F5" s="6">
        <v>75.43</v>
      </c>
      <c r="G5" s="6">
        <v>75.53</v>
      </c>
      <c r="H5" s="6">
        <v>76.855</v>
      </c>
      <c r="I5" s="6">
        <v>71.115</v>
      </c>
      <c r="J5" s="6">
        <v>78.61</v>
      </c>
      <c r="K5" s="6">
        <v>78.41</v>
      </c>
      <c r="L5" s="6">
        <v>61.39</v>
      </c>
      <c r="M5" s="6">
        <v>63.12</v>
      </c>
      <c r="N5" s="6">
        <v>67.3</v>
      </c>
      <c r="O5" s="6">
        <v>67.9</v>
      </c>
      <c r="P5" s="6">
        <v>61.76</v>
      </c>
      <c r="Q5" s="6">
        <v>66.95</v>
      </c>
    </row>
    <row r="6" spans="1:17">
      <c r="A6" s="5">
        <v>20230706</v>
      </c>
      <c r="B6" s="6">
        <v>71.8</v>
      </c>
      <c r="C6" s="6">
        <v>76.52</v>
      </c>
      <c r="D6" s="6">
        <v>77.32</v>
      </c>
      <c r="E6" s="6">
        <v>558.2</v>
      </c>
      <c r="F6" s="6">
        <v>77.3</v>
      </c>
      <c r="G6" s="6">
        <v>77.4</v>
      </c>
      <c r="H6" s="6">
        <v>75.585</v>
      </c>
      <c r="I6" s="6">
        <v>72.325</v>
      </c>
      <c r="J6" s="6">
        <v>79.91</v>
      </c>
      <c r="K6" s="6">
        <v>79.91</v>
      </c>
      <c r="L6" s="6">
        <v>62.465</v>
      </c>
      <c r="M6" s="6">
        <v>61.86</v>
      </c>
      <c r="N6" s="6">
        <v>68.82</v>
      </c>
      <c r="O6" s="6">
        <v>69.42</v>
      </c>
      <c r="P6" s="6">
        <v>63.01</v>
      </c>
      <c r="Q6" s="6">
        <v>68.62</v>
      </c>
    </row>
    <row r="7" spans="1:17">
      <c r="A7" s="5">
        <v>20230707</v>
      </c>
      <c r="B7" s="6">
        <v>73.86</v>
      </c>
      <c r="C7" s="6">
        <v>78.47</v>
      </c>
      <c r="D7" s="6">
        <v>77.89</v>
      </c>
      <c r="E7" s="6">
        <v>554.9</v>
      </c>
      <c r="F7" s="6">
        <v>77.85</v>
      </c>
      <c r="G7" s="6">
        <v>77.85</v>
      </c>
      <c r="H7" s="6">
        <v>77.94</v>
      </c>
      <c r="I7" s="6">
        <v>72.23</v>
      </c>
      <c r="J7" s="6">
        <v>79.82</v>
      </c>
      <c r="K7" s="6">
        <v>79.47</v>
      </c>
      <c r="L7" s="6">
        <v>62.425</v>
      </c>
      <c r="M7" s="6">
        <v>64.2</v>
      </c>
      <c r="N7" s="6">
        <v>69.04</v>
      </c>
      <c r="O7" s="6">
        <v>69.64</v>
      </c>
      <c r="P7" s="6">
        <v>62.97</v>
      </c>
      <c r="Q7" s="6">
        <v>68.79</v>
      </c>
    </row>
    <row r="8" spans="1:17">
      <c r="A8" s="5">
        <v>20230710</v>
      </c>
      <c r="B8" s="6">
        <v>72.99</v>
      </c>
      <c r="C8" s="6">
        <v>77.69</v>
      </c>
      <c r="D8" s="6">
        <v>78.29</v>
      </c>
      <c r="E8" s="6">
        <v>563.5</v>
      </c>
      <c r="F8" s="6">
        <v>78.27</v>
      </c>
      <c r="G8" s="6">
        <v>78.27</v>
      </c>
      <c r="H8" s="6">
        <v>78.79</v>
      </c>
      <c r="I8" s="6">
        <v>73.025</v>
      </c>
      <c r="J8" s="6">
        <v>80.99</v>
      </c>
      <c r="K8" s="6">
        <v>80.54</v>
      </c>
      <c r="L8" s="6">
        <v>63.11</v>
      </c>
      <c r="M8" s="6">
        <v>64.78</v>
      </c>
      <c r="N8" s="6">
        <v>69.86</v>
      </c>
      <c r="O8" s="6">
        <v>70.46</v>
      </c>
      <c r="P8" s="6">
        <v>64.14</v>
      </c>
      <c r="Q8" s="6">
        <v>69.46</v>
      </c>
    </row>
    <row r="9" spans="1:17">
      <c r="A9" s="5">
        <v>20230711</v>
      </c>
      <c r="B9" s="6">
        <v>74.83</v>
      </c>
      <c r="C9" s="6">
        <v>79.4</v>
      </c>
      <c r="D9" s="6">
        <v>78.8</v>
      </c>
      <c r="E9" s="6">
        <v>568.9</v>
      </c>
      <c r="F9" s="6">
        <v>78.8</v>
      </c>
      <c r="G9" s="6">
        <v>78.8</v>
      </c>
      <c r="H9" s="6">
        <v>79.53</v>
      </c>
      <c r="I9" s="6">
        <v>73.33</v>
      </c>
      <c r="J9" s="6">
        <v>81.64</v>
      </c>
      <c r="K9" s="6">
        <v>81.04</v>
      </c>
      <c r="L9" s="6">
        <v>63.425</v>
      </c>
      <c r="M9" s="6">
        <v>65.71</v>
      </c>
      <c r="N9" s="6">
        <v>70.61</v>
      </c>
      <c r="O9" s="6">
        <v>71.21</v>
      </c>
      <c r="P9" s="6">
        <v>64.94</v>
      </c>
      <c r="Q9" s="6">
        <v>70.01</v>
      </c>
    </row>
    <row r="10" spans="1:17">
      <c r="A10" s="5">
        <v>20230712</v>
      </c>
      <c r="B10" s="6">
        <v>75.75</v>
      </c>
      <c r="C10" s="6">
        <v>80.11</v>
      </c>
      <c r="D10" s="6">
        <v>79.91</v>
      </c>
      <c r="E10" s="6">
        <v>573.3</v>
      </c>
      <c r="F10" s="6">
        <v>79.9</v>
      </c>
      <c r="G10" s="6">
        <v>79.9</v>
      </c>
      <c r="H10" s="6">
        <v>80.25</v>
      </c>
      <c r="I10" s="6">
        <v>74.64</v>
      </c>
      <c r="J10" s="6">
        <v>82.71</v>
      </c>
      <c r="K10" s="6">
        <v>82.06</v>
      </c>
      <c r="L10" s="6">
        <v>65.13</v>
      </c>
      <c r="M10" s="6">
        <v>66.63</v>
      </c>
      <c r="N10" s="6">
        <v>71.65</v>
      </c>
      <c r="O10" s="6">
        <v>72.25</v>
      </c>
      <c r="P10" s="6">
        <v>66.11</v>
      </c>
      <c r="Q10" s="6">
        <v>71.05</v>
      </c>
    </row>
    <row r="11" spans="1:17">
      <c r="A11" s="5">
        <v>20230713</v>
      </c>
      <c r="B11" s="6">
        <v>76.89</v>
      </c>
      <c r="C11" s="6">
        <v>81.36</v>
      </c>
      <c r="D11" s="6">
        <v>81.05</v>
      </c>
      <c r="E11" s="6">
        <v>578.3</v>
      </c>
      <c r="F11" s="6">
        <v>81.1</v>
      </c>
      <c r="G11" s="6">
        <v>81.1</v>
      </c>
      <c r="H11" s="6">
        <v>80.37</v>
      </c>
      <c r="I11" s="6">
        <v>75.825</v>
      </c>
      <c r="J11" s="6">
        <v>83.93</v>
      </c>
      <c r="K11" s="6">
        <v>83.13</v>
      </c>
      <c r="L11" s="6">
        <v>66.4</v>
      </c>
      <c r="M11" s="6">
        <v>69.17</v>
      </c>
      <c r="N11" s="6">
        <v>72.82</v>
      </c>
      <c r="O11" s="6">
        <v>73.42</v>
      </c>
      <c r="P11" s="6">
        <v>69.03</v>
      </c>
      <c r="Q11" s="6">
        <v>72.17</v>
      </c>
    </row>
    <row r="12" spans="1:17">
      <c r="A12" s="5">
        <v>20230714</v>
      </c>
      <c r="B12" s="6">
        <v>75.42</v>
      </c>
      <c r="C12" s="6">
        <v>79.87</v>
      </c>
      <c r="D12" s="6">
        <v>82.07</v>
      </c>
      <c r="E12" s="6">
        <v>583.4</v>
      </c>
      <c r="F12" s="6">
        <v>81.94</v>
      </c>
      <c r="G12" s="6">
        <v>81.99</v>
      </c>
      <c r="H12" s="6">
        <v>79.795</v>
      </c>
      <c r="I12" s="6">
        <v>76.575</v>
      </c>
      <c r="J12" s="6">
        <v>84.47</v>
      </c>
      <c r="K12" s="6">
        <v>83.72</v>
      </c>
      <c r="L12" s="6">
        <v>67.305</v>
      </c>
      <c r="M12" s="6">
        <v>69.97</v>
      </c>
      <c r="N12" s="6">
        <v>73.66</v>
      </c>
      <c r="O12" s="6">
        <v>74.26</v>
      </c>
      <c r="P12" s="6">
        <v>70.92</v>
      </c>
      <c r="Q12" s="6">
        <v>72.96</v>
      </c>
    </row>
    <row r="13" spans="1:17">
      <c r="A13" s="5">
        <v>20230717</v>
      </c>
      <c r="B13" s="6">
        <v>74.15</v>
      </c>
      <c r="C13" s="6">
        <v>78.5</v>
      </c>
      <c r="D13" s="6">
        <v>79.61</v>
      </c>
      <c r="E13" s="6">
        <v>581.3</v>
      </c>
      <c r="F13" s="6">
        <v>79.46</v>
      </c>
      <c r="G13" s="6">
        <v>79.66</v>
      </c>
      <c r="H13" s="6">
        <v>78.635</v>
      </c>
      <c r="I13" s="6">
        <v>74.305</v>
      </c>
      <c r="J13" s="6">
        <v>82.32</v>
      </c>
      <c r="K13" s="6">
        <v>81.52</v>
      </c>
      <c r="L13" s="6">
        <v>65.015</v>
      </c>
      <c r="M13" s="6">
        <v>68.79</v>
      </c>
      <c r="N13" s="6">
        <v>71.51</v>
      </c>
      <c r="O13" s="6">
        <v>72.11</v>
      </c>
      <c r="P13" s="6">
        <v>68.57</v>
      </c>
      <c r="Q13" s="6">
        <v>70.81</v>
      </c>
    </row>
    <row r="14" spans="1:17">
      <c r="A14" s="5">
        <v>20230718</v>
      </c>
      <c r="B14" s="6">
        <v>75.75</v>
      </c>
      <c r="C14" s="6">
        <v>79.63</v>
      </c>
      <c r="D14" s="6">
        <v>79.66</v>
      </c>
      <c r="E14" s="6">
        <v>574.7</v>
      </c>
      <c r="F14" s="6">
        <v>79.6</v>
      </c>
      <c r="G14" s="6">
        <v>79.8</v>
      </c>
      <c r="H14" s="6">
        <v>79.41</v>
      </c>
      <c r="I14" s="6">
        <v>74.365</v>
      </c>
      <c r="J14" s="6">
        <v>82.26</v>
      </c>
      <c r="K14" s="6">
        <v>81.51</v>
      </c>
      <c r="L14" s="6">
        <v>65.315</v>
      </c>
      <c r="M14" s="6">
        <v>69.3</v>
      </c>
      <c r="N14" s="6">
        <v>71.65</v>
      </c>
      <c r="O14" s="6">
        <v>72.25</v>
      </c>
      <c r="P14" s="6">
        <v>68.46</v>
      </c>
      <c r="Q14" s="6">
        <v>70.95</v>
      </c>
    </row>
    <row r="15" spans="1:17">
      <c r="A15" s="5">
        <v>20230719</v>
      </c>
      <c r="B15" s="6">
        <v>75.35</v>
      </c>
      <c r="C15" s="6">
        <v>79.46</v>
      </c>
      <c r="D15" s="6">
        <v>81.02</v>
      </c>
      <c r="E15" s="6">
        <v>580.4</v>
      </c>
      <c r="F15" s="6">
        <v>81</v>
      </c>
      <c r="G15" s="6">
        <v>81.02</v>
      </c>
      <c r="H15" s="6">
        <v>80.21</v>
      </c>
      <c r="I15" s="6">
        <v>75.425</v>
      </c>
      <c r="J15" s="6">
        <v>83.4</v>
      </c>
      <c r="K15" s="6">
        <v>82.6</v>
      </c>
      <c r="L15" s="6">
        <v>66.225</v>
      </c>
      <c r="M15" s="6">
        <v>70.13</v>
      </c>
      <c r="N15" s="6">
        <v>72.92</v>
      </c>
      <c r="O15" s="6">
        <v>73.52</v>
      </c>
      <c r="P15" s="6">
        <v>69.6</v>
      </c>
      <c r="Q15" s="6">
        <v>72.27</v>
      </c>
    </row>
    <row r="16" spans="1:17">
      <c r="A16" s="5">
        <v>20230720</v>
      </c>
      <c r="B16" s="6">
        <v>75.63</v>
      </c>
      <c r="C16" s="6">
        <v>79.64</v>
      </c>
      <c r="D16" s="6">
        <v>81.07</v>
      </c>
      <c r="E16" s="6">
        <v>588.6</v>
      </c>
      <c r="F16" s="6">
        <v>81.05</v>
      </c>
      <c r="G16" s="6">
        <v>81.07</v>
      </c>
      <c r="H16" s="6">
        <v>79.115</v>
      </c>
      <c r="I16" s="6">
        <v>75.105</v>
      </c>
      <c r="J16" s="6">
        <v>83.49</v>
      </c>
      <c r="K16" s="6">
        <v>82.64</v>
      </c>
      <c r="L16" s="6">
        <v>65.69</v>
      </c>
      <c r="M16" s="6">
        <v>69.62</v>
      </c>
      <c r="N16" s="6">
        <v>72.97</v>
      </c>
      <c r="O16" s="6">
        <v>73.57</v>
      </c>
      <c r="P16" s="6">
        <v>70.14</v>
      </c>
      <c r="Q16" s="6">
        <v>72.37</v>
      </c>
    </row>
    <row r="17" spans="1:17">
      <c r="A17" s="5">
        <v>20230721</v>
      </c>
      <c r="B17" s="6">
        <v>77.07</v>
      </c>
      <c r="C17" s="6">
        <v>81.07</v>
      </c>
      <c r="D17" s="6">
        <v>81.65</v>
      </c>
      <c r="E17" s="6">
        <v>584</v>
      </c>
      <c r="F17" s="6">
        <v>81.74</v>
      </c>
      <c r="G17" s="6">
        <v>81.76</v>
      </c>
      <c r="H17" s="6">
        <v>80.365</v>
      </c>
      <c r="I17" s="6">
        <v>75.85</v>
      </c>
      <c r="J17" s="6">
        <v>84.02</v>
      </c>
      <c r="K17" s="6">
        <v>82.97</v>
      </c>
      <c r="L17" s="6">
        <v>66.32</v>
      </c>
      <c r="M17" s="6">
        <v>71.02</v>
      </c>
      <c r="N17" s="6">
        <v>73.51</v>
      </c>
      <c r="O17" s="6">
        <v>74.11</v>
      </c>
      <c r="P17" s="6">
        <v>70.77</v>
      </c>
      <c r="Q17" s="6">
        <v>73.11</v>
      </c>
    </row>
    <row r="18" spans="1:17">
      <c r="A18" s="5">
        <v>20230724</v>
      </c>
      <c r="B18" s="6">
        <v>78.74</v>
      </c>
      <c r="C18" s="6">
        <v>82.74</v>
      </c>
      <c r="D18" s="6">
        <v>82.56</v>
      </c>
      <c r="E18" s="6">
        <v>588.7</v>
      </c>
      <c r="F18" s="6">
        <v>82.51</v>
      </c>
      <c r="G18" s="6">
        <v>82.55</v>
      </c>
      <c r="H18" s="6">
        <v>82.465</v>
      </c>
      <c r="I18" s="6">
        <v>76.94</v>
      </c>
      <c r="J18" s="6">
        <v>85.16</v>
      </c>
      <c r="K18" s="6">
        <v>83.76</v>
      </c>
      <c r="L18" s="6">
        <v>67.235</v>
      </c>
      <c r="M18" s="6">
        <v>73.22</v>
      </c>
      <c r="N18" s="6">
        <v>74.41</v>
      </c>
      <c r="O18" s="6">
        <v>75.01</v>
      </c>
      <c r="P18" s="6">
        <v>71.61</v>
      </c>
      <c r="Q18" s="6">
        <v>73.96</v>
      </c>
    </row>
    <row r="19" spans="1:17">
      <c r="A19" s="5">
        <v>20230725</v>
      </c>
      <c r="B19" s="6">
        <v>79.63</v>
      </c>
      <c r="C19" s="6">
        <v>83.64</v>
      </c>
      <c r="D19" s="6">
        <v>84.26</v>
      </c>
      <c r="E19" s="6">
        <v>598.7</v>
      </c>
      <c r="F19" s="6">
        <v>84.255</v>
      </c>
      <c r="G19" s="6">
        <v>84.28</v>
      </c>
      <c r="H19" s="6">
        <v>82.935</v>
      </c>
      <c r="I19" s="6">
        <v>78.81</v>
      </c>
      <c r="J19" s="6">
        <v>86.77</v>
      </c>
      <c r="K19" s="6">
        <v>85.47</v>
      </c>
      <c r="L19" s="6">
        <v>68.935</v>
      </c>
      <c r="M19" s="6">
        <v>73.61</v>
      </c>
      <c r="N19" s="6">
        <v>76.03</v>
      </c>
      <c r="O19" s="6">
        <v>76.63</v>
      </c>
      <c r="P19" s="6">
        <v>73.32</v>
      </c>
      <c r="Q19" s="6">
        <v>76.03</v>
      </c>
    </row>
    <row r="20" spans="1:17">
      <c r="A20" s="5">
        <v>20230726</v>
      </c>
      <c r="B20" s="6">
        <v>78.78</v>
      </c>
      <c r="C20" s="6">
        <v>82.92</v>
      </c>
      <c r="D20" s="6">
        <v>84.36</v>
      </c>
      <c r="E20" s="6">
        <v>601.6</v>
      </c>
      <c r="F20" s="6">
        <v>84.3</v>
      </c>
      <c r="G20" s="6">
        <v>84.33</v>
      </c>
      <c r="H20" s="6">
        <v>83.82</v>
      </c>
      <c r="I20" s="6">
        <v>78.845</v>
      </c>
      <c r="J20" s="6">
        <v>87.01</v>
      </c>
      <c r="K20" s="6">
        <v>85.76</v>
      </c>
      <c r="L20" s="6">
        <v>69.015</v>
      </c>
      <c r="M20" s="6">
        <v>74.17</v>
      </c>
      <c r="N20" s="6">
        <v>76.03</v>
      </c>
      <c r="O20" s="6">
        <v>76.63</v>
      </c>
      <c r="P20" s="6">
        <v>73.56</v>
      </c>
      <c r="Q20" s="6">
        <v>76.18</v>
      </c>
    </row>
    <row r="21" spans="1:17">
      <c r="A21" s="5">
        <v>20230727</v>
      </c>
      <c r="B21" s="6">
        <v>80.09</v>
      </c>
      <c r="C21" s="6">
        <v>84.24</v>
      </c>
      <c r="D21" s="6">
        <v>84.34</v>
      </c>
      <c r="E21" s="6">
        <v>603.2</v>
      </c>
      <c r="F21" s="6">
        <v>84.1</v>
      </c>
      <c r="G21" s="6">
        <v>84.13</v>
      </c>
      <c r="H21" s="6">
        <v>83.835</v>
      </c>
      <c r="I21" s="6">
        <v>78.83</v>
      </c>
      <c r="J21" s="6">
        <v>87.72</v>
      </c>
      <c r="K21" s="6">
        <v>86.32</v>
      </c>
      <c r="L21" s="6">
        <v>68.79</v>
      </c>
      <c r="M21" s="6">
        <v>74.41</v>
      </c>
      <c r="N21" s="6">
        <v>76.42</v>
      </c>
      <c r="O21" s="6">
        <v>77.02</v>
      </c>
      <c r="P21" s="6">
        <v>74.07</v>
      </c>
      <c r="Q21" s="6">
        <v>76.62</v>
      </c>
    </row>
    <row r="22" spans="1:17">
      <c r="A22" s="5">
        <v>20230728</v>
      </c>
      <c r="B22" s="6">
        <v>80.58</v>
      </c>
      <c r="C22" s="6">
        <v>84.99</v>
      </c>
      <c r="D22" s="6">
        <v>85.26</v>
      </c>
      <c r="E22" s="6">
        <v>606.7</v>
      </c>
      <c r="F22" s="6">
        <v>84.7</v>
      </c>
      <c r="G22" s="6">
        <v>84.73</v>
      </c>
      <c r="H22" s="6">
        <v>83.995</v>
      </c>
      <c r="I22" s="6">
        <v>79.415</v>
      </c>
      <c r="J22" s="6">
        <v>88.23</v>
      </c>
      <c r="K22" s="6">
        <v>86.78</v>
      </c>
      <c r="L22" s="6">
        <v>69.34</v>
      </c>
      <c r="M22" s="6">
        <v>74.67</v>
      </c>
      <c r="N22" s="6">
        <v>77.06</v>
      </c>
      <c r="O22" s="6">
        <v>77.66</v>
      </c>
      <c r="P22" s="6">
        <v>74.53</v>
      </c>
      <c r="Q22" s="6">
        <v>77.21</v>
      </c>
    </row>
    <row r="23" spans="1:17">
      <c r="A23" s="5">
        <v>20230731</v>
      </c>
      <c r="B23" s="6">
        <v>81.8</v>
      </c>
      <c r="C23" s="6">
        <v>85.56</v>
      </c>
      <c r="D23" s="6">
        <v>86.04</v>
      </c>
      <c r="E23" s="6">
        <v>607.2</v>
      </c>
      <c r="F23" s="6">
        <v>85.645</v>
      </c>
      <c r="G23" s="6">
        <v>85.675</v>
      </c>
      <c r="H23" s="6">
        <v>85.655</v>
      </c>
      <c r="I23" s="6">
        <v>79.97</v>
      </c>
      <c r="J23" s="6">
        <v>89.35</v>
      </c>
      <c r="K23" s="6">
        <v>87.6</v>
      </c>
      <c r="L23" s="6">
        <v>69.32</v>
      </c>
      <c r="M23" s="6">
        <v>76.26</v>
      </c>
      <c r="N23" s="6">
        <v>77.77</v>
      </c>
      <c r="O23" s="6">
        <v>78.37</v>
      </c>
      <c r="P23" s="6">
        <v>75.4</v>
      </c>
      <c r="Q23" s="6">
        <v>78.17</v>
      </c>
    </row>
    <row r="24" spans="1:17">
      <c r="A24" s="7" t="s">
        <v>17</v>
      </c>
      <c r="B24" s="8">
        <f>AVERAGE(B23)</f>
        <v>81.8</v>
      </c>
      <c r="C24" s="8">
        <f t="shared" ref="C24:Q24" si="0">AVERAGE(C23)</f>
        <v>85.56</v>
      </c>
      <c r="D24" s="8">
        <f t="shared" si="0"/>
        <v>86.04</v>
      </c>
      <c r="E24" s="8">
        <f t="shared" si="0"/>
        <v>607.2</v>
      </c>
      <c r="F24" s="8">
        <f t="shared" si="0"/>
        <v>85.645</v>
      </c>
      <c r="G24" s="8">
        <f t="shared" si="0"/>
        <v>85.675</v>
      </c>
      <c r="H24" s="8">
        <f t="shared" si="0"/>
        <v>85.655</v>
      </c>
      <c r="I24" s="8">
        <f t="shared" si="0"/>
        <v>79.97</v>
      </c>
      <c r="J24" s="8">
        <f t="shared" si="0"/>
        <v>89.35</v>
      </c>
      <c r="K24" s="8">
        <f t="shared" si="0"/>
        <v>87.6</v>
      </c>
      <c r="L24" s="8">
        <f t="shared" si="0"/>
        <v>69.32</v>
      </c>
      <c r="M24" s="8">
        <f t="shared" si="0"/>
        <v>76.26</v>
      </c>
      <c r="N24" s="8">
        <f t="shared" si="0"/>
        <v>77.77</v>
      </c>
      <c r="O24" s="8">
        <f t="shared" si="0"/>
        <v>78.37</v>
      </c>
      <c r="P24" s="8">
        <f t="shared" si="0"/>
        <v>75.4</v>
      </c>
      <c r="Q24" s="8">
        <f t="shared" si="0"/>
        <v>78.17</v>
      </c>
    </row>
    <row r="25" ht="22.5" spans="1:17">
      <c r="A25" s="3" t="s">
        <v>31</v>
      </c>
      <c r="B25" s="9">
        <f>AVERAGE(B3:B23)</f>
        <v>76.0345</v>
      </c>
      <c r="C25" s="9">
        <f t="shared" ref="C25:Q25" si="1">AVERAGE(C3:C23)</f>
        <v>80.16</v>
      </c>
      <c r="D25" s="9">
        <f t="shared" si="1"/>
        <v>80.5385714285714</v>
      </c>
      <c r="E25" s="9">
        <f t="shared" si="1"/>
        <v>578.690476190476</v>
      </c>
      <c r="F25" s="9">
        <f t="shared" si="1"/>
        <v>80.445</v>
      </c>
      <c r="G25" s="9">
        <f t="shared" si="1"/>
        <v>80.4964285714286</v>
      </c>
      <c r="H25" s="9">
        <f t="shared" si="1"/>
        <v>80.0514285714286</v>
      </c>
      <c r="I25" s="9">
        <f t="shared" si="1"/>
        <v>75.1402380952381</v>
      </c>
      <c r="J25" s="9">
        <f t="shared" si="1"/>
        <v>83.2557142857143</v>
      </c>
      <c r="K25" s="9">
        <f t="shared" si="1"/>
        <v>82.4461904761905</v>
      </c>
      <c r="L25" s="9">
        <f t="shared" si="1"/>
        <v>65.4388095238095</v>
      </c>
      <c r="M25" s="9">
        <f t="shared" si="1"/>
        <v>68.8385714285714</v>
      </c>
      <c r="N25" s="9">
        <f t="shared" si="1"/>
        <v>72.3057142857143</v>
      </c>
      <c r="O25" s="9">
        <f t="shared" si="1"/>
        <v>72.9057142857143</v>
      </c>
      <c r="P25" s="9">
        <f t="shared" si="1"/>
        <v>68.3723809523809</v>
      </c>
      <c r="Q25" s="9">
        <f t="shared" si="1"/>
        <v>71.9319047619048</v>
      </c>
    </row>
    <row r="26" ht="23.25" spans="1:17">
      <c r="A26" s="10" t="s">
        <v>19</v>
      </c>
      <c r="B26" s="24">
        <f>(B25-B2)/B2</f>
        <v>0.0819675963571312</v>
      </c>
      <c r="C26" s="24">
        <f t="shared" ref="C26:Q26" si="2">(C25-C2)/C2</f>
        <v>0.0691045328063146</v>
      </c>
      <c r="D26" s="24">
        <f t="shared" si="2"/>
        <v>0.0769544695172566</v>
      </c>
      <c r="E26" s="24">
        <f t="shared" si="2"/>
        <v>0.097282774804889</v>
      </c>
      <c r="F26" s="24">
        <f t="shared" si="2"/>
        <v>0.0727179989798876</v>
      </c>
      <c r="G26" s="24">
        <f t="shared" si="2"/>
        <v>0.0732141666746022</v>
      </c>
      <c r="H26" s="24">
        <f t="shared" si="2"/>
        <v>0.0716976276974084</v>
      </c>
      <c r="I26" s="24">
        <f t="shared" si="2"/>
        <v>0.0765038534280047</v>
      </c>
      <c r="J26" s="24">
        <f t="shared" si="2"/>
        <v>0.0720609105867831</v>
      </c>
      <c r="K26" s="24">
        <f t="shared" si="2"/>
        <v>0.0546767445657075</v>
      </c>
      <c r="L26" s="24">
        <f t="shared" si="2"/>
        <v>0.101524378635854</v>
      </c>
      <c r="M26" s="24">
        <f t="shared" si="2"/>
        <v>0.08257173410976</v>
      </c>
      <c r="N26" s="24">
        <f t="shared" si="2"/>
        <v>0.058586821938895</v>
      </c>
      <c r="O26" s="24">
        <f t="shared" si="2"/>
        <v>0.0494711927005464</v>
      </c>
      <c r="P26" s="24">
        <f t="shared" si="2"/>
        <v>0.0782246412726447</v>
      </c>
      <c r="Q26" s="24">
        <f t="shared" si="2"/>
        <v>0.102083757402516</v>
      </c>
    </row>
    <row r="27" ht="15"/>
  </sheetData>
  <pageMargins left="0.75" right="0.75" top="1" bottom="1" header="0.5" footer="0.5"/>
  <pageSetup paperSize="9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/>
  <dimension ref="A1:Q31"/>
  <sheetViews>
    <sheetView workbookViewId="0">
      <selection activeCell="E27" sqref="E6:E27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40</v>
      </c>
      <c r="B2" s="9">
        <v>71.6209090909091</v>
      </c>
      <c r="C2" s="9">
        <v>75.6947826086956</v>
      </c>
      <c r="D2" s="9">
        <v>74.9072727272728</v>
      </c>
      <c r="E2" s="9">
        <v>512.695</v>
      </c>
      <c r="F2" s="9">
        <v>74.9254545454545</v>
      </c>
      <c r="G2" s="9">
        <v>74.9261363636364</v>
      </c>
      <c r="H2" s="9">
        <v>75.55125</v>
      </c>
      <c r="I2" s="9">
        <v>68.8320454545455</v>
      </c>
      <c r="J2" s="9">
        <v>77.1636363636363</v>
      </c>
      <c r="K2" s="9">
        <v>78.3954545454545</v>
      </c>
      <c r="L2" s="9">
        <v>58.2161363636364</v>
      </c>
      <c r="M2" s="9">
        <v>65.8355</v>
      </c>
      <c r="N2" s="9">
        <v>70.646</v>
      </c>
      <c r="O2" s="9">
        <v>71.326</v>
      </c>
      <c r="P2" s="9">
        <v>66.1145</v>
      </c>
      <c r="Q2" s="9">
        <v>65.2231818181818</v>
      </c>
    </row>
    <row r="3" spans="1:17">
      <c r="A3" s="5">
        <v>20230529</v>
      </c>
      <c r="B3" s="6"/>
      <c r="C3" s="6">
        <v>77.07</v>
      </c>
      <c r="D3" s="6"/>
      <c r="E3" s="6">
        <v>528.9</v>
      </c>
      <c r="F3" s="6">
        <v>76.25</v>
      </c>
      <c r="G3" s="6">
        <v>76.25</v>
      </c>
      <c r="H3" s="6"/>
      <c r="I3" s="6">
        <v>70.715</v>
      </c>
      <c r="J3" s="6">
        <v>79.34</v>
      </c>
      <c r="K3" s="6">
        <v>80.34</v>
      </c>
      <c r="L3" s="6">
        <v>60.18</v>
      </c>
      <c r="M3" s="6"/>
      <c r="N3" s="6"/>
      <c r="O3" s="6"/>
      <c r="P3" s="6"/>
      <c r="Q3" s="6">
        <v>66.7</v>
      </c>
    </row>
    <row r="4" spans="1:17">
      <c r="A4" s="5">
        <v>20230530</v>
      </c>
      <c r="B4" s="6">
        <v>69.46</v>
      </c>
      <c r="C4" s="6">
        <v>73.54</v>
      </c>
      <c r="D4" s="6">
        <v>74.12</v>
      </c>
      <c r="E4" s="6">
        <v>528.1</v>
      </c>
      <c r="F4" s="6">
        <v>74.93</v>
      </c>
      <c r="G4" s="6">
        <v>74.93</v>
      </c>
      <c r="H4" s="6">
        <v>73.98</v>
      </c>
      <c r="I4" s="6">
        <v>69.51</v>
      </c>
      <c r="J4" s="6">
        <v>78.23</v>
      </c>
      <c r="K4" s="6">
        <v>79.13</v>
      </c>
      <c r="L4" s="6">
        <v>58.89</v>
      </c>
      <c r="M4" s="6">
        <v>66.36</v>
      </c>
      <c r="N4" s="6">
        <v>69.32</v>
      </c>
      <c r="O4" s="6">
        <v>70.72</v>
      </c>
      <c r="P4" s="6">
        <v>68.13</v>
      </c>
      <c r="Q4" s="6">
        <v>65.37</v>
      </c>
    </row>
    <row r="5" spans="1:17">
      <c r="A5" s="5">
        <v>20230531</v>
      </c>
      <c r="B5" s="6">
        <v>68.09</v>
      </c>
      <c r="C5" s="6">
        <v>72.66</v>
      </c>
      <c r="D5" s="6">
        <v>71.71</v>
      </c>
      <c r="E5" s="6">
        <v>509.4</v>
      </c>
      <c r="F5" s="6">
        <v>72.22</v>
      </c>
      <c r="G5" s="6">
        <v>72.22</v>
      </c>
      <c r="H5" s="6">
        <v>72.885</v>
      </c>
      <c r="I5" s="6">
        <v>67.07</v>
      </c>
      <c r="J5" s="6">
        <v>75.78</v>
      </c>
      <c r="K5" s="6">
        <v>76.68</v>
      </c>
      <c r="L5" s="6">
        <v>56.655</v>
      </c>
      <c r="M5" s="6">
        <v>64.94</v>
      </c>
      <c r="N5" s="6">
        <v>66.89</v>
      </c>
      <c r="O5" s="6">
        <v>68.29</v>
      </c>
      <c r="P5" s="6">
        <v>65.53</v>
      </c>
      <c r="Q5" s="6">
        <v>62.79</v>
      </c>
    </row>
    <row r="6" spans="1:17">
      <c r="A6" s="5">
        <v>20230601</v>
      </c>
      <c r="B6" s="6">
        <v>70.1</v>
      </c>
      <c r="C6" s="6">
        <v>74.28</v>
      </c>
      <c r="D6" s="6">
        <v>71.19</v>
      </c>
      <c r="E6" s="6">
        <v>500.9</v>
      </c>
      <c r="F6" s="6">
        <v>71.68</v>
      </c>
      <c r="G6" s="6">
        <v>71.68</v>
      </c>
      <c r="H6" s="6">
        <v>74.605</v>
      </c>
      <c r="I6" s="6">
        <v>66.14</v>
      </c>
      <c r="J6" s="6">
        <v>75.1</v>
      </c>
      <c r="K6" s="6">
        <v>75.95</v>
      </c>
      <c r="L6" s="6">
        <v>55.435</v>
      </c>
      <c r="M6" s="6">
        <v>66.08</v>
      </c>
      <c r="N6" s="6">
        <v>66.07</v>
      </c>
      <c r="O6" s="6">
        <v>67.47</v>
      </c>
      <c r="P6" s="6">
        <v>64.45</v>
      </c>
      <c r="Q6" s="6">
        <v>62.12</v>
      </c>
    </row>
    <row r="7" spans="1:17">
      <c r="A7" s="5">
        <v>20230602</v>
      </c>
      <c r="B7" s="6">
        <v>71.74</v>
      </c>
      <c r="C7" s="6">
        <v>76.13</v>
      </c>
      <c r="D7" s="6">
        <v>73.26</v>
      </c>
      <c r="E7" s="6">
        <v>509.4</v>
      </c>
      <c r="F7" s="6"/>
      <c r="G7" s="6"/>
      <c r="H7" s="6">
        <v>76.06</v>
      </c>
      <c r="I7" s="6"/>
      <c r="J7" s="6"/>
      <c r="K7" s="6"/>
      <c r="L7" s="6"/>
      <c r="M7" s="6"/>
      <c r="N7" s="6"/>
      <c r="O7" s="6"/>
      <c r="P7" s="6"/>
      <c r="Q7" s="6"/>
    </row>
    <row r="8" spans="1:17">
      <c r="A8" s="5">
        <v>20230605</v>
      </c>
      <c r="B8" s="6">
        <v>72.15</v>
      </c>
      <c r="C8" s="6">
        <v>76.71</v>
      </c>
      <c r="D8" s="6">
        <v>76.51</v>
      </c>
      <c r="E8" s="6">
        <v>522.9</v>
      </c>
      <c r="F8" s="6">
        <v>76.44</v>
      </c>
      <c r="G8" s="6">
        <v>76.45</v>
      </c>
      <c r="H8" s="6">
        <v>77.305</v>
      </c>
      <c r="I8" s="6">
        <v>70.69</v>
      </c>
      <c r="J8" s="6">
        <v>79.56</v>
      </c>
      <c r="K8" s="6">
        <v>80.41</v>
      </c>
      <c r="L8" s="6">
        <v>59.83</v>
      </c>
      <c r="M8" s="6">
        <v>68.43</v>
      </c>
      <c r="N8" s="6">
        <v>70.53</v>
      </c>
      <c r="O8" s="6">
        <v>71.93</v>
      </c>
      <c r="P8" s="6">
        <v>68.51</v>
      </c>
      <c r="Q8" s="6">
        <v>66.88</v>
      </c>
    </row>
    <row r="9" spans="1:17">
      <c r="A9" s="5">
        <v>20230606</v>
      </c>
      <c r="B9" s="6">
        <v>71.74</v>
      </c>
      <c r="C9" s="6">
        <v>76.29</v>
      </c>
      <c r="D9" s="6">
        <v>74.36</v>
      </c>
      <c r="E9" s="6">
        <v>527.9</v>
      </c>
      <c r="F9" s="6">
        <v>74.3</v>
      </c>
      <c r="G9" s="6">
        <v>74.3</v>
      </c>
      <c r="H9" s="6">
        <v>76.29</v>
      </c>
      <c r="I9" s="6">
        <v>68.72</v>
      </c>
      <c r="J9" s="6">
        <v>77.22</v>
      </c>
      <c r="K9" s="6">
        <v>78.02</v>
      </c>
      <c r="L9" s="6">
        <v>58.035</v>
      </c>
      <c r="M9" s="6">
        <v>67.03</v>
      </c>
      <c r="N9" s="6">
        <v>68.4</v>
      </c>
      <c r="O9" s="6">
        <v>69.8</v>
      </c>
      <c r="P9" s="6">
        <v>65.72</v>
      </c>
      <c r="Q9" s="6">
        <v>64.8</v>
      </c>
    </row>
    <row r="10" spans="1:17">
      <c r="A10" s="5">
        <v>20230607</v>
      </c>
      <c r="B10" s="6">
        <v>72.53</v>
      </c>
      <c r="C10" s="6">
        <v>76.95</v>
      </c>
      <c r="D10" s="6">
        <v>74.9</v>
      </c>
      <c r="E10" s="6">
        <v>523.7</v>
      </c>
      <c r="F10" s="6">
        <v>75.2</v>
      </c>
      <c r="G10" s="6">
        <v>75.2</v>
      </c>
      <c r="H10" s="6">
        <v>76.705</v>
      </c>
      <c r="I10" s="6">
        <v>69.645</v>
      </c>
      <c r="J10" s="6">
        <v>78</v>
      </c>
      <c r="K10" s="6">
        <v>78.8</v>
      </c>
      <c r="L10" s="6">
        <v>59.07</v>
      </c>
      <c r="M10" s="6">
        <v>67.91</v>
      </c>
      <c r="N10" s="6">
        <v>69.11</v>
      </c>
      <c r="O10" s="6">
        <v>70.51</v>
      </c>
      <c r="P10" s="6">
        <v>66.35</v>
      </c>
      <c r="Q10" s="6">
        <v>65.71</v>
      </c>
    </row>
    <row r="11" spans="1:17">
      <c r="A11" s="5">
        <v>20230608</v>
      </c>
      <c r="B11" s="6">
        <v>71.29</v>
      </c>
      <c r="C11" s="6">
        <v>75.96</v>
      </c>
      <c r="D11" s="6">
        <v>76.09</v>
      </c>
      <c r="E11" s="6">
        <v>533.5</v>
      </c>
      <c r="F11" s="6">
        <v>76.145</v>
      </c>
      <c r="G11" s="6">
        <v>76.145</v>
      </c>
      <c r="H11" s="6">
        <v>75.65</v>
      </c>
      <c r="I11" s="6">
        <v>70.795</v>
      </c>
      <c r="J11" s="6">
        <v>79.16</v>
      </c>
      <c r="K11" s="6">
        <v>79.91</v>
      </c>
      <c r="L11" s="6">
        <v>60.255</v>
      </c>
      <c r="M11" s="6">
        <v>66.37</v>
      </c>
      <c r="N11" s="6">
        <v>70.1</v>
      </c>
      <c r="O11" s="6">
        <v>71.5</v>
      </c>
      <c r="P11" s="6">
        <v>66.96</v>
      </c>
      <c r="Q11" s="6">
        <v>66.75</v>
      </c>
    </row>
    <row r="12" spans="1:17">
      <c r="A12" s="5">
        <v>20230609</v>
      </c>
      <c r="B12" s="6">
        <v>70.17</v>
      </c>
      <c r="C12" s="6">
        <v>74.79</v>
      </c>
      <c r="D12" s="6">
        <v>75.2</v>
      </c>
      <c r="E12" s="6">
        <v>526.6</v>
      </c>
      <c r="F12" s="6">
        <v>75.2</v>
      </c>
      <c r="G12" s="6">
        <v>75.2</v>
      </c>
      <c r="H12" s="6">
        <v>75.68</v>
      </c>
      <c r="I12" s="6">
        <v>69.805</v>
      </c>
      <c r="J12" s="6">
        <v>78.21</v>
      </c>
      <c r="K12" s="6">
        <v>78.96</v>
      </c>
      <c r="L12" s="6">
        <v>59.24</v>
      </c>
      <c r="M12" s="6">
        <v>65.75</v>
      </c>
      <c r="N12" s="6">
        <v>69.08</v>
      </c>
      <c r="O12" s="6">
        <v>70.48</v>
      </c>
      <c r="P12" s="6">
        <v>65.56</v>
      </c>
      <c r="Q12" s="6">
        <v>65.63</v>
      </c>
    </row>
    <row r="13" spans="1:17">
      <c r="A13" s="5">
        <v>20230612</v>
      </c>
      <c r="B13" s="6">
        <v>67.12</v>
      </c>
      <c r="C13" s="6">
        <v>71.84</v>
      </c>
      <c r="D13" s="6">
        <v>72.4</v>
      </c>
      <c r="E13" s="6">
        <v>525.3</v>
      </c>
      <c r="F13" s="6">
        <v>72.39</v>
      </c>
      <c r="G13" s="6">
        <v>72.4</v>
      </c>
      <c r="H13" s="6">
        <v>72.46</v>
      </c>
      <c r="I13" s="6">
        <v>67.31</v>
      </c>
      <c r="J13" s="6">
        <v>75.52</v>
      </c>
      <c r="K13" s="6">
        <v>76.37</v>
      </c>
      <c r="L13" s="6">
        <v>56.93</v>
      </c>
      <c r="M13" s="6">
        <v>62.26</v>
      </c>
      <c r="N13" s="6">
        <v>66.76</v>
      </c>
      <c r="O13" s="6">
        <v>68.16</v>
      </c>
      <c r="P13" s="6">
        <v>62.92</v>
      </c>
      <c r="Q13" s="6">
        <v>62.91</v>
      </c>
    </row>
    <row r="14" spans="1:17">
      <c r="A14" s="5">
        <v>20230613</v>
      </c>
      <c r="B14" s="6">
        <v>69.42</v>
      </c>
      <c r="C14" s="6">
        <v>74.29</v>
      </c>
      <c r="D14" s="6">
        <v>72</v>
      </c>
      <c r="E14" s="6">
        <v>506.4</v>
      </c>
      <c r="F14" s="6">
        <v>71.96</v>
      </c>
      <c r="G14" s="6">
        <v>71.995</v>
      </c>
      <c r="H14" s="6">
        <v>73.945</v>
      </c>
      <c r="I14" s="6">
        <v>67.235</v>
      </c>
      <c r="J14" s="6">
        <v>74.83</v>
      </c>
      <c r="K14" s="6">
        <v>75.78</v>
      </c>
      <c r="L14" s="6">
        <v>56.83</v>
      </c>
      <c r="M14" s="6">
        <v>63.68</v>
      </c>
      <c r="N14" s="6">
        <v>66.42</v>
      </c>
      <c r="O14" s="6">
        <v>67.82</v>
      </c>
      <c r="P14" s="6">
        <v>62.18</v>
      </c>
      <c r="Q14" s="6">
        <v>62.47</v>
      </c>
    </row>
    <row r="15" spans="1:17">
      <c r="A15" s="5">
        <v>20230614</v>
      </c>
      <c r="B15" s="6">
        <v>68.27</v>
      </c>
      <c r="C15" s="6">
        <v>73.2</v>
      </c>
      <c r="D15" s="6">
        <v>74.54</v>
      </c>
      <c r="E15" s="6">
        <v>518.9</v>
      </c>
      <c r="F15" s="6">
        <v>74.6</v>
      </c>
      <c r="G15" s="6">
        <v>74.6</v>
      </c>
      <c r="H15" s="6">
        <v>73.865</v>
      </c>
      <c r="I15" s="6">
        <v>69.925</v>
      </c>
      <c r="J15" s="6">
        <v>77.3</v>
      </c>
      <c r="K15" s="6">
        <v>78.3</v>
      </c>
      <c r="L15" s="6">
        <v>59.385</v>
      </c>
      <c r="M15" s="6">
        <v>63.08</v>
      </c>
      <c r="N15" s="6">
        <v>69.18</v>
      </c>
      <c r="O15" s="6">
        <v>70.58</v>
      </c>
      <c r="P15" s="6">
        <v>64.2</v>
      </c>
      <c r="Q15" s="6">
        <v>65.13</v>
      </c>
    </row>
    <row r="16" spans="1:17">
      <c r="A16" s="5">
        <v>20230615</v>
      </c>
      <c r="B16" s="6">
        <v>70.62</v>
      </c>
      <c r="C16" s="6">
        <v>75.67</v>
      </c>
      <c r="D16" s="6">
        <v>73.32</v>
      </c>
      <c r="E16" s="6">
        <v>519.2</v>
      </c>
      <c r="F16" s="6">
        <v>73.35</v>
      </c>
      <c r="G16" s="6">
        <v>73.37</v>
      </c>
      <c r="H16" s="6">
        <v>74.51</v>
      </c>
      <c r="I16" s="6">
        <v>68.645</v>
      </c>
      <c r="J16" s="6">
        <v>75.91</v>
      </c>
      <c r="K16" s="6">
        <v>76.91</v>
      </c>
      <c r="L16" s="6">
        <v>58.26</v>
      </c>
      <c r="M16" s="6">
        <v>63.61</v>
      </c>
      <c r="N16" s="6">
        <v>67.78</v>
      </c>
      <c r="O16" s="6">
        <v>69.18</v>
      </c>
      <c r="P16" s="6">
        <v>62.46</v>
      </c>
      <c r="Q16" s="6">
        <v>63.98</v>
      </c>
    </row>
    <row r="17" spans="1:17">
      <c r="A17" s="5">
        <v>20230616</v>
      </c>
      <c r="B17" s="6">
        <v>71.78</v>
      </c>
      <c r="C17" s="6">
        <v>76.61</v>
      </c>
      <c r="D17" s="6">
        <v>75.36</v>
      </c>
      <c r="E17" s="6">
        <v>526.3</v>
      </c>
      <c r="F17" s="6">
        <v>75.45</v>
      </c>
      <c r="G17" s="6">
        <v>75.45</v>
      </c>
      <c r="H17" s="6">
        <v>75.255</v>
      </c>
      <c r="I17" s="6">
        <v>70.705</v>
      </c>
      <c r="J17" s="6">
        <v>77.96</v>
      </c>
      <c r="K17" s="6">
        <v>78.96</v>
      </c>
      <c r="L17" s="6">
        <v>60.32</v>
      </c>
      <c r="M17" s="6">
        <v>64.34</v>
      </c>
      <c r="N17" s="6">
        <v>69.79</v>
      </c>
      <c r="O17" s="6">
        <v>71.19</v>
      </c>
      <c r="P17" s="6">
        <v>64.26</v>
      </c>
      <c r="Q17" s="6">
        <v>66.09</v>
      </c>
    </row>
    <row r="18" spans="1:17">
      <c r="A18" s="5">
        <v>20230619</v>
      </c>
      <c r="B18" s="6"/>
      <c r="C18" s="6">
        <v>76.09</v>
      </c>
      <c r="D18" s="6">
        <v>76.17</v>
      </c>
      <c r="E18" s="6">
        <v>531.1</v>
      </c>
      <c r="F18" s="6">
        <v>76.29</v>
      </c>
      <c r="G18" s="6">
        <v>76.29</v>
      </c>
      <c r="H18" s="6">
        <v>75.47</v>
      </c>
      <c r="I18" s="6">
        <v>71.39</v>
      </c>
      <c r="J18" s="6">
        <v>78.54</v>
      </c>
      <c r="K18" s="6">
        <v>79.49</v>
      </c>
      <c r="L18" s="6">
        <v>61.035</v>
      </c>
      <c r="M18" s="6">
        <v>64.45</v>
      </c>
      <c r="N18" s="6">
        <v>69.78</v>
      </c>
      <c r="O18" s="6">
        <v>71.48</v>
      </c>
      <c r="P18" s="6">
        <v>64.54</v>
      </c>
      <c r="Q18" s="6">
        <v>66.73</v>
      </c>
    </row>
    <row r="19" spans="1:17">
      <c r="A19" s="5">
        <v>20230620</v>
      </c>
      <c r="B19" s="6">
        <v>70.5</v>
      </c>
      <c r="C19" s="6">
        <v>75.9</v>
      </c>
      <c r="D19" s="6">
        <v>77.16</v>
      </c>
      <c r="E19" s="6">
        <v>534.7</v>
      </c>
      <c r="F19" s="6">
        <v>77.45</v>
      </c>
      <c r="G19" s="6">
        <v>77.46</v>
      </c>
      <c r="H19" s="6">
        <v>74.495</v>
      </c>
      <c r="I19" s="6">
        <v>72.3</v>
      </c>
      <c r="J19" s="6">
        <v>79.24</v>
      </c>
      <c r="K19" s="6">
        <v>79.79</v>
      </c>
      <c r="L19" s="6">
        <v>62.025</v>
      </c>
      <c r="M19" s="6">
        <v>62.77</v>
      </c>
      <c r="N19" s="6">
        <v>69.74</v>
      </c>
      <c r="O19" s="6">
        <v>71.04</v>
      </c>
      <c r="P19" s="6">
        <v>64.24</v>
      </c>
      <c r="Q19" s="6">
        <v>67.29</v>
      </c>
    </row>
    <row r="20" spans="1:17">
      <c r="A20" s="5">
        <v>20230621</v>
      </c>
      <c r="B20" s="6">
        <v>72.53</v>
      </c>
      <c r="C20" s="6">
        <v>77.12</v>
      </c>
      <c r="D20" s="6">
        <v>77.1</v>
      </c>
      <c r="E20" s="6">
        <v>539.6</v>
      </c>
      <c r="F20" s="6">
        <v>76.95</v>
      </c>
      <c r="G20" s="6">
        <v>77</v>
      </c>
      <c r="H20" s="6">
        <v>76.45</v>
      </c>
      <c r="I20" s="6">
        <v>71.855</v>
      </c>
      <c r="J20" s="6">
        <v>78.99</v>
      </c>
      <c r="K20" s="6">
        <v>79.19</v>
      </c>
      <c r="L20" s="6">
        <v>61.62</v>
      </c>
      <c r="M20" s="6">
        <v>63.7</v>
      </c>
      <c r="N20" s="6">
        <v>68.93</v>
      </c>
      <c r="O20" s="6">
        <v>69.93</v>
      </c>
      <c r="P20" s="6">
        <v>62.69</v>
      </c>
      <c r="Q20" s="6">
        <v>66.58</v>
      </c>
    </row>
    <row r="21" spans="1:17">
      <c r="A21" s="5">
        <v>20230622</v>
      </c>
      <c r="B21" s="6">
        <v>69.51</v>
      </c>
      <c r="C21" s="6">
        <v>74.14</v>
      </c>
      <c r="D21" s="6">
        <v>77.54</v>
      </c>
      <c r="E21" s="6"/>
      <c r="F21" s="6">
        <v>77.45</v>
      </c>
      <c r="G21" s="6">
        <v>77.46</v>
      </c>
      <c r="H21" s="6">
        <v>73.785</v>
      </c>
      <c r="I21" s="6">
        <v>72.42</v>
      </c>
      <c r="J21" s="6">
        <v>80.27</v>
      </c>
      <c r="K21" s="6">
        <v>80.17</v>
      </c>
      <c r="L21" s="6">
        <v>62.075</v>
      </c>
      <c r="M21" s="6">
        <v>60.12</v>
      </c>
      <c r="N21" s="6">
        <v>69.58</v>
      </c>
      <c r="O21" s="6">
        <v>70.38</v>
      </c>
      <c r="P21" s="6">
        <v>62.57</v>
      </c>
      <c r="Q21" s="6">
        <v>67.08</v>
      </c>
    </row>
    <row r="22" spans="1:17">
      <c r="A22" s="5">
        <v>20230623</v>
      </c>
      <c r="B22" s="6">
        <v>69.16</v>
      </c>
      <c r="C22" s="6">
        <v>73.85</v>
      </c>
      <c r="D22" s="6">
        <v>74.1</v>
      </c>
      <c r="E22" s="6"/>
      <c r="F22" s="6">
        <v>74.1</v>
      </c>
      <c r="G22" s="6">
        <v>74.16</v>
      </c>
      <c r="H22" s="6">
        <v>73.115</v>
      </c>
      <c r="I22" s="6">
        <v>69.015</v>
      </c>
      <c r="J22" s="6">
        <v>76.79</v>
      </c>
      <c r="K22" s="6">
        <v>76.69</v>
      </c>
      <c r="L22" s="6">
        <v>58.855</v>
      </c>
      <c r="M22" s="6">
        <v>59.51</v>
      </c>
      <c r="N22" s="6">
        <v>66.15</v>
      </c>
      <c r="O22" s="6">
        <v>66.85</v>
      </c>
      <c r="P22" s="6">
        <v>58.99</v>
      </c>
      <c r="Q22" s="6">
        <v>63.75</v>
      </c>
    </row>
    <row r="23" spans="1:17">
      <c r="A23" s="5">
        <v>20230626</v>
      </c>
      <c r="B23" s="6">
        <v>69.37</v>
      </c>
      <c r="C23" s="6">
        <v>74.18</v>
      </c>
      <c r="D23" s="6">
        <v>74.55</v>
      </c>
      <c r="E23" s="6">
        <v>540</v>
      </c>
      <c r="F23" s="6">
        <v>74.5</v>
      </c>
      <c r="G23" s="6">
        <v>74.56</v>
      </c>
      <c r="H23" s="6">
        <v>73.55</v>
      </c>
      <c r="I23" s="6">
        <v>69.27</v>
      </c>
      <c r="J23" s="6">
        <v>77.21</v>
      </c>
      <c r="K23" s="6">
        <v>77.11</v>
      </c>
      <c r="L23" s="6">
        <v>59.025</v>
      </c>
      <c r="M23" s="6">
        <v>59.92</v>
      </c>
      <c r="N23" s="6">
        <v>66.6</v>
      </c>
      <c r="O23" s="6">
        <v>67.2</v>
      </c>
      <c r="P23" s="6">
        <v>59.36</v>
      </c>
      <c r="Q23" s="6">
        <v>64.5</v>
      </c>
    </row>
    <row r="24" spans="1:17">
      <c r="A24" s="5">
        <v>20230627</v>
      </c>
      <c r="B24" s="6">
        <v>67.7</v>
      </c>
      <c r="C24" s="6">
        <v>72.26</v>
      </c>
      <c r="D24" s="6">
        <v>75.49</v>
      </c>
      <c r="E24" s="6">
        <v>542</v>
      </c>
      <c r="F24" s="6">
        <v>75.49</v>
      </c>
      <c r="G24" s="6">
        <v>75.49</v>
      </c>
      <c r="H24" s="6">
        <v>72.79</v>
      </c>
      <c r="I24" s="6">
        <v>70.135</v>
      </c>
      <c r="J24" s="6">
        <v>78.17</v>
      </c>
      <c r="K24" s="6">
        <v>77.97</v>
      </c>
      <c r="L24" s="6">
        <v>59.93</v>
      </c>
      <c r="M24" s="6">
        <v>60</v>
      </c>
      <c r="N24" s="6">
        <v>67.66</v>
      </c>
      <c r="O24" s="6">
        <v>68.26</v>
      </c>
      <c r="P24" s="6">
        <v>60.92</v>
      </c>
      <c r="Q24" s="6">
        <v>65.56</v>
      </c>
    </row>
    <row r="25" spans="1:17">
      <c r="A25" s="5">
        <v>20230628</v>
      </c>
      <c r="B25" s="6">
        <v>69.56</v>
      </c>
      <c r="C25" s="6">
        <v>74.03</v>
      </c>
      <c r="D25" s="6">
        <v>73.81</v>
      </c>
      <c r="E25" s="6">
        <v>536</v>
      </c>
      <c r="F25" s="6">
        <v>74.25</v>
      </c>
      <c r="G25" s="6">
        <v>74.25</v>
      </c>
      <c r="H25" s="6">
        <v>73.325</v>
      </c>
      <c r="I25" s="6">
        <v>68.97</v>
      </c>
      <c r="J25" s="6">
        <v>76.78</v>
      </c>
      <c r="K25" s="6">
        <v>76.48</v>
      </c>
      <c r="L25" s="6">
        <v>58.92</v>
      </c>
      <c r="M25" s="6">
        <v>60.63</v>
      </c>
      <c r="N25" s="6">
        <v>66.58</v>
      </c>
      <c r="O25" s="6">
        <v>67.18</v>
      </c>
      <c r="P25" s="6">
        <v>59.83</v>
      </c>
      <c r="Q25" s="6">
        <v>64.58</v>
      </c>
    </row>
    <row r="26" spans="1:17">
      <c r="A26" s="5">
        <v>20230629</v>
      </c>
      <c r="B26" s="6">
        <v>69.86</v>
      </c>
      <c r="C26" s="6">
        <v>74.34</v>
      </c>
      <c r="D26" s="6">
        <v>74.6</v>
      </c>
      <c r="E26" s="6">
        <v>538.5</v>
      </c>
      <c r="F26" s="6"/>
      <c r="G26" s="6"/>
      <c r="H26" s="6">
        <v>73.035</v>
      </c>
      <c r="I26" s="6"/>
      <c r="J26" s="6"/>
      <c r="K26" s="6"/>
      <c r="L26" s="6"/>
      <c r="M26" s="6"/>
      <c r="N26" s="6"/>
      <c r="O26" s="6"/>
      <c r="P26" s="6"/>
      <c r="Q26" s="6"/>
    </row>
    <row r="27" spans="1:17">
      <c r="A27" s="5">
        <v>20230630</v>
      </c>
      <c r="B27" s="6">
        <v>70.64</v>
      </c>
      <c r="C27" s="6">
        <v>74.9</v>
      </c>
      <c r="D27" s="6">
        <v>75.59</v>
      </c>
      <c r="E27" s="6">
        <v>544.8</v>
      </c>
      <c r="F27" s="6">
        <v>76.64</v>
      </c>
      <c r="G27" s="6">
        <v>76.64</v>
      </c>
      <c r="H27" s="6">
        <v>74.965</v>
      </c>
      <c r="I27" s="6">
        <v>71.035</v>
      </c>
      <c r="J27" s="6">
        <v>78.43</v>
      </c>
      <c r="K27" s="6">
        <v>78.18</v>
      </c>
      <c r="L27" s="6">
        <v>61.075</v>
      </c>
      <c r="M27" s="6">
        <v>62.12</v>
      </c>
      <c r="N27" s="6">
        <v>67.84</v>
      </c>
      <c r="O27" s="6">
        <v>68.44</v>
      </c>
      <c r="P27" s="6">
        <v>61.53</v>
      </c>
      <c r="Q27" s="6">
        <v>66.84</v>
      </c>
    </row>
    <row r="28" spans="1:17">
      <c r="A28" s="7" t="s">
        <v>17</v>
      </c>
      <c r="B28" s="8">
        <f>AVERAGE(B23:B27)</f>
        <v>69.426</v>
      </c>
      <c r="C28" s="8">
        <f t="shared" ref="C28:Q28" si="0">AVERAGE(C23:C27)</f>
        <v>73.942</v>
      </c>
      <c r="D28" s="8">
        <f t="shared" si="0"/>
        <v>74.808</v>
      </c>
      <c r="E28" s="8">
        <f t="shared" si="0"/>
        <v>540.26</v>
      </c>
      <c r="F28" s="8">
        <f t="shared" si="0"/>
        <v>75.22</v>
      </c>
      <c r="G28" s="8">
        <f t="shared" si="0"/>
        <v>75.235</v>
      </c>
      <c r="H28" s="8">
        <f t="shared" si="0"/>
        <v>73.533</v>
      </c>
      <c r="I28" s="8">
        <f t="shared" si="0"/>
        <v>69.8525</v>
      </c>
      <c r="J28" s="8">
        <f t="shared" si="0"/>
        <v>77.6475</v>
      </c>
      <c r="K28" s="8">
        <f t="shared" si="0"/>
        <v>77.435</v>
      </c>
      <c r="L28" s="8">
        <f t="shared" si="0"/>
        <v>59.7375</v>
      </c>
      <c r="M28" s="8">
        <f t="shared" si="0"/>
        <v>60.6675</v>
      </c>
      <c r="N28" s="8">
        <f t="shared" si="0"/>
        <v>67.17</v>
      </c>
      <c r="O28" s="8">
        <f t="shared" si="0"/>
        <v>67.77</v>
      </c>
      <c r="P28" s="8">
        <f t="shared" si="0"/>
        <v>60.41</v>
      </c>
      <c r="Q28" s="8">
        <f t="shared" si="0"/>
        <v>65.37</v>
      </c>
    </row>
    <row r="29" ht="22.5" spans="1:17">
      <c r="A29" s="3" t="s">
        <v>33</v>
      </c>
      <c r="B29" s="9">
        <f>AVERAGE(B6:B27)</f>
        <v>70.2742857142857</v>
      </c>
      <c r="C29" s="9">
        <f t="shared" ref="C29:Q29" si="1">AVERAGE(C6:C27)</f>
        <v>74.9786363636364</v>
      </c>
      <c r="D29" s="9">
        <f t="shared" si="1"/>
        <v>74.7836363636363</v>
      </c>
      <c r="E29" s="9">
        <f t="shared" si="1"/>
        <v>527.385</v>
      </c>
      <c r="F29" s="9">
        <f t="shared" si="1"/>
        <v>74.99175</v>
      </c>
      <c r="G29" s="9">
        <f t="shared" si="1"/>
        <v>75.005</v>
      </c>
      <c r="H29" s="9">
        <f t="shared" si="1"/>
        <v>74.6959090909091</v>
      </c>
      <c r="I29" s="9">
        <f t="shared" si="1"/>
        <v>69.80025</v>
      </c>
      <c r="J29" s="9">
        <f t="shared" si="1"/>
        <v>77.6595</v>
      </c>
      <c r="K29" s="9">
        <f t="shared" si="1"/>
        <v>78.172</v>
      </c>
      <c r="L29" s="9">
        <f t="shared" si="1"/>
        <v>59.4075</v>
      </c>
      <c r="M29" s="9">
        <f t="shared" si="1"/>
        <v>63.588</v>
      </c>
      <c r="N29" s="9">
        <f t="shared" si="1"/>
        <v>68.304</v>
      </c>
      <c r="O29" s="9">
        <f t="shared" si="1"/>
        <v>69.469</v>
      </c>
      <c r="P29" s="9">
        <f t="shared" si="1"/>
        <v>63.412</v>
      </c>
      <c r="Q29" s="9">
        <f t="shared" si="1"/>
        <v>65.269</v>
      </c>
    </row>
    <row r="30" ht="23.25" spans="1:17">
      <c r="A30" s="10" t="s">
        <v>19</v>
      </c>
      <c r="B30" s="23">
        <f t="shared" ref="B30:Q30" si="2">(B29-B2)/B2</f>
        <v>-0.0188020983497166</v>
      </c>
      <c r="C30" s="23">
        <f t="shared" si="2"/>
        <v>-0.00946097234681811</v>
      </c>
      <c r="D30" s="23">
        <f t="shared" si="2"/>
        <v>-0.00165052549819229</v>
      </c>
      <c r="E30" s="24">
        <f t="shared" si="2"/>
        <v>0.028652512702484</v>
      </c>
      <c r="F30" s="24">
        <f t="shared" si="2"/>
        <v>0.00088481885025153</v>
      </c>
      <c r="G30" s="24">
        <f t="shared" si="2"/>
        <v>0.00105255175551698</v>
      </c>
      <c r="H30" s="23">
        <f t="shared" si="2"/>
        <v>-0.0113213336522018</v>
      </c>
      <c r="I30" s="24">
        <f t="shared" si="2"/>
        <v>0.0140661887796713</v>
      </c>
      <c r="J30" s="24">
        <f t="shared" si="2"/>
        <v>0.00642613100848295</v>
      </c>
      <c r="K30" s="23">
        <f t="shared" si="2"/>
        <v>-0.00285035078564386</v>
      </c>
      <c r="L30" s="24">
        <f t="shared" si="2"/>
        <v>0.0204644916475046</v>
      </c>
      <c r="M30" s="23">
        <f t="shared" si="2"/>
        <v>-0.0341381169733653</v>
      </c>
      <c r="N30" s="23">
        <f t="shared" si="2"/>
        <v>-0.0331512045975712</v>
      </c>
      <c r="O30" s="23">
        <f t="shared" si="2"/>
        <v>-0.0260353868154666</v>
      </c>
      <c r="P30" s="23">
        <f t="shared" si="2"/>
        <v>-0.0408760559332675</v>
      </c>
      <c r="Q30" s="24">
        <f t="shared" si="2"/>
        <v>0.000702483082562379</v>
      </c>
    </row>
    <row r="31" ht="15"/>
  </sheetData>
  <pageMargins left="0.75" right="0.75" top="1" bottom="1" header="0.5" footer="0.5"/>
  <pageSetup paperSize="9" orientation="portrait"/>
  <headerFooter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8"/>
  <dimension ref="A1:Q29"/>
  <sheetViews>
    <sheetView workbookViewId="0">
      <selection activeCell="E27" sqref="E27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45</v>
      </c>
      <c r="B2" s="9">
        <v>79.4384210526316</v>
      </c>
      <c r="C2" s="9">
        <v>83.3689473684211</v>
      </c>
      <c r="D2" s="9">
        <v>83.2821052631579</v>
      </c>
      <c r="E2" s="9">
        <v>573.847368421053</v>
      </c>
      <c r="F2" s="9">
        <v>83.4118421052632</v>
      </c>
      <c r="G2" s="9">
        <v>83.4805263157895</v>
      </c>
      <c r="H2" s="9">
        <v>84.9355555555555</v>
      </c>
      <c r="I2" s="9">
        <v>75.6652631578947</v>
      </c>
      <c r="J2" s="9">
        <v>85.0331578947368</v>
      </c>
      <c r="K2" s="9">
        <v>86.1042105263158</v>
      </c>
      <c r="L2" s="9">
        <v>63.1826315789474</v>
      </c>
      <c r="M2" s="6">
        <v>74.4416666666667</v>
      </c>
      <c r="N2" s="6">
        <v>81.3821052631579</v>
      </c>
      <c r="O2" s="6">
        <v>81.8452631578947</v>
      </c>
      <c r="P2" s="6">
        <v>74.3483333333333</v>
      </c>
      <c r="Q2" s="6">
        <v>72.9005263157895</v>
      </c>
    </row>
    <row r="3" spans="1:17">
      <c r="A3" s="5">
        <v>20230501</v>
      </c>
      <c r="B3" s="6">
        <v>75.66</v>
      </c>
      <c r="C3" s="6">
        <v>79.31</v>
      </c>
      <c r="D3" s="6">
        <v>78.43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>
      <c r="A4" s="5">
        <v>20230502</v>
      </c>
      <c r="B4" s="6">
        <v>71.66</v>
      </c>
      <c r="C4" s="6">
        <v>75.32</v>
      </c>
      <c r="D4" s="6">
        <v>78.55</v>
      </c>
      <c r="E4" s="6"/>
      <c r="F4" s="6">
        <v>78.595</v>
      </c>
      <c r="G4" s="6">
        <v>78.61</v>
      </c>
      <c r="H4" s="6">
        <v>77.18</v>
      </c>
      <c r="I4" s="6">
        <v>72.225</v>
      </c>
      <c r="J4" s="6">
        <v>79.91</v>
      </c>
      <c r="K4" s="6">
        <v>81.71</v>
      </c>
      <c r="L4" s="6">
        <v>61.575</v>
      </c>
      <c r="M4" s="6">
        <v>65.59</v>
      </c>
      <c r="N4" s="6">
        <v>75.91</v>
      </c>
      <c r="O4" s="6">
        <v>76.31</v>
      </c>
      <c r="P4" s="6">
        <v>68.51</v>
      </c>
      <c r="Q4" s="6">
        <v>68.26</v>
      </c>
    </row>
    <row r="5" spans="1:17">
      <c r="A5" s="5">
        <v>20230503</v>
      </c>
      <c r="B5" s="6">
        <v>68.6</v>
      </c>
      <c r="C5" s="6">
        <v>72.33</v>
      </c>
      <c r="D5" s="6">
        <v>73.57</v>
      </c>
      <c r="E5" s="6"/>
      <c r="F5" s="6">
        <v>73.63</v>
      </c>
      <c r="G5" s="6">
        <v>73.63</v>
      </c>
      <c r="H5" s="6">
        <v>72.51</v>
      </c>
      <c r="I5" s="6">
        <v>67.44</v>
      </c>
      <c r="J5" s="6">
        <v>75.11</v>
      </c>
      <c r="K5" s="6">
        <v>76.91</v>
      </c>
      <c r="L5" s="6">
        <v>56.99</v>
      </c>
      <c r="M5" s="6">
        <v>61.81</v>
      </c>
      <c r="N5" s="6">
        <v>71.01</v>
      </c>
      <c r="O5" s="6">
        <v>71.41</v>
      </c>
      <c r="P5" s="6">
        <v>63.71</v>
      </c>
      <c r="Q5" s="6">
        <v>63.41</v>
      </c>
    </row>
    <row r="6" spans="1:17">
      <c r="A6" s="5">
        <v>20230504</v>
      </c>
      <c r="B6" s="6">
        <v>68.56</v>
      </c>
      <c r="C6" s="6">
        <v>72.5</v>
      </c>
      <c r="D6" s="6">
        <v>72.66</v>
      </c>
      <c r="E6" s="6">
        <v>494.5</v>
      </c>
      <c r="F6" s="6">
        <v>72.94</v>
      </c>
      <c r="G6" s="6">
        <v>72.94</v>
      </c>
      <c r="H6" s="6">
        <v>73.11</v>
      </c>
      <c r="I6" s="6">
        <v>66.35</v>
      </c>
      <c r="J6" s="6">
        <v>74.18</v>
      </c>
      <c r="K6" s="6">
        <v>75.88</v>
      </c>
      <c r="L6" s="6">
        <v>55.565</v>
      </c>
      <c r="M6" s="6">
        <v>62.35</v>
      </c>
      <c r="N6" s="6">
        <v>70.29</v>
      </c>
      <c r="O6" s="6">
        <v>70.69</v>
      </c>
      <c r="P6" s="6">
        <v>62.68</v>
      </c>
      <c r="Q6" s="6">
        <v>62.69</v>
      </c>
    </row>
    <row r="7" spans="1:17">
      <c r="A7" s="5">
        <v>20230505</v>
      </c>
      <c r="B7" s="6">
        <v>71.34</v>
      </c>
      <c r="C7" s="6">
        <v>75.3</v>
      </c>
      <c r="D7" s="6">
        <v>73.24</v>
      </c>
      <c r="E7" s="6">
        <v>491</v>
      </c>
      <c r="F7" s="6">
        <v>73.25</v>
      </c>
      <c r="G7" s="6">
        <v>73.25</v>
      </c>
      <c r="H7" s="6">
        <v>75.78</v>
      </c>
      <c r="I7" s="6">
        <v>66.465</v>
      </c>
      <c r="J7" s="6">
        <v>74.44</v>
      </c>
      <c r="K7" s="6">
        <v>76.09</v>
      </c>
      <c r="L7" s="6">
        <v>55.64</v>
      </c>
      <c r="M7" s="6">
        <v>64.84</v>
      </c>
      <c r="N7" s="6">
        <v>70.45</v>
      </c>
      <c r="O7" s="6">
        <v>70.85</v>
      </c>
      <c r="P7" s="6">
        <v>62.89</v>
      </c>
      <c r="Q7" s="6">
        <v>62.95</v>
      </c>
    </row>
    <row r="8" spans="1:17">
      <c r="A8" s="5">
        <v>20230508</v>
      </c>
      <c r="B8" s="6">
        <v>73.16</v>
      </c>
      <c r="C8" s="6">
        <v>77.01</v>
      </c>
      <c r="D8" s="6">
        <v>76.1</v>
      </c>
      <c r="E8" s="6">
        <v>507.8</v>
      </c>
      <c r="F8" s="6">
        <v>76.16</v>
      </c>
      <c r="G8" s="6">
        <v>76.16</v>
      </c>
      <c r="H8" s="6"/>
      <c r="I8" s="6">
        <v>69.45</v>
      </c>
      <c r="J8" s="6">
        <v>77.37</v>
      </c>
      <c r="K8" s="6">
        <v>77.37</v>
      </c>
      <c r="L8" s="6">
        <v>58.74</v>
      </c>
      <c r="M8" s="6"/>
      <c r="N8" s="6"/>
      <c r="O8" s="6"/>
      <c r="P8" s="6"/>
      <c r="Q8" s="6">
        <v>65.89</v>
      </c>
    </row>
    <row r="9" spans="1:17">
      <c r="A9" s="5">
        <v>20230509</v>
      </c>
      <c r="B9" s="6">
        <v>73.71</v>
      </c>
      <c r="C9" s="6">
        <v>77.44</v>
      </c>
      <c r="D9" s="6">
        <v>75.74</v>
      </c>
      <c r="E9" s="6">
        <v>518.9</v>
      </c>
      <c r="F9" s="6">
        <v>75.81</v>
      </c>
      <c r="G9" s="6">
        <v>75.81</v>
      </c>
      <c r="H9" s="6">
        <v>75.665</v>
      </c>
      <c r="I9" s="6">
        <v>69.015</v>
      </c>
      <c r="J9" s="6">
        <v>77.26</v>
      </c>
      <c r="K9" s="6">
        <v>78.81</v>
      </c>
      <c r="L9" s="6">
        <v>58.12</v>
      </c>
      <c r="M9" s="6">
        <v>64.42</v>
      </c>
      <c r="N9" s="6">
        <v>71.81</v>
      </c>
      <c r="O9" s="6">
        <v>72.21</v>
      </c>
      <c r="P9" s="6">
        <v>65.31</v>
      </c>
      <c r="Q9" s="6">
        <v>65.61</v>
      </c>
    </row>
    <row r="10" spans="1:17">
      <c r="A10" s="5">
        <v>20230510</v>
      </c>
      <c r="B10" s="6">
        <v>72.56</v>
      </c>
      <c r="C10" s="6">
        <v>76.41</v>
      </c>
      <c r="D10" s="6">
        <v>75.63</v>
      </c>
      <c r="E10" s="6">
        <v>516.6</v>
      </c>
      <c r="F10" s="6">
        <v>75.72</v>
      </c>
      <c r="G10" s="6">
        <v>75.72</v>
      </c>
      <c r="H10" s="6">
        <v>77.325</v>
      </c>
      <c r="I10" s="6">
        <v>69.105</v>
      </c>
      <c r="J10" s="6">
        <v>77.53</v>
      </c>
      <c r="K10" s="6">
        <v>79.08</v>
      </c>
      <c r="L10" s="6">
        <v>58.29</v>
      </c>
      <c r="M10" s="6">
        <v>66.01</v>
      </c>
      <c r="N10" s="6">
        <v>71.98</v>
      </c>
      <c r="O10" s="6">
        <v>72.38</v>
      </c>
      <c r="P10" s="6">
        <v>65.53</v>
      </c>
      <c r="Q10" s="6">
        <v>65.88</v>
      </c>
    </row>
    <row r="11" spans="1:17">
      <c r="A11" s="5">
        <v>20230511</v>
      </c>
      <c r="B11" s="6">
        <v>70.87</v>
      </c>
      <c r="C11" s="6">
        <v>74.98</v>
      </c>
      <c r="D11" s="6">
        <v>76.18</v>
      </c>
      <c r="E11" s="6">
        <v>514.5</v>
      </c>
      <c r="F11" s="6">
        <v>76.19</v>
      </c>
      <c r="G11" s="6">
        <v>76.19</v>
      </c>
      <c r="H11" s="6">
        <v>76.185</v>
      </c>
      <c r="I11" s="6">
        <v>69.525</v>
      </c>
      <c r="J11" s="6">
        <v>78.25</v>
      </c>
      <c r="K11" s="6">
        <v>79.65</v>
      </c>
      <c r="L11" s="6">
        <v>58.63</v>
      </c>
      <c r="M11" s="6">
        <v>64.78</v>
      </c>
      <c r="N11" s="6">
        <v>72.58</v>
      </c>
      <c r="O11" s="6">
        <v>72.98</v>
      </c>
      <c r="P11" s="6">
        <v>66.15</v>
      </c>
      <c r="Q11" s="6">
        <v>66.43</v>
      </c>
    </row>
    <row r="12" spans="1:17">
      <c r="A12" s="5">
        <v>20230512</v>
      </c>
      <c r="B12" s="6">
        <v>70.04</v>
      </c>
      <c r="C12" s="6">
        <v>74.17</v>
      </c>
      <c r="D12" s="6">
        <v>73.38</v>
      </c>
      <c r="E12" s="6">
        <v>502.7</v>
      </c>
      <c r="F12" s="6">
        <v>73.53</v>
      </c>
      <c r="G12" s="6">
        <v>73.53</v>
      </c>
      <c r="H12" s="6">
        <v>75.31</v>
      </c>
      <c r="I12" s="6">
        <v>67.22</v>
      </c>
      <c r="J12" s="6">
        <v>75.81</v>
      </c>
      <c r="K12" s="6">
        <v>77.21</v>
      </c>
      <c r="L12" s="6">
        <v>56.43</v>
      </c>
      <c r="M12" s="6">
        <v>63.74</v>
      </c>
      <c r="N12" s="6">
        <v>69.66</v>
      </c>
      <c r="O12" s="6">
        <v>70.06</v>
      </c>
      <c r="P12" s="6">
        <v>63.71</v>
      </c>
      <c r="Q12" s="6">
        <v>63.96</v>
      </c>
    </row>
    <row r="13" spans="1:17">
      <c r="A13" s="5">
        <v>20230515</v>
      </c>
      <c r="B13" s="6">
        <v>71.11</v>
      </c>
      <c r="C13" s="6">
        <v>75.23</v>
      </c>
      <c r="D13" s="6">
        <v>73.21</v>
      </c>
      <c r="E13" s="6">
        <v>497.7</v>
      </c>
      <c r="F13" s="6">
        <v>73.3</v>
      </c>
      <c r="G13" s="6">
        <v>73.3</v>
      </c>
      <c r="H13" s="6">
        <v>75.44</v>
      </c>
      <c r="I13" s="6">
        <v>67.105</v>
      </c>
      <c r="J13" s="6">
        <v>75.43</v>
      </c>
      <c r="K13" s="6">
        <v>77.08</v>
      </c>
      <c r="L13" s="6">
        <v>56.34</v>
      </c>
      <c r="M13" s="6">
        <v>64.25</v>
      </c>
      <c r="N13" s="6">
        <v>69.47</v>
      </c>
      <c r="O13" s="6">
        <v>69.87</v>
      </c>
      <c r="P13" s="6">
        <v>63.48</v>
      </c>
      <c r="Q13" s="6">
        <v>63.82</v>
      </c>
    </row>
    <row r="14" spans="1:17">
      <c r="A14" s="5">
        <v>20230516</v>
      </c>
      <c r="B14" s="6">
        <v>70.86</v>
      </c>
      <c r="C14" s="6">
        <v>74.91</v>
      </c>
      <c r="D14" s="6">
        <v>74.52</v>
      </c>
      <c r="E14" s="6">
        <v>504.5</v>
      </c>
      <c r="F14" s="6">
        <v>74.55</v>
      </c>
      <c r="G14" s="6">
        <v>74.55</v>
      </c>
      <c r="H14" s="6">
        <v>75.145</v>
      </c>
      <c r="I14" s="6">
        <v>68.23</v>
      </c>
      <c r="J14" s="6">
        <v>76.52</v>
      </c>
      <c r="K14" s="6">
        <v>76.52</v>
      </c>
      <c r="L14" s="6">
        <v>57.3</v>
      </c>
      <c r="M14" s="6">
        <v>64.52</v>
      </c>
      <c r="N14" s="6">
        <v>70.52</v>
      </c>
      <c r="O14" s="6">
        <v>70.92</v>
      </c>
      <c r="P14" s="6">
        <v>65.07</v>
      </c>
      <c r="Q14" s="6">
        <v>65.07</v>
      </c>
    </row>
    <row r="15" spans="1:17">
      <c r="A15" s="5">
        <v>20230517</v>
      </c>
      <c r="B15" s="6">
        <v>72.83</v>
      </c>
      <c r="C15" s="6">
        <v>76.96</v>
      </c>
      <c r="D15" s="6">
        <v>73.19</v>
      </c>
      <c r="E15" s="6">
        <v>505.1</v>
      </c>
      <c r="F15" s="6">
        <v>73.15</v>
      </c>
      <c r="G15" s="6">
        <v>73.15</v>
      </c>
      <c r="H15" s="6">
        <v>76.33</v>
      </c>
      <c r="I15" s="6">
        <v>67.21</v>
      </c>
      <c r="J15" s="6">
        <v>75.48</v>
      </c>
      <c r="K15" s="6">
        <v>77.33</v>
      </c>
      <c r="L15" s="6">
        <v>56.48</v>
      </c>
      <c r="M15" s="6">
        <v>66.27</v>
      </c>
      <c r="N15" s="6">
        <v>69.45</v>
      </c>
      <c r="O15" s="6">
        <v>69.85</v>
      </c>
      <c r="P15" s="6">
        <v>64.68</v>
      </c>
      <c r="Q15" s="6">
        <v>64</v>
      </c>
    </row>
    <row r="16" spans="1:17">
      <c r="A16" s="5">
        <v>20230518</v>
      </c>
      <c r="B16" s="6">
        <v>71.86</v>
      </c>
      <c r="C16" s="6">
        <v>75.86</v>
      </c>
      <c r="D16" s="6">
        <v>75.32</v>
      </c>
      <c r="E16" s="6">
        <v>514</v>
      </c>
      <c r="F16" s="6">
        <v>75.33</v>
      </c>
      <c r="G16" s="6">
        <v>75.33</v>
      </c>
      <c r="H16" s="6">
        <v>75.95</v>
      </c>
      <c r="I16" s="6">
        <v>69.715</v>
      </c>
      <c r="J16" s="6">
        <v>77.95</v>
      </c>
      <c r="K16" s="6">
        <v>79.65</v>
      </c>
      <c r="L16" s="6">
        <v>59.3</v>
      </c>
      <c r="M16" s="6">
        <v>66.59</v>
      </c>
      <c r="N16" s="6">
        <v>70.99</v>
      </c>
      <c r="O16" s="6">
        <v>71.69</v>
      </c>
      <c r="P16" s="6">
        <v>67.4</v>
      </c>
      <c r="Q16" s="6">
        <v>66.34</v>
      </c>
    </row>
    <row r="17" spans="1:17">
      <c r="A17" s="5">
        <v>20230519</v>
      </c>
      <c r="B17" s="6">
        <v>71.55</v>
      </c>
      <c r="C17" s="6">
        <v>75.58</v>
      </c>
      <c r="D17" s="6">
        <v>74.89</v>
      </c>
      <c r="E17" s="6">
        <v>517.7</v>
      </c>
      <c r="F17" s="6">
        <v>75.01</v>
      </c>
      <c r="G17" s="6">
        <v>75.01</v>
      </c>
      <c r="H17" s="6">
        <v>75.93</v>
      </c>
      <c r="I17" s="6">
        <v>69.195</v>
      </c>
      <c r="J17" s="6">
        <v>77.56</v>
      </c>
      <c r="K17" s="6">
        <v>79.11</v>
      </c>
      <c r="L17" s="6">
        <v>58.82</v>
      </c>
      <c r="M17" s="6">
        <v>66.85</v>
      </c>
      <c r="N17" s="6">
        <v>70.19</v>
      </c>
      <c r="O17" s="6">
        <v>71.04</v>
      </c>
      <c r="P17" s="6">
        <v>67.36</v>
      </c>
      <c r="Q17" s="6">
        <v>65.59</v>
      </c>
    </row>
    <row r="18" spans="1:17">
      <c r="A18" s="5">
        <v>20230522</v>
      </c>
      <c r="B18" s="6">
        <v>71.99</v>
      </c>
      <c r="C18" s="6">
        <v>75.99</v>
      </c>
      <c r="D18" s="6">
        <v>74.18</v>
      </c>
      <c r="E18" s="6">
        <v>515.5</v>
      </c>
      <c r="F18" s="6">
        <v>74.225</v>
      </c>
      <c r="G18" s="6">
        <v>74.225</v>
      </c>
      <c r="H18" s="6">
        <v>75.81</v>
      </c>
      <c r="I18" s="6">
        <v>68.49</v>
      </c>
      <c r="J18" s="6">
        <v>76.66</v>
      </c>
      <c r="K18" s="6">
        <v>78.16</v>
      </c>
      <c r="L18" s="6">
        <v>58.205</v>
      </c>
      <c r="M18" s="6">
        <v>67.43</v>
      </c>
      <c r="N18" s="6">
        <v>69.5</v>
      </c>
      <c r="O18" s="6">
        <v>70.35</v>
      </c>
      <c r="P18" s="6">
        <v>66.86</v>
      </c>
      <c r="Q18" s="6">
        <v>64.8</v>
      </c>
    </row>
    <row r="19" spans="1:17">
      <c r="A19" s="5">
        <v>20230523</v>
      </c>
      <c r="B19" s="6">
        <v>72.91</v>
      </c>
      <c r="C19" s="6">
        <v>76.84</v>
      </c>
      <c r="D19" s="6">
        <v>74.87</v>
      </c>
      <c r="E19" s="6">
        <v>515.1</v>
      </c>
      <c r="F19" s="6">
        <v>74.92</v>
      </c>
      <c r="G19" s="6">
        <v>74.92</v>
      </c>
      <c r="H19" s="6">
        <v>76.9</v>
      </c>
      <c r="I19" s="6">
        <v>68.99</v>
      </c>
      <c r="J19" s="6">
        <v>77.6</v>
      </c>
      <c r="K19" s="6">
        <v>78.75</v>
      </c>
      <c r="L19" s="6">
        <v>58.5</v>
      </c>
      <c r="M19" s="6">
        <v>68.87</v>
      </c>
      <c r="N19" s="6">
        <v>70.02</v>
      </c>
      <c r="O19" s="6">
        <v>70.87</v>
      </c>
      <c r="P19" s="6">
        <v>67.7</v>
      </c>
      <c r="Q19" s="6">
        <v>65.37</v>
      </c>
    </row>
    <row r="20" spans="1:17">
      <c r="A20" s="5">
        <v>20230524</v>
      </c>
      <c r="B20" s="6">
        <v>74.34</v>
      </c>
      <c r="C20" s="6">
        <v>78.36</v>
      </c>
      <c r="D20" s="6">
        <v>76.61</v>
      </c>
      <c r="E20" s="6">
        <v>523.6</v>
      </c>
      <c r="F20" s="6">
        <v>76.61</v>
      </c>
      <c r="G20" s="6">
        <v>76.61</v>
      </c>
      <c r="H20" s="6">
        <v>77.59</v>
      </c>
      <c r="I20" s="6">
        <v>70.79</v>
      </c>
      <c r="J20" s="6">
        <v>79.33</v>
      </c>
      <c r="K20" s="6">
        <v>80.38</v>
      </c>
      <c r="L20" s="6">
        <v>60.515</v>
      </c>
      <c r="M20" s="6">
        <v>69.87</v>
      </c>
      <c r="N20" s="6">
        <v>71.7</v>
      </c>
      <c r="O20" s="6">
        <v>72.55</v>
      </c>
      <c r="P20" s="6">
        <v>69.33</v>
      </c>
      <c r="Q20" s="6">
        <v>67.05</v>
      </c>
    </row>
    <row r="21" spans="1:17">
      <c r="A21" s="5">
        <v>20230525</v>
      </c>
      <c r="B21" s="6">
        <v>71.83</v>
      </c>
      <c r="C21" s="6">
        <v>76.26</v>
      </c>
      <c r="D21" s="6">
        <v>76.64</v>
      </c>
      <c r="E21" s="6">
        <v>529.6</v>
      </c>
      <c r="F21" s="6">
        <v>76.7</v>
      </c>
      <c r="G21" s="6">
        <v>76.7</v>
      </c>
      <c r="H21" s="6">
        <v>75.565</v>
      </c>
      <c r="I21" s="6">
        <v>70.835</v>
      </c>
      <c r="J21" s="6">
        <v>79.54</v>
      </c>
      <c r="K21" s="6">
        <v>79.54</v>
      </c>
      <c r="L21" s="6">
        <v>60.44</v>
      </c>
      <c r="M21" s="6">
        <v>68</v>
      </c>
      <c r="N21" s="6">
        <v>71.4</v>
      </c>
      <c r="O21" s="6">
        <v>72.45</v>
      </c>
      <c r="P21" s="6">
        <v>69.59</v>
      </c>
      <c r="Q21" s="6">
        <v>67.15</v>
      </c>
    </row>
    <row r="22" spans="1:17">
      <c r="A22" s="5">
        <v>20230526</v>
      </c>
      <c r="B22" s="6">
        <v>72.67</v>
      </c>
      <c r="C22" s="6">
        <v>76.95</v>
      </c>
      <c r="D22" s="6">
        <v>75.22</v>
      </c>
      <c r="E22" s="6">
        <v>518.7</v>
      </c>
      <c r="F22" s="6">
        <v>75.34</v>
      </c>
      <c r="G22" s="6">
        <v>75.34</v>
      </c>
      <c r="H22" s="6">
        <v>76.435</v>
      </c>
      <c r="I22" s="6">
        <v>69.655</v>
      </c>
      <c r="J22" s="6">
        <v>78.32</v>
      </c>
      <c r="K22" s="6">
        <v>79.32</v>
      </c>
      <c r="L22" s="6">
        <v>59.15</v>
      </c>
      <c r="M22" s="6">
        <v>69.22</v>
      </c>
      <c r="N22" s="6">
        <v>69.78</v>
      </c>
      <c r="O22" s="6">
        <v>71.03</v>
      </c>
      <c r="P22" s="6">
        <v>68.67</v>
      </c>
      <c r="Q22" s="6">
        <v>65.78</v>
      </c>
    </row>
    <row r="23" spans="1:17">
      <c r="A23" s="5">
        <v>20230529</v>
      </c>
      <c r="B23" s="6"/>
      <c r="C23" s="6">
        <v>77.07</v>
      </c>
      <c r="D23" s="6"/>
      <c r="E23" s="6">
        <v>528.9</v>
      </c>
      <c r="F23" s="6">
        <v>76.25</v>
      </c>
      <c r="G23" s="6">
        <v>76.25</v>
      </c>
      <c r="H23" s="6"/>
      <c r="I23" s="6">
        <v>70.715</v>
      </c>
      <c r="J23" s="6">
        <v>79.34</v>
      </c>
      <c r="K23" s="6">
        <v>80.34</v>
      </c>
      <c r="L23" s="6">
        <v>60.18</v>
      </c>
      <c r="M23" s="6"/>
      <c r="N23" s="6"/>
      <c r="O23" s="6"/>
      <c r="P23" s="6"/>
      <c r="Q23" s="6">
        <v>66.7</v>
      </c>
    </row>
    <row r="24" spans="1:17">
      <c r="A24" s="5">
        <v>20230530</v>
      </c>
      <c r="B24" s="6">
        <v>69.46</v>
      </c>
      <c r="C24" s="6">
        <v>73.54</v>
      </c>
      <c r="D24" s="6">
        <v>74.12</v>
      </c>
      <c r="E24" s="6">
        <v>528.1</v>
      </c>
      <c r="F24" s="6">
        <v>74.93</v>
      </c>
      <c r="G24" s="6">
        <v>74.93</v>
      </c>
      <c r="H24" s="6">
        <v>73.98</v>
      </c>
      <c r="I24" s="6">
        <v>69.51</v>
      </c>
      <c r="J24" s="6">
        <v>78.23</v>
      </c>
      <c r="K24" s="6">
        <v>79.13</v>
      </c>
      <c r="L24" s="6">
        <v>58.89</v>
      </c>
      <c r="M24" s="6">
        <v>66.36</v>
      </c>
      <c r="N24" s="6">
        <v>69.32</v>
      </c>
      <c r="O24" s="6">
        <v>70.72</v>
      </c>
      <c r="P24" s="6">
        <v>68.13</v>
      </c>
      <c r="Q24" s="6">
        <v>65.37</v>
      </c>
    </row>
    <row r="25" spans="1:17">
      <c r="A25" s="5">
        <v>20230531</v>
      </c>
      <c r="B25" s="6">
        <v>68.09</v>
      </c>
      <c r="C25" s="6">
        <v>72.66</v>
      </c>
      <c r="D25" s="6">
        <v>71.71</v>
      </c>
      <c r="E25" s="6">
        <v>509.4</v>
      </c>
      <c r="F25" s="6">
        <v>72.22</v>
      </c>
      <c r="G25" s="6">
        <v>72.22</v>
      </c>
      <c r="H25" s="6">
        <v>72.885</v>
      </c>
      <c r="I25" s="6">
        <v>67.07</v>
      </c>
      <c r="J25" s="6">
        <v>75.78</v>
      </c>
      <c r="K25" s="6">
        <v>76.68</v>
      </c>
      <c r="L25" s="6">
        <v>56.655</v>
      </c>
      <c r="M25" s="6">
        <v>64.94</v>
      </c>
      <c r="N25" s="6">
        <v>66.89</v>
      </c>
      <c r="O25" s="6">
        <v>68.29</v>
      </c>
      <c r="P25" s="6">
        <v>65.53</v>
      </c>
      <c r="Q25" s="6">
        <v>62.79</v>
      </c>
    </row>
    <row r="26" spans="1:17">
      <c r="A26" s="7" t="s">
        <v>17</v>
      </c>
      <c r="B26" s="8">
        <f>AVERAGE(B23:B25)</f>
        <v>68.775</v>
      </c>
      <c r="C26" s="8">
        <f t="shared" ref="C26:Q26" si="0">AVERAGE(C23:C25)</f>
        <v>74.4233333333333</v>
      </c>
      <c r="D26" s="8">
        <f t="shared" si="0"/>
        <v>72.915</v>
      </c>
      <c r="E26" s="8">
        <f t="shared" si="0"/>
        <v>522.133333333333</v>
      </c>
      <c r="F26" s="8">
        <f t="shared" si="0"/>
        <v>74.4666666666667</v>
      </c>
      <c r="G26" s="8">
        <f t="shared" si="0"/>
        <v>74.4666666666667</v>
      </c>
      <c r="H26" s="8">
        <f t="shared" si="0"/>
        <v>73.4325</v>
      </c>
      <c r="I26" s="8">
        <f t="shared" si="0"/>
        <v>69.0983333333333</v>
      </c>
      <c r="J26" s="8">
        <f t="shared" si="0"/>
        <v>77.7833333333333</v>
      </c>
      <c r="K26" s="8">
        <f t="shared" si="0"/>
        <v>78.7166666666667</v>
      </c>
      <c r="L26" s="8">
        <f t="shared" si="0"/>
        <v>58.575</v>
      </c>
      <c r="M26" s="8">
        <f t="shared" si="0"/>
        <v>65.65</v>
      </c>
      <c r="N26" s="8">
        <f t="shared" si="0"/>
        <v>68.105</v>
      </c>
      <c r="O26" s="8">
        <f t="shared" si="0"/>
        <v>69.505</v>
      </c>
      <c r="P26" s="8">
        <f t="shared" si="0"/>
        <v>66.83</v>
      </c>
      <c r="Q26" s="8">
        <f t="shared" si="0"/>
        <v>64.9533333333333</v>
      </c>
    </row>
    <row r="27" ht="22.5" spans="1:17">
      <c r="A27" s="3" t="s">
        <v>40</v>
      </c>
      <c r="B27" s="9">
        <f>AVERAGE(B3:B25)</f>
        <v>71.6209090909091</v>
      </c>
      <c r="C27" s="9">
        <f t="shared" ref="C27:Q27" si="1">AVERAGE(C3:C25)</f>
        <v>75.6947826086956</v>
      </c>
      <c r="D27" s="9">
        <f t="shared" si="1"/>
        <v>74.9072727272728</v>
      </c>
      <c r="E27" s="9">
        <f t="shared" si="1"/>
        <v>512.695</v>
      </c>
      <c r="F27" s="9">
        <f t="shared" si="1"/>
        <v>74.9254545454545</v>
      </c>
      <c r="G27" s="9">
        <f t="shared" si="1"/>
        <v>74.9261363636364</v>
      </c>
      <c r="H27" s="9">
        <f t="shared" si="1"/>
        <v>75.55125</v>
      </c>
      <c r="I27" s="9">
        <f t="shared" si="1"/>
        <v>68.8320454545455</v>
      </c>
      <c r="J27" s="9">
        <f t="shared" si="1"/>
        <v>77.1636363636363</v>
      </c>
      <c r="K27" s="9">
        <f t="shared" si="1"/>
        <v>78.3954545454545</v>
      </c>
      <c r="L27" s="9">
        <f t="shared" si="1"/>
        <v>58.2161363636364</v>
      </c>
      <c r="M27" s="9">
        <f t="shared" si="1"/>
        <v>65.8355</v>
      </c>
      <c r="N27" s="9">
        <f t="shared" si="1"/>
        <v>70.646</v>
      </c>
      <c r="O27" s="9">
        <f t="shared" si="1"/>
        <v>71.326</v>
      </c>
      <c r="P27" s="9">
        <f t="shared" si="1"/>
        <v>66.1145</v>
      </c>
      <c r="Q27" s="9">
        <f t="shared" si="1"/>
        <v>65.2231818181818</v>
      </c>
    </row>
    <row r="28" ht="23.25" spans="1:17">
      <c r="A28" s="10" t="s">
        <v>19</v>
      </c>
      <c r="B28" s="23">
        <f>(B27-B2)/B2</f>
        <v>-0.0984097097869432</v>
      </c>
      <c r="C28" s="23">
        <f t="shared" ref="C28:Q28" si="2">(C27-C2)/C2</f>
        <v>-0.0920506375810651</v>
      </c>
      <c r="D28" s="23">
        <f t="shared" si="2"/>
        <v>-0.100559808249588</v>
      </c>
      <c r="E28" s="23">
        <f t="shared" si="2"/>
        <v>-0.106565563922187</v>
      </c>
      <c r="F28" s="23">
        <f t="shared" si="2"/>
        <v>-0.101740800174381</v>
      </c>
      <c r="G28" s="23">
        <f t="shared" si="2"/>
        <v>-0.102471682075813</v>
      </c>
      <c r="H28" s="23">
        <f t="shared" si="2"/>
        <v>-0.110487362968002</v>
      </c>
      <c r="I28" s="23">
        <f t="shared" si="2"/>
        <v>-0.0903085169887013</v>
      </c>
      <c r="J28" s="23">
        <f t="shared" si="2"/>
        <v>-0.0925465045158295</v>
      </c>
      <c r="K28" s="23">
        <f t="shared" si="2"/>
        <v>-0.0895282116140563</v>
      </c>
      <c r="L28" s="23">
        <f t="shared" si="2"/>
        <v>-0.0786053871324638</v>
      </c>
      <c r="M28" s="23">
        <f t="shared" si="2"/>
        <v>-0.115609537669316</v>
      </c>
      <c r="N28" s="23">
        <f t="shared" si="2"/>
        <v>-0.131922186436951</v>
      </c>
      <c r="O28" s="23">
        <f t="shared" si="2"/>
        <v>-0.128526230499145</v>
      </c>
      <c r="P28" s="23">
        <f t="shared" si="2"/>
        <v>-0.110746710305095</v>
      </c>
      <c r="Q28" s="23">
        <f t="shared" si="2"/>
        <v>-0.10531260726913</v>
      </c>
    </row>
    <row r="29" ht="15"/>
  </sheetData>
  <pageMargins left="0.75" right="0.75" top="1" bottom="1" header="0.5" footer="0.5"/>
  <pageSetup paperSize="9" orientation="portrait"/>
  <headerFooter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/>
  <dimension ref="A1:Q26"/>
  <sheetViews>
    <sheetView workbookViewId="0">
      <selection activeCell="E22" sqref="E3:E22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21</v>
      </c>
      <c r="B2" s="9">
        <v>73.3726086956522</v>
      </c>
      <c r="C2" s="9">
        <v>79.2069565217391</v>
      </c>
      <c r="D2" s="9">
        <v>78.4886956521739</v>
      </c>
      <c r="E2" s="9">
        <v>530.973913043478</v>
      </c>
      <c r="F2" s="9">
        <v>78.4932608695652</v>
      </c>
      <c r="G2" s="9">
        <v>78.5726086956522</v>
      </c>
      <c r="H2" s="9">
        <v>78.5597826086957</v>
      </c>
      <c r="I2" s="9">
        <v>70.6102173913044</v>
      </c>
      <c r="J2" s="9">
        <v>80.1052173913043</v>
      </c>
      <c r="K2" s="9">
        <v>81.7595652173913</v>
      </c>
      <c r="L2" s="9">
        <v>57.359347826087</v>
      </c>
      <c r="M2" s="6">
        <v>72.054347826087</v>
      </c>
      <c r="N2" s="6">
        <v>77.1560869565217</v>
      </c>
      <c r="O2" s="6">
        <v>77.6952173913044</v>
      </c>
      <c r="P2" s="6">
        <v>72.1139130434783</v>
      </c>
      <c r="Q2" s="6">
        <v>67.8191304347826</v>
      </c>
    </row>
    <row r="3" spans="1:17">
      <c r="A3" s="5">
        <v>20230403</v>
      </c>
      <c r="B3" s="6">
        <v>80.42</v>
      </c>
      <c r="C3" s="6">
        <v>84.93</v>
      </c>
      <c r="D3" s="6">
        <v>84.11</v>
      </c>
      <c r="E3" s="6">
        <v>546</v>
      </c>
      <c r="F3" s="6">
        <v>84.05</v>
      </c>
      <c r="G3" s="6">
        <v>84.1</v>
      </c>
      <c r="H3" s="6">
        <v>85.51</v>
      </c>
      <c r="I3" s="6">
        <v>75.44</v>
      </c>
      <c r="J3" s="6">
        <v>85.53</v>
      </c>
      <c r="K3" s="6">
        <v>86.53</v>
      </c>
      <c r="L3" s="6">
        <v>61.645</v>
      </c>
      <c r="M3" s="6">
        <v>77.9</v>
      </c>
      <c r="N3" s="6">
        <v>82.21</v>
      </c>
      <c r="O3" s="6">
        <v>82.81</v>
      </c>
      <c r="P3" s="6">
        <v>76.68</v>
      </c>
      <c r="Q3" s="6">
        <v>73.11</v>
      </c>
    </row>
    <row r="4" spans="1:17">
      <c r="A4" s="5">
        <v>20230404</v>
      </c>
      <c r="B4" s="6">
        <v>80.71</v>
      </c>
      <c r="C4" s="6">
        <v>84.94</v>
      </c>
      <c r="D4" s="6">
        <v>85.11</v>
      </c>
      <c r="E4" s="6">
        <v>576</v>
      </c>
      <c r="F4" s="6">
        <v>85.05</v>
      </c>
      <c r="G4" s="6">
        <v>85.1</v>
      </c>
      <c r="H4" s="6">
        <v>85.325</v>
      </c>
      <c r="I4" s="6">
        <v>76.76</v>
      </c>
      <c r="J4" s="6">
        <v>86.89</v>
      </c>
      <c r="K4" s="6">
        <v>87.89</v>
      </c>
      <c r="L4" s="6">
        <v>63.2</v>
      </c>
      <c r="M4" s="6">
        <v>77.69</v>
      </c>
      <c r="N4" s="6">
        <v>83.26</v>
      </c>
      <c r="O4" s="6">
        <v>83.86</v>
      </c>
      <c r="P4" s="6">
        <v>78.04</v>
      </c>
      <c r="Q4" s="6">
        <v>74.26</v>
      </c>
    </row>
    <row r="5" spans="1:17">
      <c r="A5" s="5">
        <v>20230405</v>
      </c>
      <c r="B5" s="6">
        <v>80.61</v>
      </c>
      <c r="C5" s="6">
        <v>84.99</v>
      </c>
      <c r="D5" s="6">
        <v>84.91</v>
      </c>
      <c r="E5" s="6"/>
      <c r="F5" s="6">
        <v>84.91</v>
      </c>
      <c r="G5" s="6">
        <v>85</v>
      </c>
      <c r="H5" s="6">
        <v>85.595</v>
      </c>
      <c r="I5" s="6">
        <v>76.755</v>
      </c>
      <c r="J5" s="6">
        <v>87</v>
      </c>
      <c r="K5" s="6">
        <v>87.85</v>
      </c>
      <c r="L5" s="6">
        <v>63.175</v>
      </c>
      <c r="M5" s="6">
        <v>77.9</v>
      </c>
      <c r="N5" s="6">
        <v>83.23</v>
      </c>
      <c r="O5" s="6">
        <v>83.83</v>
      </c>
      <c r="P5" s="6">
        <v>78.05</v>
      </c>
      <c r="Q5" s="6">
        <v>74.28</v>
      </c>
    </row>
    <row r="6" spans="1:17">
      <c r="A6" s="5">
        <v>20230406</v>
      </c>
      <c r="B6" s="6">
        <v>80.7</v>
      </c>
      <c r="C6" s="6">
        <v>85.12</v>
      </c>
      <c r="D6" s="6">
        <v>83.9</v>
      </c>
      <c r="E6" s="6">
        <v>582.3</v>
      </c>
      <c r="F6" s="6">
        <v>84.545</v>
      </c>
      <c r="G6" s="6">
        <v>84.6</v>
      </c>
      <c r="H6" s="6">
        <v>86.17</v>
      </c>
      <c r="I6" s="6">
        <v>76.355</v>
      </c>
      <c r="J6" s="6">
        <v>86.62</v>
      </c>
      <c r="K6" s="6">
        <v>87.37</v>
      </c>
      <c r="L6" s="6">
        <v>62.785</v>
      </c>
      <c r="M6" s="6">
        <v>78.41</v>
      </c>
      <c r="N6" s="6">
        <v>82.92</v>
      </c>
      <c r="O6" s="6">
        <v>83.52</v>
      </c>
      <c r="P6" s="6">
        <v>77.47</v>
      </c>
      <c r="Q6" s="6">
        <v>74.02</v>
      </c>
    </row>
    <row r="7" spans="1:17">
      <c r="A7" s="5">
        <v>20230407</v>
      </c>
      <c r="B7" s="6"/>
      <c r="C7" s="6"/>
      <c r="D7" s="6"/>
      <c r="E7" s="6">
        <v>586.2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5">
        <v>20230410</v>
      </c>
      <c r="B8" s="6">
        <v>79.74</v>
      </c>
      <c r="C8" s="6">
        <v>84.18</v>
      </c>
      <c r="D8" s="6">
        <v>84.71</v>
      </c>
      <c r="E8" s="6">
        <v>589.1</v>
      </c>
      <c r="F8" s="6">
        <v>84.73</v>
      </c>
      <c r="G8" s="6">
        <v>84.73</v>
      </c>
      <c r="H8" s="6"/>
      <c r="I8" s="6">
        <v>76.62</v>
      </c>
      <c r="J8" s="6">
        <v>86.66</v>
      </c>
      <c r="K8" s="6">
        <v>87.46</v>
      </c>
      <c r="L8" s="6">
        <v>63.215</v>
      </c>
      <c r="M8" s="6"/>
      <c r="N8" s="6">
        <v>82.98</v>
      </c>
      <c r="O8" s="6">
        <v>83.58</v>
      </c>
      <c r="P8" s="6"/>
      <c r="Q8" s="6">
        <v>74.03</v>
      </c>
    </row>
    <row r="9" spans="1:17">
      <c r="A9" s="5">
        <v>20230411</v>
      </c>
      <c r="B9" s="6">
        <v>81.53</v>
      </c>
      <c r="C9" s="6">
        <v>85.61</v>
      </c>
      <c r="D9" s="6">
        <v>84.54</v>
      </c>
      <c r="E9" s="6">
        <v>586.1</v>
      </c>
      <c r="F9" s="6">
        <v>84.5</v>
      </c>
      <c r="G9" s="6">
        <v>84.6</v>
      </c>
      <c r="H9" s="6">
        <v>86.08</v>
      </c>
      <c r="I9" s="6">
        <v>76.54</v>
      </c>
      <c r="J9" s="6">
        <v>86.4</v>
      </c>
      <c r="K9" s="6">
        <v>87.35</v>
      </c>
      <c r="L9" s="6">
        <v>63.385</v>
      </c>
      <c r="M9" s="6">
        <v>76.36</v>
      </c>
      <c r="N9" s="6">
        <v>82.7</v>
      </c>
      <c r="O9" s="6">
        <v>83.25</v>
      </c>
      <c r="P9" s="6">
        <v>76.2</v>
      </c>
      <c r="Q9" s="6">
        <v>74</v>
      </c>
    </row>
    <row r="10" spans="1:17">
      <c r="A10" s="5">
        <v>20230412</v>
      </c>
      <c r="B10" s="6">
        <v>83.26</v>
      </c>
      <c r="C10" s="6">
        <v>87.33</v>
      </c>
      <c r="D10" s="6">
        <v>85.55</v>
      </c>
      <c r="E10" s="6">
        <v>590.5</v>
      </c>
      <c r="F10" s="6">
        <v>85.54</v>
      </c>
      <c r="G10" s="6">
        <v>85.6</v>
      </c>
      <c r="H10" s="6">
        <v>88.205</v>
      </c>
      <c r="I10" s="6">
        <v>77.33</v>
      </c>
      <c r="J10" s="6">
        <v>87.08</v>
      </c>
      <c r="K10" s="6">
        <v>87.98</v>
      </c>
      <c r="L10" s="6">
        <v>64.17</v>
      </c>
      <c r="M10" s="6">
        <v>77.55</v>
      </c>
      <c r="N10" s="6">
        <v>83.63</v>
      </c>
      <c r="O10" s="6">
        <v>84.08</v>
      </c>
      <c r="P10" s="6">
        <v>76.13</v>
      </c>
      <c r="Q10" s="6">
        <v>74.88</v>
      </c>
    </row>
    <row r="11" spans="1:17">
      <c r="A11" s="5">
        <v>20230413</v>
      </c>
      <c r="B11" s="6">
        <v>82.16</v>
      </c>
      <c r="C11" s="6">
        <v>86.09</v>
      </c>
      <c r="D11" s="6">
        <v>87.28</v>
      </c>
      <c r="E11" s="6">
        <v>600.4</v>
      </c>
      <c r="F11" s="6">
        <v>87.31</v>
      </c>
      <c r="G11" s="6">
        <v>87.31</v>
      </c>
      <c r="H11" s="6">
        <v>87.87</v>
      </c>
      <c r="I11" s="6">
        <v>79.065</v>
      </c>
      <c r="J11" s="6">
        <v>88.7</v>
      </c>
      <c r="K11" s="6">
        <v>89.55</v>
      </c>
      <c r="L11" s="6">
        <v>65.91</v>
      </c>
      <c r="M11" s="6">
        <v>77.28</v>
      </c>
      <c r="N11" s="6">
        <v>85.25</v>
      </c>
      <c r="O11" s="6">
        <v>85.65</v>
      </c>
      <c r="P11" s="6">
        <v>77.6</v>
      </c>
      <c r="Q11" s="6">
        <v>76.6</v>
      </c>
    </row>
    <row r="12" spans="1:17">
      <c r="A12" s="5">
        <v>20230414</v>
      </c>
      <c r="B12" s="6">
        <v>82.52</v>
      </c>
      <c r="C12" s="6">
        <v>86.31</v>
      </c>
      <c r="D12" s="6">
        <v>86.02</v>
      </c>
      <c r="E12" s="6">
        <v>597.9</v>
      </c>
      <c r="F12" s="6">
        <v>86.04</v>
      </c>
      <c r="G12" s="6">
        <v>86.04</v>
      </c>
      <c r="H12" s="6">
        <v>87.885</v>
      </c>
      <c r="I12" s="6">
        <v>78</v>
      </c>
      <c r="J12" s="6">
        <v>87.73</v>
      </c>
      <c r="K12" s="6">
        <v>88.63</v>
      </c>
      <c r="L12" s="6">
        <v>65.135</v>
      </c>
      <c r="M12" s="6">
        <v>76.91</v>
      </c>
      <c r="N12" s="6">
        <v>84.1</v>
      </c>
      <c r="O12" s="6">
        <v>84.5</v>
      </c>
      <c r="P12" s="6">
        <v>76.68</v>
      </c>
      <c r="Q12" s="6">
        <v>75.25</v>
      </c>
    </row>
    <row r="13" spans="1:17">
      <c r="A13" s="5">
        <v>20230417</v>
      </c>
      <c r="B13" s="6">
        <v>80.83</v>
      </c>
      <c r="C13" s="6">
        <v>84.76</v>
      </c>
      <c r="D13" s="6">
        <v>86.01</v>
      </c>
      <c r="E13" s="6">
        <v>598.3</v>
      </c>
      <c r="F13" s="6">
        <v>85.9</v>
      </c>
      <c r="G13" s="6">
        <v>85.97</v>
      </c>
      <c r="H13" s="6">
        <v>86.555</v>
      </c>
      <c r="I13" s="6">
        <v>77.745</v>
      </c>
      <c r="J13" s="6">
        <v>87.52</v>
      </c>
      <c r="K13" s="6">
        <v>88.47</v>
      </c>
      <c r="L13" s="6">
        <v>64.865</v>
      </c>
      <c r="M13" s="6">
        <v>75.45</v>
      </c>
      <c r="N13" s="6">
        <v>83.82</v>
      </c>
      <c r="O13" s="6">
        <v>84.22</v>
      </c>
      <c r="P13" s="6">
        <v>76.42</v>
      </c>
      <c r="Q13" s="6">
        <v>75.17</v>
      </c>
    </row>
    <row r="14" spans="1:17">
      <c r="A14" s="5">
        <v>20230418</v>
      </c>
      <c r="B14" s="6">
        <v>80.86</v>
      </c>
      <c r="C14" s="6">
        <v>84.77</v>
      </c>
      <c r="D14" s="6">
        <v>84.67</v>
      </c>
      <c r="E14" s="6">
        <v>586.2</v>
      </c>
      <c r="F14" s="6">
        <v>84.65</v>
      </c>
      <c r="G14" s="6">
        <v>84.68</v>
      </c>
      <c r="H14" s="6">
        <v>86.63</v>
      </c>
      <c r="I14" s="6">
        <v>76.3</v>
      </c>
      <c r="J14" s="6">
        <v>86.1</v>
      </c>
      <c r="K14" s="6">
        <v>87.4</v>
      </c>
      <c r="L14" s="6">
        <v>63.365</v>
      </c>
      <c r="M14" s="6">
        <v>75.27</v>
      </c>
      <c r="N14" s="6">
        <v>82.38</v>
      </c>
      <c r="O14" s="6">
        <v>82.78</v>
      </c>
      <c r="P14" s="6">
        <v>75</v>
      </c>
      <c r="Q14" s="6">
        <v>73.98</v>
      </c>
    </row>
    <row r="15" spans="1:17">
      <c r="A15" s="5">
        <v>20230419</v>
      </c>
      <c r="B15" s="6">
        <v>79.16</v>
      </c>
      <c r="C15" s="6">
        <v>83.12</v>
      </c>
      <c r="D15" s="6">
        <v>83.61</v>
      </c>
      <c r="E15" s="6">
        <v>583.3</v>
      </c>
      <c r="F15" s="6">
        <v>83.54</v>
      </c>
      <c r="G15" s="6">
        <v>83.58</v>
      </c>
      <c r="H15" s="6">
        <v>85.55</v>
      </c>
      <c r="I15" s="6">
        <v>75.695</v>
      </c>
      <c r="J15" s="6">
        <v>84.87</v>
      </c>
      <c r="K15" s="6">
        <v>84.87</v>
      </c>
      <c r="L15" s="6">
        <v>63.65</v>
      </c>
      <c r="M15" s="6">
        <v>73.88</v>
      </c>
      <c r="N15" s="6">
        <v>81.35</v>
      </c>
      <c r="O15" s="6">
        <v>81.75</v>
      </c>
      <c r="P15" s="6">
        <v>73.77</v>
      </c>
      <c r="Q15" s="6">
        <v>72.95</v>
      </c>
    </row>
    <row r="16" spans="1:17">
      <c r="A16" s="5">
        <v>20230420</v>
      </c>
      <c r="B16" s="6">
        <v>77.29</v>
      </c>
      <c r="C16" s="6">
        <v>81.1</v>
      </c>
      <c r="D16" s="6">
        <v>81.83</v>
      </c>
      <c r="E16" s="6">
        <v>571.8</v>
      </c>
      <c r="F16" s="6">
        <v>81.71</v>
      </c>
      <c r="G16" s="6">
        <v>81.76</v>
      </c>
      <c r="H16" s="6">
        <v>83.14</v>
      </c>
      <c r="I16" s="6">
        <v>74.32</v>
      </c>
      <c r="J16" s="6">
        <v>83.25</v>
      </c>
      <c r="K16" s="6">
        <v>84.6</v>
      </c>
      <c r="L16" s="6">
        <v>62.385</v>
      </c>
      <c r="M16" s="6">
        <v>71.28</v>
      </c>
      <c r="N16" s="6">
        <v>79.49</v>
      </c>
      <c r="O16" s="6">
        <v>79.89</v>
      </c>
      <c r="P16" s="6">
        <v>72.1</v>
      </c>
      <c r="Q16" s="6">
        <v>71.19</v>
      </c>
    </row>
    <row r="17" spans="1:17">
      <c r="A17" s="5">
        <v>20230421</v>
      </c>
      <c r="B17" s="6">
        <v>77.87</v>
      </c>
      <c r="C17" s="6">
        <v>81.66</v>
      </c>
      <c r="D17" s="6">
        <v>81.01</v>
      </c>
      <c r="E17" s="6">
        <v>558.9</v>
      </c>
      <c r="F17" s="6">
        <v>80.75</v>
      </c>
      <c r="G17" s="6">
        <v>80.9</v>
      </c>
      <c r="H17" s="6">
        <v>83.395</v>
      </c>
      <c r="I17" s="6">
        <v>73.455</v>
      </c>
      <c r="J17" s="6">
        <v>82.35</v>
      </c>
      <c r="K17" s="6">
        <v>83.7</v>
      </c>
      <c r="L17" s="6">
        <v>61.78</v>
      </c>
      <c r="M17" s="6">
        <v>71.77</v>
      </c>
      <c r="N17" s="6">
        <v>78.65</v>
      </c>
      <c r="O17" s="6">
        <v>79.05</v>
      </c>
      <c r="P17" s="6">
        <v>71.25</v>
      </c>
      <c r="Q17" s="6">
        <v>70.45</v>
      </c>
    </row>
    <row r="18" spans="1:17">
      <c r="A18" s="5">
        <v>20230424</v>
      </c>
      <c r="B18" s="6">
        <v>78.76</v>
      </c>
      <c r="C18" s="6">
        <v>82.73</v>
      </c>
      <c r="D18" s="6">
        <v>81.25</v>
      </c>
      <c r="E18" s="6">
        <v>560.3</v>
      </c>
      <c r="F18" s="6">
        <v>80.9</v>
      </c>
      <c r="G18" s="6">
        <v>81.26</v>
      </c>
      <c r="H18" s="6">
        <v>84.26</v>
      </c>
      <c r="I18" s="6">
        <v>73.895</v>
      </c>
      <c r="J18" s="6">
        <v>82.6</v>
      </c>
      <c r="K18" s="6">
        <v>84</v>
      </c>
      <c r="L18" s="6">
        <v>62.23</v>
      </c>
      <c r="M18" s="6">
        <v>72.48</v>
      </c>
      <c r="N18" s="6">
        <v>78.76</v>
      </c>
      <c r="O18" s="6">
        <v>79.16</v>
      </c>
      <c r="P18" s="6">
        <v>71.4</v>
      </c>
      <c r="Q18" s="6">
        <v>70.71</v>
      </c>
    </row>
    <row r="19" spans="1:17">
      <c r="A19" s="5">
        <v>20230425</v>
      </c>
      <c r="B19" s="6">
        <v>77.07</v>
      </c>
      <c r="C19" s="6">
        <v>80.77</v>
      </c>
      <c r="D19" s="6">
        <v>82.74</v>
      </c>
      <c r="E19" s="6">
        <v>565.8</v>
      </c>
      <c r="F19" s="6">
        <v>82.75</v>
      </c>
      <c r="G19" s="6">
        <v>82.95</v>
      </c>
      <c r="H19" s="6">
        <v>82.465</v>
      </c>
      <c r="I19" s="6">
        <v>75.805</v>
      </c>
      <c r="J19" s="6">
        <v>84.37</v>
      </c>
      <c r="K19" s="6">
        <v>85.72</v>
      </c>
      <c r="L19" s="6">
        <v>64.42</v>
      </c>
      <c r="M19" s="6">
        <v>70.89</v>
      </c>
      <c r="N19" s="6">
        <v>80.6</v>
      </c>
      <c r="O19" s="6">
        <v>81</v>
      </c>
      <c r="P19" s="6">
        <v>73.12</v>
      </c>
      <c r="Q19" s="6">
        <v>72.55</v>
      </c>
    </row>
    <row r="20" spans="1:17">
      <c r="A20" s="5">
        <v>20230426</v>
      </c>
      <c r="B20" s="6">
        <v>74.3</v>
      </c>
      <c r="C20" s="6">
        <v>77.69</v>
      </c>
      <c r="D20" s="6">
        <v>80.69</v>
      </c>
      <c r="E20" s="6">
        <v>555.3</v>
      </c>
      <c r="F20" s="6">
        <v>80.24</v>
      </c>
      <c r="G20" s="6">
        <v>80.24</v>
      </c>
      <c r="H20" s="6">
        <v>82.185</v>
      </c>
      <c r="I20" s="6">
        <v>73.64</v>
      </c>
      <c r="J20" s="6">
        <v>82.35</v>
      </c>
      <c r="K20" s="6">
        <v>83.75</v>
      </c>
      <c r="L20" s="6">
        <v>62.58</v>
      </c>
      <c r="M20" s="6">
        <v>70.53</v>
      </c>
      <c r="N20" s="6">
        <v>78.27</v>
      </c>
      <c r="O20" s="6">
        <v>78.67</v>
      </c>
      <c r="P20" s="6">
        <v>71.15</v>
      </c>
      <c r="Q20" s="6">
        <v>70.32</v>
      </c>
    </row>
    <row r="21" spans="1:17">
      <c r="A21" s="5">
        <v>20230427</v>
      </c>
      <c r="B21" s="6">
        <v>74.76</v>
      </c>
      <c r="C21" s="6">
        <v>78.37</v>
      </c>
      <c r="D21" s="6">
        <v>76.61</v>
      </c>
      <c r="E21" s="6">
        <v>540.7</v>
      </c>
      <c r="F21" s="6">
        <v>77.95</v>
      </c>
      <c r="G21" s="6">
        <v>77.95</v>
      </c>
      <c r="H21" s="6">
        <v>80.01</v>
      </c>
      <c r="I21" s="6">
        <v>71.285</v>
      </c>
      <c r="J21" s="6">
        <v>79.66</v>
      </c>
      <c r="K21" s="6">
        <v>81.16</v>
      </c>
      <c r="L21" s="6">
        <v>60.535</v>
      </c>
      <c r="M21" s="6">
        <v>68.43</v>
      </c>
      <c r="N21" s="6">
        <v>75.9</v>
      </c>
      <c r="O21" s="6">
        <v>76.3</v>
      </c>
      <c r="P21" s="6">
        <v>68.56</v>
      </c>
      <c r="Q21" s="6">
        <v>68.15</v>
      </c>
    </row>
    <row r="22" spans="1:17">
      <c r="A22" s="5">
        <v>20230428</v>
      </c>
      <c r="B22" s="6">
        <v>76.78</v>
      </c>
      <c r="C22" s="6">
        <v>79.54</v>
      </c>
      <c r="D22" s="6">
        <v>77.81</v>
      </c>
      <c r="E22" s="6">
        <v>528</v>
      </c>
      <c r="F22" s="6">
        <v>79.76</v>
      </c>
      <c r="G22" s="6">
        <v>79.76</v>
      </c>
      <c r="H22" s="6">
        <v>82.01</v>
      </c>
      <c r="I22" s="6">
        <v>72.635</v>
      </c>
      <c r="J22" s="6">
        <v>79.95</v>
      </c>
      <c r="K22" s="6">
        <v>81.7</v>
      </c>
      <c r="L22" s="6">
        <v>62.04</v>
      </c>
      <c r="M22" s="6">
        <v>69.97</v>
      </c>
      <c r="N22" s="6">
        <v>76.76</v>
      </c>
      <c r="O22" s="6">
        <v>77.16</v>
      </c>
      <c r="P22" s="6">
        <v>68.65</v>
      </c>
      <c r="Q22" s="6">
        <v>69.21</v>
      </c>
    </row>
    <row r="23" spans="1:17">
      <c r="A23" s="7" t="s">
        <v>17</v>
      </c>
      <c r="B23" s="8">
        <f>AVERAGE(B18:B22)</f>
        <v>76.334</v>
      </c>
      <c r="C23" s="8">
        <f t="shared" ref="C23:Q23" si="0">AVERAGE(C18:C22)</f>
        <v>79.82</v>
      </c>
      <c r="D23" s="8">
        <f t="shared" si="0"/>
        <v>79.82</v>
      </c>
      <c r="E23" s="8">
        <f t="shared" si="0"/>
        <v>550.02</v>
      </c>
      <c r="F23" s="8">
        <f t="shared" si="0"/>
        <v>80.32</v>
      </c>
      <c r="G23" s="8">
        <f t="shared" si="0"/>
        <v>80.432</v>
      </c>
      <c r="H23" s="8">
        <f t="shared" si="0"/>
        <v>82.186</v>
      </c>
      <c r="I23" s="8">
        <f t="shared" si="0"/>
        <v>73.452</v>
      </c>
      <c r="J23" s="8">
        <f t="shared" si="0"/>
        <v>81.786</v>
      </c>
      <c r="K23" s="8">
        <f t="shared" si="0"/>
        <v>83.266</v>
      </c>
      <c r="L23" s="8">
        <f t="shared" si="0"/>
        <v>62.361</v>
      </c>
      <c r="M23" s="8">
        <f t="shared" si="0"/>
        <v>70.46</v>
      </c>
      <c r="N23" s="8">
        <f t="shared" si="0"/>
        <v>78.058</v>
      </c>
      <c r="O23" s="8">
        <f t="shared" si="0"/>
        <v>78.458</v>
      </c>
      <c r="P23" s="8">
        <f t="shared" si="0"/>
        <v>70.576</v>
      </c>
      <c r="Q23" s="8">
        <f t="shared" si="0"/>
        <v>70.188</v>
      </c>
    </row>
    <row r="24" ht="22.5" spans="1:17">
      <c r="A24" s="3" t="s">
        <v>45</v>
      </c>
      <c r="B24" s="9">
        <f>AVERAGE(B3:B22)</f>
        <v>79.4384210526316</v>
      </c>
      <c r="C24" s="9">
        <f t="shared" ref="C24:Q24" si="1">AVERAGE(C3:C22)</f>
        <v>83.3689473684211</v>
      </c>
      <c r="D24" s="9">
        <f t="shared" si="1"/>
        <v>83.2821052631579</v>
      </c>
      <c r="E24" s="9">
        <f t="shared" si="1"/>
        <v>573.847368421053</v>
      </c>
      <c r="F24" s="9">
        <f t="shared" si="1"/>
        <v>83.4118421052632</v>
      </c>
      <c r="G24" s="9">
        <f t="shared" si="1"/>
        <v>83.4805263157895</v>
      </c>
      <c r="H24" s="9">
        <f t="shared" si="1"/>
        <v>84.9355555555555</v>
      </c>
      <c r="I24" s="9">
        <f t="shared" si="1"/>
        <v>75.6652631578947</v>
      </c>
      <c r="J24" s="9">
        <f t="shared" si="1"/>
        <v>85.0331578947368</v>
      </c>
      <c r="K24" s="9">
        <f t="shared" si="1"/>
        <v>86.1042105263158</v>
      </c>
      <c r="L24" s="9">
        <f t="shared" si="1"/>
        <v>63.1826315789474</v>
      </c>
      <c r="M24" s="9">
        <f t="shared" si="1"/>
        <v>74.4416666666667</v>
      </c>
      <c r="N24" s="9">
        <f t="shared" si="1"/>
        <v>81.3821052631579</v>
      </c>
      <c r="O24" s="9">
        <f t="shared" si="1"/>
        <v>81.8452631578947</v>
      </c>
      <c r="P24" s="9">
        <f t="shared" si="1"/>
        <v>74.3483333333333</v>
      </c>
      <c r="Q24" s="9">
        <f t="shared" si="1"/>
        <v>72.9005263157895</v>
      </c>
    </row>
    <row r="25" ht="23.25" spans="1:17">
      <c r="A25" s="10" t="s">
        <v>19</v>
      </c>
      <c r="B25" s="24">
        <f t="shared" ref="B25:Q25" si="2">(B24-B2)/B2</f>
        <v>0.082671346498531</v>
      </c>
      <c r="C25" s="24">
        <f t="shared" si="2"/>
        <v>0.0525457741270444</v>
      </c>
      <c r="D25" s="24">
        <f t="shared" si="2"/>
        <v>0.0610713373582634</v>
      </c>
      <c r="E25" s="24">
        <f t="shared" si="2"/>
        <v>0.0807449374147758</v>
      </c>
      <c r="F25" s="24">
        <f t="shared" si="2"/>
        <v>0.0626624653022292</v>
      </c>
      <c r="G25" s="24">
        <f t="shared" si="2"/>
        <v>0.0624634678880009</v>
      </c>
      <c r="H25" s="24">
        <f t="shared" si="2"/>
        <v>0.0811582305238477</v>
      </c>
      <c r="I25" s="24">
        <f t="shared" si="2"/>
        <v>0.0715908540342904</v>
      </c>
      <c r="J25" s="24">
        <f t="shared" si="2"/>
        <v>0.0615183462939763</v>
      </c>
      <c r="K25" s="24">
        <f t="shared" si="2"/>
        <v>0.053139290765215</v>
      </c>
      <c r="L25" s="24">
        <f t="shared" si="2"/>
        <v>0.101522837576824</v>
      </c>
      <c r="M25" s="24">
        <f t="shared" si="2"/>
        <v>0.0331321969125559</v>
      </c>
      <c r="N25" s="24">
        <f t="shared" si="2"/>
        <v>0.0547723254682109</v>
      </c>
      <c r="O25" s="24">
        <f t="shared" si="2"/>
        <v>0.0534144302047458</v>
      </c>
      <c r="P25" s="24">
        <f t="shared" si="2"/>
        <v>0.0309845936179874</v>
      </c>
      <c r="Q25" s="24">
        <f t="shared" si="2"/>
        <v>0.0749257008816017</v>
      </c>
    </row>
    <row r="26" ht="15"/>
  </sheetData>
  <pageMargins left="0.75" right="0.75" top="1" bottom="1" header="0.5" footer="0.5"/>
  <pageSetup paperSize="9" orientation="portrait"/>
  <headerFooter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0"/>
  <dimension ref="A1:Q31"/>
  <sheetViews>
    <sheetView workbookViewId="0">
      <selection activeCell="E29" sqref="E29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35</v>
      </c>
      <c r="B2" s="9">
        <v>76.8605263157895</v>
      </c>
      <c r="C2" s="9">
        <v>83.5375</v>
      </c>
      <c r="D2" s="9">
        <v>82.2305</v>
      </c>
      <c r="E2" s="9">
        <v>548.265</v>
      </c>
      <c r="F2" s="9">
        <v>82.08525</v>
      </c>
      <c r="G2" s="9">
        <v>82.37</v>
      </c>
      <c r="H2" s="9">
        <v>82.486</v>
      </c>
      <c r="I2" s="9">
        <v>74.90125</v>
      </c>
      <c r="J2" s="9">
        <v>85.5465</v>
      </c>
      <c r="K2" s="9">
        <v>86.4815</v>
      </c>
      <c r="L2" s="9">
        <v>61.7465</v>
      </c>
      <c r="M2" s="6">
        <v>76.3115</v>
      </c>
      <c r="N2" s="6">
        <v>80.82</v>
      </c>
      <c r="O2" s="6">
        <v>81.32</v>
      </c>
      <c r="P2" s="6">
        <v>76.563</v>
      </c>
      <c r="Q2" s="6">
        <v>69.8375</v>
      </c>
    </row>
    <row r="3" spans="1:17">
      <c r="A3" s="5">
        <v>20230227</v>
      </c>
      <c r="B3" s="6">
        <v>75.68</v>
      </c>
      <c r="C3" s="6">
        <v>82.45</v>
      </c>
      <c r="D3" s="6">
        <v>81.95</v>
      </c>
      <c r="E3" s="6">
        <v>548.9</v>
      </c>
      <c r="F3" s="6">
        <v>82.16</v>
      </c>
      <c r="G3" s="6">
        <v>82.74</v>
      </c>
      <c r="H3" s="6">
        <v>81.47</v>
      </c>
      <c r="I3" s="6">
        <v>74.415</v>
      </c>
      <c r="J3" s="6">
        <v>84.26</v>
      </c>
      <c r="K3" s="6">
        <v>85.71</v>
      </c>
      <c r="L3" s="6">
        <v>61.16</v>
      </c>
      <c r="M3" s="6">
        <v>75.26</v>
      </c>
      <c r="N3" s="6">
        <v>80.92</v>
      </c>
      <c r="O3" s="6">
        <v>81.42</v>
      </c>
      <c r="P3" s="6">
        <v>76.31</v>
      </c>
      <c r="Q3" s="6">
        <v>70.42</v>
      </c>
    </row>
    <row r="4" spans="1:17">
      <c r="A4" s="5">
        <v>20230228</v>
      </c>
      <c r="B4" s="6">
        <v>77.05</v>
      </c>
      <c r="C4" s="6">
        <v>83.89</v>
      </c>
      <c r="D4" s="6">
        <v>81.97</v>
      </c>
      <c r="E4" s="6">
        <v>545.6</v>
      </c>
      <c r="F4" s="6">
        <v>81.9</v>
      </c>
      <c r="G4" s="6">
        <v>82.48</v>
      </c>
      <c r="H4" s="6">
        <v>83.135</v>
      </c>
      <c r="I4" s="6">
        <v>74.37</v>
      </c>
      <c r="J4" s="6">
        <v>83.75</v>
      </c>
      <c r="K4" s="6">
        <v>85.3</v>
      </c>
      <c r="L4" s="6">
        <v>61.32</v>
      </c>
      <c r="M4" s="6">
        <v>76.81</v>
      </c>
      <c r="N4" s="6">
        <v>80.18</v>
      </c>
      <c r="O4" s="6">
        <v>80.68</v>
      </c>
      <c r="P4" s="6">
        <v>75.65</v>
      </c>
      <c r="Q4" s="6">
        <v>70.43</v>
      </c>
    </row>
    <row r="5" spans="1:17">
      <c r="A5" s="5">
        <v>20230301</v>
      </c>
      <c r="B5" s="6">
        <v>77.69</v>
      </c>
      <c r="C5" s="6">
        <v>84.31</v>
      </c>
      <c r="D5" s="6">
        <v>82.44</v>
      </c>
      <c r="E5" s="6">
        <v>555.8</v>
      </c>
      <c r="F5" s="6">
        <v>82.46</v>
      </c>
      <c r="G5" s="6">
        <v>82.5</v>
      </c>
      <c r="H5" s="6">
        <v>83.5</v>
      </c>
      <c r="I5" s="6">
        <v>75.105</v>
      </c>
      <c r="J5" s="6">
        <v>84.68</v>
      </c>
      <c r="K5" s="6">
        <v>86.48</v>
      </c>
      <c r="L5" s="6">
        <v>62.06</v>
      </c>
      <c r="M5" s="6">
        <v>76.63</v>
      </c>
      <c r="N5" s="6">
        <v>80.7</v>
      </c>
      <c r="O5" s="6">
        <v>81.2</v>
      </c>
      <c r="P5" s="6">
        <v>76.68</v>
      </c>
      <c r="Q5" s="6">
        <v>71.5</v>
      </c>
    </row>
    <row r="6" spans="1:17">
      <c r="A6" s="5">
        <v>20230302</v>
      </c>
      <c r="B6" s="6">
        <v>78.16</v>
      </c>
      <c r="C6" s="6">
        <v>84.75</v>
      </c>
      <c r="D6" s="6">
        <v>82.78</v>
      </c>
      <c r="E6" s="6">
        <v>554.4</v>
      </c>
      <c r="F6" s="6">
        <v>82.84</v>
      </c>
      <c r="G6" s="6">
        <v>82.84</v>
      </c>
      <c r="H6" s="6">
        <v>85.075</v>
      </c>
      <c r="I6" s="6">
        <v>75.05</v>
      </c>
      <c r="J6" s="6">
        <v>84.64</v>
      </c>
      <c r="K6" s="6">
        <v>86.49</v>
      </c>
      <c r="L6" s="6">
        <v>61.85</v>
      </c>
      <c r="M6" s="6">
        <v>78.05</v>
      </c>
      <c r="N6" s="6">
        <v>80.9</v>
      </c>
      <c r="O6" s="6">
        <v>81.4</v>
      </c>
      <c r="P6" s="6">
        <v>76.69</v>
      </c>
      <c r="Q6" s="6">
        <v>71.9</v>
      </c>
    </row>
    <row r="7" spans="1:17">
      <c r="A7" s="5">
        <v>20230303</v>
      </c>
      <c r="B7" s="6">
        <v>79.68</v>
      </c>
      <c r="C7" s="6">
        <v>85.83</v>
      </c>
      <c r="D7" s="6">
        <v>83.32</v>
      </c>
      <c r="E7" s="6">
        <v>565.7</v>
      </c>
      <c r="F7" s="6">
        <v>83.255</v>
      </c>
      <c r="G7" s="6">
        <v>83.3</v>
      </c>
      <c r="H7" s="6">
        <v>85.17</v>
      </c>
      <c r="I7" s="6">
        <v>75.665</v>
      </c>
      <c r="J7" s="6">
        <v>85.32</v>
      </c>
      <c r="K7" s="6">
        <v>87.12</v>
      </c>
      <c r="L7" s="6">
        <v>62.48</v>
      </c>
      <c r="M7" s="6">
        <v>78.34</v>
      </c>
      <c r="N7" s="6">
        <v>81.65</v>
      </c>
      <c r="O7" s="6">
        <v>82.15</v>
      </c>
      <c r="P7" s="6">
        <v>77.32</v>
      </c>
      <c r="Q7" s="6">
        <v>72.7</v>
      </c>
    </row>
    <row r="8" spans="1:17">
      <c r="A8" s="5">
        <v>20230306</v>
      </c>
      <c r="B8" s="6">
        <v>80.46</v>
      </c>
      <c r="C8" s="6">
        <v>86.18</v>
      </c>
      <c r="D8" s="6">
        <v>84.11</v>
      </c>
      <c r="E8" s="6">
        <v>565.4</v>
      </c>
      <c r="F8" s="6">
        <v>84.09</v>
      </c>
      <c r="G8" s="6">
        <v>84.13</v>
      </c>
      <c r="H8" s="6">
        <v>85.855</v>
      </c>
      <c r="I8" s="6">
        <v>76.57</v>
      </c>
      <c r="J8" s="6">
        <v>86.23</v>
      </c>
      <c r="K8" s="6">
        <v>88.13</v>
      </c>
      <c r="L8" s="6">
        <v>63.51</v>
      </c>
      <c r="M8" s="6">
        <v>79.07</v>
      </c>
      <c r="N8" s="6">
        <v>82.57</v>
      </c>
      <c r="O8" s="6">
        <v>83.07</v>
      </c>
      <c r="P8" s="6">
        <v>78.38</v>
      </c>
      <c r="Q8" s="6">
        <v>73.57</v>
      </c>
    </row>
    <row r="9" spans="1:17">
      <c r="A9" s="5">
        <v>20230307</v>
      </c>
      <c r="B9" s="6">
        <v>77.58</v>
      </c>
      <c r="C9" s="6">
        <v>83.29</v>
      </c>
      <c r="D9" s="6">
        <v>84.66</v>
      </c>
      <c r="E9" s="6">
        <v>577.9</v>
      </c>
      <c r="F9" s="6">
        <v>84.56</v>
      </c>
      <c r="G9" s="6">
        <v>84.63</v>
      </c>
      <c r="H9" s="6">
        <v>84.005</v>
      </c>
      <c r="I9" s="6">
        <v>77.465</v>
      </c>
      <c r="J9" s="6">
        <v>86.52</v>
      </c>
      <c r="K9" s="6">
        <v>88.67</v>
      </c>
      <c r="L9" s="6">
        <v>65.115</v>
      </c>
      <c r="M9" s="6">
        <v>77.34</v>
      </c>
      <c r="N9" s="6">
        <v>83.08</v>
      </c>
      <c r="O9" s="6">
        <v>83.58</v>
      </c>
      <c r="P9" s="6">
        <v>78.92</v>
      </c>
      <c r="Q9" s="6">
        <v>74.03</v>
      </c>
    </row>
    <row r="10" spans="1:17">
      <c r="A10" s="5">
        <v>20230308</v>
      </c>
      <c r="B10" s="6">
        <v>76.66</v>
      </c>
      <c r="C10" s="6">
        <v>82.66</v>
      </c>
      <c r="D10" s="6">
        <v>82.04</v>
      </c>
      <c r="E10" s="6">
        <v>573.2</v>
      </c>
      <c r="F10" s="6">
        <v>81.96</v>
      </c>
      <c r="G10" s="6">
        <v>82.05</v>
      </c>
      <c r="H10" s="6">
        <v>82.36</v>
      </c>
      <c r="I10" s="6">
        <v>74.67</v>
      </c>
      <c r="J10" s="6">
        <v>83.7</v>
      </c>
      <c r="K10" s="6">
        <v>85.85</v>
      </c>
      <c r="L10" s="6">
        <v>62.31</v>
      </c>
      <c r="M10" s="6">
        <v>75.83</v>
      </c>
      <c r="N10" s="6">
        <v>80.57</v>
      </c>
      <c r="O10" s="6">
        <v>81.07</v>
      </c>
      <c r="P10" s="6">
        <v>76.1</v>
      </c>
      <c r="Q10" s="6">
        <v>71.42</v>
      </c>
    </row>
    <row r="11" spans="1:17">
      <c r="A11" s="5">
        <v>20230309</v>
      </c>
      <c r="B11" s="6">
        <v>75.72</v>
      </c>
      <c r="C11" s="6">
        <v>81.59</v>
      </c>
      <c r="D11" s="6">
        <v>81.81</v>
      </c>
      <c r="E11" s="6">
        <v>560.4</v>
      </c>
      <c r="F11" s="6">
        <v>81.79</v>
      </c>
      <c r="G11" s="6">
        <v>81.88</v>
      </c>
      <c r="H11" s="6">
        <v>83.07</v>
      </c>
      <c r="I11" s="6">
        <v>74.49</v>
      </c>
      <c r="J11" s="6">
        <v>83.28</v>
      </c>
      <c r="K11" s="6">
        <v>85.38</v>
      </c>
      <c r="L11" s="6">
        <v>62.38</v>
      </c>
      <c r="M11" s="6">
        <v>76.03</v>
      </c>
      <c r="N11" s="6">
        <v>80.43</v>
      </c>
      <c r="O11" s="6">
        <v>80.93</v>
      </c>
      <c r="P11" s="6">
        <v>75.68</v>
      </c>
      <c r="Q11" s="6">
        <v>71.28</v>
      </c>
    </row>
    <row r="12" spans="1:17">
      <c r="A12" s="5">
        <v>20230310</v>
      </c>
      <c r="B12" s="6">
        <v>76.68</v>
      </c>
      <c r="C12" s="6">
        <v>82.78</v>
      </c>
      <c r="D12" s="6">
        <v>80.29</v>
      </c>
      <c r="E12" s="6">
        <v>559.5</v>
      </c>
      <c r="F12" s="6">
        <v>80.205</v>
      </c>
      <c r="G12" s="6">
        <v>80.38</v>
      </c>
      <c r="H12" s="6">
        <v>82.395</v>
      </c>
      <c r="I12" s="6">
        <v>73.26</v>
      </c>
      <c r="J12" s="6">
        <v>81.37</v>
      </c>
      <c r="K12" s="6">
        <v>83.42</v>
      </c>
      <c r="L12" s="6">
        <v>61.155</v>
      </c>
      <c r="M12" s="6">
        <v>75.27</v>
      </c>
      <c r="N12" s="6">
        <v>78.78</v>
      </c>
      <c r="O12" s="6">
        <v>79.28</v>
      </c>
      <c r="P12" s="6">
        <v>73.82</v>
      </c>
      <c r="Q12" s="6">
        <v>69.73</v>
      </c>
    </row>
    <row r="13" spans="1:17">
      <c r="A13" s="5">
        <v>20230313</v>
      </c>
      <c r="B13" s="6">
        <v>74.8</v>
      </c>
      <c r="C13" s="6">
        <v>80.77</v>
      </c>
      <c r="D13" s="6">
        <v>82.46</v>
      </c>
      <c r="E13" s="6">
        <v>551.1</v>
      </c>
      <c r="F13" s="6">
        <v>82.305</v>
      </c>
      <c r="G13" s="6">
        <v>82.43</v>
      </c>
      <c r="H13" s="6">
        <v>81.175</v>
      </c>
      <c r="I13" s="6">
        <v>74.43</v>
      </c>
      <c r="J13" s="6">
        <v>83.14</v>
      </c>
      <c r="K13" s="6">
        <v>85.19</v>
      </c>
      <c r="L13" s="6">
        <v>61.385</v>
      </c>
      <c r="M13" s="6">
        <v>74.11</v>
      </c>
      <c r="N13" s="6">
        <v>80.63</v>
      </c>
      <c r="O13" s="6">
        <v>81.13</v>
      </c>
      <c r="P13" s="6">
        <v>75.59</v>
      </c>
      <c r="Q13" s="6">
        <v>71.78</v>
      </c>
    </row>
    <row r="14" spans="1:17">
      <c r="A14" s="5">
        <v>20230314</v>
      </c>
      <c r="B14" s="6">
        <v>71.33</v>
      </c>
      <c r="C14" s="6">
        <v>77.45</v>
      </c>
      <c r="D14" s="6">
        <v>79.18</v>
      </c>
      <c r="E14" s="6">
        <v>534.8</v>
      </c>
      <c r="F14" s="6">
        <v>79.09</v>
      </c>
      <c r="G14" s="6">
        <v>79.17</v>
      </c>
      <c r="H14" s="6">
        <v>78.84</v>
      </c>
      <c r="I14" s="6">
        <v>71.14</v>
      </c>
      <c r="J14" s="6">
        <v>79.89</v>
      </c>
      <c r="K14" s="6">
        <v>81.99</v>
      </c>
      <c r="L14" s="6">
        <v>58.15</v>
      </c>
      <c r="M14" s="6">
        <v>72.24</v>
      </c>
      <c r="N14" s="6">
        <v>77.47</v>
      </c>
      <c r="O14" s="6">
        <v>77.97</v>
      </c>
      <c r="P14" s="6">
        <v>72.39</v>
      </c>
      <c r="Q14" s="6">
        <v>68.12</v>
      </c>
    </row>
    <row r="15" spans="1:17">
      <c r="A15" s="5">
        <v>20230315</v>
      </c>
      <c r="B15" s="6">
        <v>67.61</v>
      </c>
      <c r="C15" s="6">
        <v>73.69</v>
      </c>
      <c r="D15" s="6">
        <v>77.92</v>
      </c>
      <c r="E15" s="6">
        <v>528.5</v>
      </c>
      <c r="F15" s="6">
        <v>77.84</v>
      </c>
      <c r="G15" s="6">
        <v>78</v>
      </c>
      <c r="H15" s="6">
        <v>71.84</v>
      </c>
      <c r="I15" s="6">
        <v>69.35</v>
      </c>
      <c r="J15" s="6">
        <v>78.92</v>
      </c>
      <c r="K15" s="6">
        <v>80.87</v>
      </c>
      <c r="L15" s="6">
        <v>55.7</v>
      </c>
      <c r="M15" s="6">
        <v>65.43</v>
      </c>
      <c r="N15" s="6">
        <v>76.35</v>
      </c>
      <c r="O15" s="6">
        <v>76.85</v>
      </c>
      <c r="P15" s="6">
        <v>71.42</v>
      </c>
      <c r="Q15" s="6">
        <v>66.8</v>
      </c>
    </row>
    <row r="16" spans="1:17">
      <c r="A16" s="5">
        <v>20230316</v>
      </c>
      <c r="B16" s="6">
        <v>68.35</v>
      </c>
      <c r="C16" s="6">
        <v>74.7</v>
      </c>
      <c r="D16" s="6">
        <v>74.19</v>
      </c>
      <c r="E16" s="6">
        <v>498.1</v>
      </c>
      <c r="F16" s="6">
        <v>73.98</v>
      </c>
      <c r="G16" s="6">
        <v>74.2</v>
      </c>
      <c r="H16" s="6">
        <v>73.135</v>
      </c>
      <c r="I16" s="6">
        <v>65.68</v>
      </c>
      <c r="J16" s="6">
        <v>74.75</v>
      </c>
      <c r="K16" s="6">
        <v>76.8</v>
      </c>
      <c r="L16" s="6">
        <v>52.14</v>
      </c>
      <c r="M16" s="6">
        <v>67.13</v>
      </c>
      <c r="N16" s="6">
        <v>72.53</v>
      </c>
      <c r="O16" s="6">
        <v>73.03</v>
      </c>
      <c r="P16" s="6">
        <v>67.25</v>
      </c>
      <c r="Q16" s="6">
        <v>62.93</v>
      </c>
    </row>
    <row r="17" spans="1:17">
      <c r="A17" s="5">
        <v>20230317</v>
      </c>
      <c r="B17" s="6">
        <v>66.74</v>
      </c>
      <c r="C17" s="6">
        <v>72.97</v>
      </c>
      <c r="D17" s="6">
        <v>74.93</v>
      </c>
      <c r="E17" s="6">
        <v>493.9</v>
      </c>
      <c r="F17" s="6">
        <v>74.85</v>
      </c>
      <c r="G17" s="6">
        <v>75.05</v>
      </c>
      <c r="H17" s="6">
        <v>72.28</v>
      </c>
      <c r="I17" s="6">
        <v>66.71</v>
      </c>
      <c r="J17" s="6">
        <v>76.3</v>
      </c>
      <c r="K17" s="6">
        <v>77.9</v>
      </c>
      <c r="L17" s="6">
        <v>52.78</v>
      </c>
      <c r="M17" s="6">
        <v>66.34</v>
      </c>
      <c r="N17" s="6">
        <v>73.41</v>
      </c>
      <c r="O17" s="6">
        <v>73.91</v>
      </c>
      <c r="P17" s="6">
        <v>68.25</v>
      </c>
      <c r="Q17" s="6">
        <v>63.91</v>
      </c>
    </row>
    <row r="18" spans="1:17">
      <c r="A18" s="5">
        <v>20230320</v>
      </c>
      <c r="B18" s="6">
        <v>67.64</v>
      </c>
      <c r="C18" s="6">
        <v>73.79</v>
      </c>
      <c r="D18" s="6">
        <v>70.35</v>
      </c>
      <c r="E18" s="6">
        <v>494</v>
      </c>
      <c r="F18" s="6">
        <v>70.29</v>
      </c>
      <c r="G18" s="6">
        <v>70.44</v>
      </c>
      <c r="H18" s="6">
        <v>71.705</v>
      </c>
      <c r="I18" s="6">
        <v>62.37</v>
      </c>
      <c r="J18" s="6">
        <v>71.72</v>
      </c>
      <c r="K18" s="6">
        <v>73.27</v>
      </c>
      <c r="L18" s="6">
        <v>48.635</v>
      </c>
      <c r="M18" s="6">
        <v>65.7</v>
      </c>
      <c r="N18" s="6">
        <v>69.09</v>
      </c>
      <c r="O18" s="6">
        <v>69.59</v>
      </c>
      <c r="P18" s="6">
        <v>63.57</v>
      </c>
      <c r="Q18" s="6">
        <v>59.29</v>
      </c>
    </row>
    <row r="19" spans="1:17">
      <c r="A19" s="5">
        <v>20230321</v>
      </c>
      <c r="B19" s="6">
        <v>69.33</v>
      </c>
      <c r="C19" s="6">
        <v>75.32</v>
      </c>
      <c r="D19" s="6">
        <v>73.9</v>
      </c>
      <c r="E19" s="6">
        <v>491</v>
      </c>
      <c r="F19" s="6">
        <v>73.7</v>
      </c>
      <c r="G19" s="6">
        <v>73.86</v>
      </c>
      <c r="H19" s="6">
        <v>73.775</v>
      </c>
      <c r="I19" s="6">
        <v>65.905</v>
      </c>
      <c r="J19" s="6">
        <v>75.3</v>
      </c>
      <c r="K19" s="6">
        <v>76.85</v>
      </c>
      <c r="L19" s="6">
        <v>52.155</v>
      </c>
      <c r="M19" s="6">
        <v>67.73</v>
      </c>
      <c r="N19" s="6">
        <v>72.81</v>
      </c>
      <c r="O19" s="6">
        <v>73.41</v>
      </c>
      <c r="P19" s="6">
        <v>67.4</v>
      </c>
      <c r="Q19" s="6">
        <v>62.81</v>
      </c>
    </row>
    <row r="20" spans="1:17">
      <c r="A20" s="5">
        <v>20230322</v>
      </c>
      <c r="B20" s="6">
        <v>70.9</v>
      </c>
      <c r="C20" s="6">
        <v>76.69</v>
      </c>
      <c r="D20" s="6">
        <v>74.53</v>
      </c>
      <c r="E20" s="6">
        <v>501.8</v>
      </c>
      <c r="F20" s="6">
        <v>74.55</v>
      </c>
      <c r="G20" s="6">
        <v>74.65</v>
      </c>
      <c r="H20" s="6">
        <v>75.36</v>
      </c>
      <c r="I20" s="6">
        <v>66.48</v>
      </c>
      <c r="J20" s="6">
        <v>76.03</v>
      </c>
      <c r="K20" s="6">
        <v>77.58</v>
      </c>
      <c r="L20" s="6">
        <v>52.75</v>
      </c>
      <c r="M20" s="6">
        <v>69</v>
      </c>
      <c r="N20" s="6">
        <v>73.6</v>
      </c>
      <c r="O20" s="6">
        <v>74.2</v>
      </c>
      <c r="P20" s="6">
        <v>67.88</v>
      </c>
      <c r="Q20" s="6">
        <v>63.8</v>
      </c>
    </row>
    <row r="21" spans="1:17">
      <c r="A21" s="5">
        <v>20230323</v>
      </c>
      <c r="B21" s="6">
        <v>69.96</v>
      </c>
      <c r="C21" s="6">
        <v>75.91</v>
      </c>
      <c r="D21" s="6">
        <v>76.1</v>
      </c>
      <c r="E21" s="6">
        <v>507.5</v>
      </c>
      <c r="F21" s="6">
        <v>76.09</v>
      </c>
      <c r="G21" s="6">
        <v>76.17</v>
      </c>
      <c r="H21" s="6">
        <v>75.88</v>
      </c>
      <c r="I21" s="6">
        <v>67.605</v>
      </c>
      <c r="J21" s="6">
        <v>77.47</v>
      </c>
      <c r="K21" s="6">
        <v>78.87</v>
      </c>
      <c r="L21" s="6">
        <v>53.84</v>
      </c>
      <c r="M21" s="6">
        <v>69.52</v>
      </c>
      <c r="N21" s="6">
        <v>75.05</v>
      </c>
      <c r="O21" s="6">
        <v>75.65</v>
      </c>
      <c r="P21" s="6">
        <v>69.22</v>
      </c>
      <c r="Q21" s="6">
        <v>65.3</v>
      </c>
    </row>
    <row r="22" spans="1:17">
      <c r="A22" s="5">
        <v>20230324</v>
      </c>
      <c r="B22" s="6">
        <v>69.26</v>
      </c>
      <c r="C22" s="6">
        <v>74.99</v>
      </c>
      <c r="D22" s="6">
        <v>75.18</v>
      </c>
      <c r="E22" s="6">
        <v>509.7</v>
      </c>
      <c r="F22" s="6">
        <v>75.11</v>
      </c>
      <c r="G22" s="6">
        <v>75.11</v>
      </c>
      <c r="H22" s="6">
        <v>73.245</v>
      </c>
      <c r="I22" s="6">
        <v>66.805</v>
      </c>
      <c r="J22" s="6">
        <v>76.95</v>
      </c>
      <c r="K22" s="6">
        <v>78.05</v>
      </c>
      <c r="L22" s="6">
        <v>53.265</v>
      </c>
      <c r="M22" s="6">
        <v>67.21</v>
      </c>
      <c r="N22" s="6">
        <v>74.11</v>
      </c>
      <c r="O22" s="6">
        <v>74.71</v>
      </c>
      <c r="P22" s="6">
        <v>68.45</v>
      </c>
      <c r="Q22" s="6">
        <v>64.31</v>
      </c>
    </row>
    <row r="23" spans="1:17">
      <c r="A23" s="5">
        <v>20230327</v>
      </c>
      <c r="B23" s="6">
        <v>72.81</v>
      </c>
      <c r="C23" s="6">
        <v>78.12</v>
      </c>
      <c r="D23" s="6">
        <v>74.81</v>
      </c>
      <c r="E23" s="6">
        <v>500.2</v>
      </c>
      <c r="F23" s="6">
        <v>74.745</v>
      </c>
      <c r="G23" s="6">
        <v>74.745</v>
      </c>
      <c r="H23" s="6">
        <v>75.255</v>
      </c>
      <c r="I23" s="6">
        <v>66.645</v>
      </c>
      <c r="J23" s="6">
        <v>76.8</v>
      </c>
      <c r="K23" s="6">
        <v>77.9</v>
      </c>
      <c r="L23" s="6">
        <v>53</v>
      </c>
      <c r="M23" s="6">
        <v>69.24</v>
      </c>
      <c r="N23" s="6">
        <v>74.02</v>
      </c>
      <c r="O23" s="6">
        <v>74.62</v>
      </c>
      <c r="P23" s="6">
        <v>68.4</v>
      </c>
      <c r="Q23" s="6">
        <v>64.42</v>
      </c>
    </row>
    <row r="24" spans="1:17">
      <c r="A24" s="5">
        <v>20230328</v>
      </c>
      <c r="B24" s="6">
        <v>73.2</v>
      </c>
      <c r="C24" s="6">
        <v>78.65</v>
      </c>
      <c r="D24" s="6">
        <v>77.61</v>
      </c>
      <c r="E24" s="6">
        <v>515.2</v>
      </c>
      <c r="F24" s="6">
        <v>77.845</v>
      </c>
      <c r="G24" s="6">
        <v>77.845</v>
      </c>
      <c r="H24" s="6">
        <v>77.84</v>
      </c>
      <c r="I24" s="6">
        <v>69.46</v>
      </c>
      <c r="J24" s="6">
        <v>79.75</v>
      </c>
      <c r="K24" s="6">
        <v>80.8</v>
      </c>
      <c r="L24" s="6">
        <v>55.755</v>
      </c>
      <c r="M24" s="6">
        <v>71.38</v>
      </c>
      <c r="N24" s="6">
        <v>76.7</v>
      </c>
      <c r="O24" s="6">
        <v>77.3</v>
      </c>
      <c r="P24" s="6">
        <v>71.25</v>
      </c>
      <c r="Q24" s="6">
        <v>67.5</v>
      </c>
    </row>
    <row r="25" spans="1:17">
      <c r="A25" s="5">
        <v>20230329</v>
      </c>
      <c r="B25" s="6">
        <v>72.97</v>
      </c>
      <c r="C25" s="6">
        <v>78.28</v>
      </c>
      <c r="D25" s="6">
        <v>77.64</v>
      </c>
      <c r="E25" s="6">
        <v>523.5</v>
      </c>
      <c r="F25" s="6">
        <v>77.99</v>
      </c>
      <c r="G25" s="6">
        <v>77.99</v>
      </c>
      <c r="H25" s="6">
        <v>78.03</v>
      </c>
      <c r="I25" s="6">
        <v>69.835</v>
      </c>
      <c r="J25" s="6">
        <v>80.03</v>
      </c>
      <c r="K25" s="6">
        <v>81.08</v>
      </c>
      <c r="L25" s="6">
        <v>56.505</v>
      </c>
      <c r="M25" s="6">
        <v>71.51</v>
      </c>
      <c r="N25" s="6">
        <v>76.83</v>
      </c>
      <c r="O25" s="6">
        <v>77.43</v>
      </c>
      <c r="P25" s="6">
        <v>71.53</v>
      </c>
      <c r="Q25" s="6">
        <v>67.68</v>
      </c>
    </row>
    <row r="26" spans="1:17">
      <c r="A26" s="5">
        <v>20230330</v>
      </c>
      <c r="B26" s="6">
        <v>74.37</v>
      </c>
      <c r="C26" s="6">
        <v>79.27</v>
      </c>
      <c r="D26" s="6">
        <v>77.2</v>
      </c>
      <c r="E26" s="6">
        <v>524.4</v>
      </c>
      <c r="F26" s="6">
        <v>77.75</v>
      </c>
      <c r="G26" s="6">
        <v>77.75</v>
      </c>
      <c r="H26" s="6">
        <v>78.025</v>
      </c>
      <c r="I26" s="6">
        <v>69.76</v>
      </c>
      <c r="J26" s="6">
        <v>79.79</v>
      </c>
      <c r="K26" s="6">
        <v>80.84</v>
      </c>
      <c r="L26" s="6">
        <v>56.455</v>
      </c>
      <c r="M26" s="6">
        <v>71.78</v>
      </c>
      <c r="N26" s="6">
        <v>76.58</v>
      </c>
      <c r="O26" s="6">
        <v>77.18</v>
      </c>
      <c r="P26" s="6">
        <v>71.24</v>
      </c>
      <c r="Q26" s="6">
        <v>67.43</v>
      </c>
    </row>
    <row r="27" spans="1:17">
      <c r="A27" s="5">
        <v>20230331</v>
      </c>
      <c r="B27" s="6">
        <v>75.67</v>
      </c>
      <c r="C27" s="6">
        <v>79.77</v>
      </c>
      <c r="D27" s="6">
        <v>77.79</v>
      </c>
      <c r="E27" s="6">
        <v>526.4</v>
      </c>
      <c r="F27" s="6">
        <v>78.05</v>
      </c>
      <c r="G27" s="6">
        <v>78.05</v>
      </c>
      <c r="H27" s="6">
        <v>79.06</v>
      </c>
      <c r="I27" s="6">
        <v>69.585</v>
      </c>
      <c r="J27" s="6">
        <v>79.84</v>
      </c>
      <c r="K27" s="6">
        <v>80.94</v>
      </c>
      <c r="L27" s="6">
        <v>55.89</v>
      </c>
      <c r="M27" s="6">
        <v>72.37</v>
      </c>
      <c r="N27" s="6">
        <v>76.73</v>
      </c>
      <c r="O27" s="6">
        <v>77.33</v>
      </c>
      <c r="P27" s="6">
        <v>71.19</v>
      </c>
      <c r="Q27" s="6">
        <v>67.63</v>
      </c>
    </row>
    <row r="28" spans="1:17">
      <c r="A28" s="7" t="s">
        <v>17</v>
      </c>
      <c r="B28" s="8">
        <f>AVERAGE(B23:B27)</f>
        <v>73.804</v>
      </c>
      <c r="C28" s="8">
        <f t="shared" ref="C28:Q28" si="0">AVERAGE(C23:C27)</f>
        <v>78.818</v>
      </c>
      <c r="D28" s="8">
        <f t="shared" si="0"/>
        <v>77.01</v>
      </c>
      <c r="E28" s="8">
        <f t="shared" si="0"/>
        <v>517.94</v>
      </c>
      <c r="F28" s="8">
        <f t="shared" si="0"/>
        <v>77.276</v>
      </c>
      <c r="G28" s="8">
        <f t="shared" si="0"/>
        <v>77.276</v>
      </c>
      <c r="H28" s="8">
        <f t="shared" si="0"/>
        <v>77.642</v>
      </c>
      <c r="I28" s="8">
        <f t="shared" si="0"/>
        <v>69.057</v>
      </c>
      <c r="J28" s="8">
        <f t="shared" si="0"/>
        <v>79.242</v>
      </c>
      <c r="K28" s="8">
        <f t="shared" si="0"/>
        <v>80.312</v>
      </c>
      <c r="L28" s="8">
        <f t="shared" si="0"/>
        <v>55.521</v>
      </c>
      <c r="M28" s="8">
        <f t="shared" si="0"/>
        <v>71.256</v>
      </c>
      <c r="N28" s="8">
        <f t="shared" si="0"/>
        <v>76.172</v>
      </c>
      <c r="O28" s="8">
        <f t="shared" si="0"/>
        <v>76.772</v>
      </c>
      <c r="P28" s="8">
        <f t="shared" si="0"/>
        <v>70.722</v>
      </c>
      <c r="Q28" s="8">
        <f t="shared" si="0"/>
        <v>66.932</v>
      </c>
    </row>
    <row r="29" ht="22.5" spans="1:17">
      <c r="A29" s="3" t="s">
        <v>21</v>
      </c>
      <c r="B29" s="9">
        <f>AVERAGE(B5:B27)</f>
        <v>73.3726086956522</v>
      </c>
      <c r="C29" s="9">
        <f t="shared" ref="C29:Q29" si="1">AVERAGE(C5:C27)</f>
        <v>79.2069565217391</v>
      </c>
      <c r="D29" s="9">
        <f t="shared" si="1"/>
        <v>78.4886956521739</v>
      </c>
      <c r="E29" s="9">
        <f t="shared" si="1"/>
        <v>530.973913043478</v>
      </c>
      <c r="F29" s="9">
        <f t="shared" si="1"/>
        <v>78.4932608695652</v>
      </c>
      <c r="G29" s="9">
        <f t="shared" si="1"/>
        <v>78.5726086956522</v>
      </c>
      <c r="H29" s="9">
        <f t="shared" si="1"/>
        <v>78.5597826086957</v>
      </c>
      <c r="I29" s="9">
        <f t="shared" si="1"/>
        <v>70.6102173913044</v>
      </c>
      <c r="J29" s="9">
        <f t="shared" si="1"/>
        <v>80.1052173913043</v>
      </c>
      <c r="K29" s="9">
        <f t="shared" si="1"/>
        <v>81.7595652173913</v>
      </c>
      <c r="L29" s="9">
        <f t="shared" si="1"/>
        <v>57.359347826087</v>
      </c>
      <c r="M29" s="9">
        <f t="shared" si="1"/>
        <v>72.054347826087</v>
      </c>
      <c r="N29" s="9">
        <f t="shared" si="1"/>
        <v>77.1560869565217</v>
      </c>
      <c r="O29" s="9">
        <f t="shared" si="1"/>
        <v>77.6952173913044</v>
      </c>
      <c r="P29" s="9">
        <f t="shared" si="1"/>
        <v>72.1139130434783</v>
      </c>
      <c r="Q29" s="9">
        <f t="shared" si="1"/>
        <v>67.8191304347826</v>
      </c>
    </row>
    <row r="30" ht="23.25" spans="1:17">
      <c r="A30" s="10" t="s">
        <v>19</v>
      </c>
      <c r="B30" s="23">
        <f t="shared" ref="B30:Q30" si="2">(B29-B2)/B2</f>
        <v>-0.045379830028835</v>
      </c>
      <c r="C30" s="23">
        <f t="shared" si="2"/>
        <v>-0.0518395149275579</v>
      </c>
      <c r="D30" s="18">
        <f t="shared" si="2"/>
        <v>-0.0455038501264872</v>
      </c>
      <c r="E30" s="18">
        <f t="shared" si="2"/>
        <v>-0.0315378274311178</v>
      </c>
      <c r="F30" s="18">
        <f t="shared" si="2"/>
        <v>-0.0437592518806338</v>
      </c>
      <c r="G30" s="18">
        <f t="shared" si="2"/>
        <v>-0.0461016305007629</v>
      </c>
      <c r="H30" s="18">
        <f t="shared" si="2"/>
        <v>-0.0475985911706754</v>
      </c>
      <c r="I30" s="18">
        <f t="shared" si="2"/>
        <v>-0.057289198894486</v>
      </c>
      <c r="J30" s="18">
        <f t="shared" si="2"/>
        <v>-0.0636061394527616</v>
      </c>
      <c r="K30" s="18">
        <f t="shared" si="2"/>
        <v>-0.054600518985086</v>
      </c>
      <c r="L30" s="18">
        <f t="shared" si="2"/>
        <v>-0.0710510259514796</v>
      </c>
      <c r="M30" s="18">
        <f t="shared" si="2"/>
        <v>-0.055786508899878</v>
      </c>
      <c r="N30" s="18">
        <f t="shared" si="2"/>
        <v>-0.0453342371130696</v>
      </c>
      <c r="O30" s="18">
        <f t="shared" si="2"/>
        <v>-0.0445743065506104</v>
      </c>
      <c r="P30" s="18">
        <f t="shared" si="2"/>
        <v>-0.0581101440189352</v>
      </c>
      <c r="Q30" s="18">
        <f t="shared" si="2"/>
        <v>-0.0289009424051174</v>
      </c>
    </row>
    <row r="31" ht="15"/>
  </sheetData>
  <pageMargins left="0.75" right="0.75" top="1" bottom="1" header="0.5" footer="0.5"/>
  <pageSetup paperSize="9" orientation="portrait"/>
  <headerFooter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1"/>
  <dimension ref="A1:Q28"/>
  <sheetViews>
    <sheetView workbookViewId="0">
      <selection activeCell="E26" sqref="E26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36</v>
      </c>
      <c r="B2" s="9">
        <v>78.164</v>
      </c>
      <c r="C2" s="9">
        <v>83.9066666666667</v>
      </c>
      <c r="D2" s="9">
        <v>80.9228571428572</v>
      </c>
      <c r="E2" s="9">
        <v>542.5625</v>
      </c>
      <c r="F2" s="9">
        <v>80.3805263157895</v>
      </c>
      <c r="G2" s="9">
        <v>80.5663157894737</v>
      </c>
      <c r="H2" s="9">
        <v>82.7769047619048</v>
      </c>
      <c r="I2" s="9">
        <v>71.0986842105263</v>
      </c>
      <c r="J2" s="9">
        <v>85.9694736842105</v>
      </c>
      <c r="K2" s="9">
        <v>85.9221052631579</v>
      </c>
      <c r="L2" s="9">
        <v>52.9386842105263</v>
      </c>
      <c r="M2" s="6">
        <v>73.6984210526316</v>
      </c>
      <c r="N2" s="6">
        <v>79.6826315789474</v>
      </c>
      <c r="O2" s="6">
        <v>80.1826315789474</v>
      </c>
      <c r="P2" s="6">
        <v>73.3878947368421</v>
      </c>
      <c r="Q2" s="6">
        <v>71.5484210526316</v>
      </c>
    </row>
    <row r="3" spans="1:17">
      <c r="A3" s="5">
        <v>20230130</v>
      </c>
      <c r="B3" s="6">
        <v>77.9</v>
      </c>
      <c r="C3" s="6">
        <v>84.9</v>
      </c>
      <c r="D3" s="6">
        <v>82.5</v>
      </c>
      <c r="E3" s="6">
        <v>555</v>
      </c>
      <c r="F3" s="6">
        <v>82.6</v>
      </c>
      <c r="G3" s="6">
        <v>82.75</v>
      </c>
      <c r="H3" s="6">
        <v>84.63</v>
      </c>
      <c r="I3" s="6">
        <v>75.2</v>
      </c>
      <c r="J3" s="6">
        <v>88.32</v>
      </c>
      <c r="K3" s="6">
        <v>88.52</v>
      </c>
      <c r="L3" s="6">
        <v>59.935</v>
      </c>
      <c r="M3" s="6">
        <v>77.63</v>
      </c>
      <c r="N3" s="6">
        <v>82.35</v>
      </c>
      <c r="O3" s="6">
        <v>82.85</v>
      </c>
      <c r="P3" s="6">
        <v>77.62</v>
      </c>
      <c r="Q3" s="6">
        <v>73.85</v>
      </c>
    </row>
    <row r="4" spans="1:17">
      <c r="A4" s="5">
        <v>20230131</v>
      </c>
      <c r="B4" s="6">
        <v>78.87</v>
      </c>
      <c r="C4" s="6">
        <v>84.49</v>
      </c>
      <c r="D4" s="6">
        <v>79.91</v>
      </c>
      <c r="E4" s="6">
        <v>547.4</v>
      </c>
      <c r="F4" s="6">
        <v>80.88</v>
      </c>
      <c r="G4" s="6">
        <v>81.03</v>
      </c>
      <c r="H4" s="6">
        <v>84.215</v>
      </c>
      <c r="I4" s="6">
        <v>73.53</v>
      </c>
      <c r="J4" s="6">
        <v>86.57</v>
      </c>
      <c r="K4" s="6">
        <v>86.87</v>
      </c>
      <c r="L4" s="6">
        <v>58.445</v>
      </c>
      <c r="M4" s="6">
        <v>77.6</v>
      </c>
      <c r="N4" s="6">
        <v>80.75</v>
      </c>
      <c r="O4" s="6">
        <v>81.25</v>
      </c>
      <c r="P4" s="6">
        <v>76.17</v>
      </c>
      <c r="Q4" s="6">
        <v>72.25</v>
      </c>
    </row>
    <row r="5" spans="1:17">
      <c r="A5" s="5">
        <v>20230201</v>
      </c>
      <c r="B5" s="6">
        <v>76.41</v>
      </c>
      <c r="C5" s="6">
        <v>82.84</v>
      </c>
      <c r="D5" s="6">
        <v>83.55</v>
      </c>
      <c r="E5" s="6">
        <v>546.7</v>
      </c>
      <c r="F5" s="6">
        <v>83.555</v>
      </c>
      <c r="G5" s="6">
        <v>83.7</v>
      </c>
      <c r="H5" s="6">
        <v>82.98</v>
      </c>
      <c r="I5" s="6">
        <v>75.45</v>
      </c>
      <c r="J5" s="6">
        <v>88.4</v>
      </c>
      <c r="K5" s="6">
        <v>88.7</v>
      </c>
      <c r="L5" s="6">
        <v>60.06</v>
      </c>
      <c r="M5" s="6">
        <v>76.68</v>
      </c>
      <c r="N5" s="6">
        <v>82.7</v>
      </c>
      <c r="O5" s="6">
        <v>83.2</v>
      </c>
      <c r="P5" s="6">
        <v>78</v>
      </c>
      <c r="Q5" s="6">
        <v>74.35</v>
      </c>
    </row>
    <row r="6" spans="1:17">
      <c r="A6" s="5">
        <v>20230202</v>
      </c>
      <c r="B6" s="6">
        <v>75.88</v>
      </c>
      <c r="C6" s="6">
        <v>82.17</v>
      </c>
      <c r="D6" s="6">
        <v>81</v>
      </c>
      <c r="E6" s="6">
        <v>542.3</v>
      </c>
      <c r="F6" s="6">
        <v>80.87</v>
      </c>
      <c r="G6" s="6">
        <v>80.98</v>
      </c>
      <c r="H6" s="6">
        <v>80.74</v>
      </c>
      <c r="I6" s="6">
        <v>73.085</v>
      </c>
      <c r="J6" s="6">
        <v>85.53</v>
      </c>
      <c r="K6" s="6">
        <v>85.93</v>
      </c>
      <c r="L6" s="6">
        <v>58.265</v>
      </c>
      <c r="M6" s="6">
        <v>74.35</v>
      </c>
      <c r="N6" s="6">
        <v>80.03</v>
      </c>
      <c r="O6" s="6">
        <v>80.53</v>
      </c>
      <c r="P6" s="6">
        <v>75.23</v>
      </c>
      <c r="Q6" s="6">
        <v>71.18</v>
      </c>
    </row>
    <row r="7" spans="1:17">
      <c r="A7" s="5">
        <v>20230203</v>
      </c>
      <c r="B7" s="6">
        <v>73.39</v>
      </c>
      <c r="C7" s="6">
        <v>79.94</v>
      </c>
      <c r="D7" s="6">
        <v>79.61</v>
      </c>
      <c r="E7" s="6">
        <v>532</v>
      </c>
      <c r="F7" s="6">
        <v>79.75</v>
      </c>
      <c r="G7" s="6">
        <v>79.86</v>
      </c>
      <c r="H7" s="6">
        <v>80.62</v>
      </c>
      <c r="I7" s="6">
        <v>71.63</v>
      </c>
      <c r="J7" s="6">
        <v>84.36</v>
      </c>
      <c r="K7" s="6">
        <v>84.76</v>
      </c>
      <c r="L7" s="6">
        <v>56.88</v>
      </c>
      <c r="M7" s="6">
        <v>74.31</v>
      </c>
      <c r="N7" s="6">
        <v>78.81</v>
      </c>
      <c r="O7" s="6">
        <v>79.31</v>
      </c>
      <c r="P7" s="6">
        <v>74.26</v>
      </c>
      <c r="Q7" s="6">
        <v>68.96</v>
      </c>
    </row>
    <row r="8" spans="1:17">
      <c r="A8" s="5">
        <v>20230206</v>
      </c>
      <c r="B8" s="6">
        <v>74.11</v>
      </c>
      <c r="C8" s="6">
        <v>80.99</v>
      </c>
      <c r="D8" s="6">
        <v>78.31</v>
      </c>
      <c r="E8" s="6">
        <v>529.3</v>
      </c>
      <c r="F8" s="6">
        <v>78.3</v>
      </c>
      <c r="G8" s="6">
        <v>78.3</v>
      </c>
      <c r="H8" s="6">
        <v>79.595</v>
      </c>
      <c r="I8" s="6">
        <v>70.705</v>
      </c>
      <c r="J8" s="6">
        <v>82.76</v>
      </c>
      <c r="K8" s="6">
        <v>83.26</v>
      </c>
      <c r="L8" s="6">
        <v>56.835</v>
      </c>
      <c r="M8" s="6">
        <v>72.89</v>
      </c>
      <c r="N8" s="6">
        <v>77.14</v>
      </c>
      <c r="O8" s="6">
        <v>77.64</v>
      </c>
      <c r="P8" s="6">
        <v>72.86</v>
      </c>
      <c r="Q8" s="6">
        <v>66.29</v>
      </c>
    </row>
    <row r="9" spans="1:17">
      <c r="A9" s="5">
        <v>20230207</v>
      </c>
      <c r="B9" s="6">
        <v>77.14</v>
      </c>
      <c r="C9" s="6">
        <v>83.69</v>
      </c>
      <c r="D9" s="6">
        <v>80.45</v>
      </c>
      <c r="E9" s="6">
        <v>522.5</v>
      </c>
      <c r="F9" s="6">
        <v>80.41</v>
      </c>
      <c r="G9" s="6">
        <v>80.45</v>
      </c>
      <c r="H9" s="6">
        <v>82.11</v>
      </c>
      <c r="I9" s="6">
        <v>73.305</v>
      </c>
      <c r="J9" s="6">
        <v>84.78</v>
      </c>
      <c r="K9" s="6">
        <v>85.38</v>
      </c>
      <c r="L9" s="6">
        <v>60.22</v>
      </c>
      <c r="M9" s="6">
        <v>75.72</v>
      </c>
      <c r="N9" s="6">
        <v>79.44</v>
      </c>
      <c r="O9" s="6">
        <v>79.94</v>
      </c>
      <c r="P9" s="6">
        <v>75.08</v>
      </c>
      <c r="Q9" s="6">
        <v>68.39</v>
      </c>
    </row>
    <row r="10" spans="1:17">
      <c r="A10" s="5">
        <v>20230208</v>
      </c>
      <c r="B10" s="6">
        <v>78.47</v>
      </c>
      <c r="C10" s="6">
        <v>85.09</v>
      </c>
      <c r="D10" s="6">
        <v>82.09</v>
      </c>
      <c r="E10" s="6">
        <v>535.7</v>
      </c>
      <c r="F10" s="6">
        <v>81.9</v>
      </c>
      <c r="G10" s="6">
        <v>82.04</v>
      </c>
      <c r="H10" s="6">
        <v>83.145</v>
      </c>
      <c r="I10" s="6">
        <v>74.405</v>
      </c>
      <c r="J10" s="6">
        <v>86.09</v>
      </c>
      <c r="K10" s="6">
        <v>86.69</v>
      </c>
      <c r="L10" s="6">
        <v>60.835</v>
      </c>
      <c r="M10" s="6">
        <v>76.8</v>
      </c>
      <c r="N10" s="6">
        <v>80.69</v>
      </c>
      <c r="O10" s="6">
        <v>81.19</v>
      </c>
      <c r="P10" s="6">
        <v>76.34</v>
      </c>
      <c r="Q10" s="6">
        <v>69.64</v>
      </c>
    </row>
    <row r="11" spans="1:17">
      <c r="A11" s="5">
        <v>20230209</v>
      </c>
      <c r="B11" s="6">
        <v>78.06</v>
      </c>
      <c r="C11" s="6">
        <v>84.5</v>
      </c>
      <c r="D11" s="6">
        <v>83.36</v>
      </c>
      <c r="E11" s="6">
        <v>549.4</v>
      </c>
      <c r="F11" s="6">
        <v>83.2</v>
      </c>
      <c r="G11" s="6">
        <v>83.46</v>
      </c>
      <c r="H11" s="6">
        <v>83.225</v>
      </c>
      <c r="I11" s="6">
        <v>76.41</v>
      </c>
      <c r="J11" s="6">
        <v>87.33</v>
      </c>
      <c r="K11" s="6">
        <v>87.98</v>
      </c>
      <c r="L11" s="6">
        <v>63.525</v>
      </c>
      <c r="M11" s="6">
        <v>76.47</v>
      </c>
      <c r="N11" s="6">
        <v>82.09</v>
      </c>
      <c r="O11" s="6">
        <v>82.59</v>
      </c>
      <c r="P11" s="6">
        <v>77.58</v>
      </c>
      <c r="Q11" s="6">
        <v>70.74</v>
      </c>
    </row>
    <row r="12" spans="1:17">
      <c r="A12" s="5">
        <v>20230210</v>
      </c>
      <c r="B12" s="6">
        <v>79.72</v>
      </c>
      <c r="C12" s="6">
        <v>86.39</v>
      </c>
      <c r="D12" s="6">
        <v>83.64</v>
      </c>
      <c r="E12" s="6">
        <v>552.1</v>
      </c>
      <c r="F12" s="6">
        <v>83.56</v>
      </c>
      <c r="G12" s="6">
        <v>83.91</v>
      </c>
      <c r="H12" s="6">
        <v>85.605</v>
      </c>
      <c r="I12" s="6">
        <v>76.715</v>
      </c>
      <c r="J12" s="6">
        <v>87.04</v>
      </c>
      <c r="K12" s="6">
        <v>87.89</v>
      </c>
      <c r="L12" s="6">
        <v>64.505</v>
      </c>
      <c r="M12" s="6">
        <v>78.86</v>
      </c>
      <c r="N12" s="6">
        <v>81.92</v>
      </c>
      <c r="O12" s="6">
        <v>82.42</v>
      </c>
      <c r="P12" s="6">
        <v>77.49</v>
      </c>
      <c r="Q12" s="6">
        <v>70.07</v>
      </c>
    </row>
    <row r="13" spans="1:17">
      <c r="A13" s="5">
        <v>20230213</v>
      </c>
      <c r="B13" s="6">
        <v>80.14</v>
      </c>
      <c r="C13" s="6">
        <v>86.61</v>
      </c>
      <c r="D13" s="6">
        <v>84.47</v>
      </c>
      <c r="E13" s="6">
        <v>562.6</v>
      </c>
      <c r="F13" s="6">
        <v>84.395</v>
      </c>
      <c r="G13" s="6">
        <v>84.66</v>
      </c>
      <c r="H13" s="6">
        <v>85.49</v>
      </c>
      <c r="I13" s="6">
        <v>77.655</v>
      </c>
      <c r="J13" s="6">
        <v>87.79</v>
      </c>
      <c r="K13" s="6">
        <v>88.69</v>
      </c>
      <c r="L13" s="6">
        <v>65.425</v>
      </c>
      <c r="M13" s="6">
        <v>78.39</v>
      </c>
      <c r="N13" s="6">
        <v>82.81</v>
      </c>
      <c r="O13" s="6">
        <v>83.31</v>
      </c>
      <c r="P13" s="6">
        <v>78.72</v>
      </c>
      <c r="Q13" s="6">
        <v>70.96</v>
      </c>
    </row>
    <row r="14" spans="1:17">
      <c r="A14" s="5">
        <v>20230214</v>
      </c>
      <c r="B14" s="6">
        <v>79.06</v>
      </c>
      <c r="C14" s="6">
        <v>85.58</v>
      </c>
      <c r="D14" s="6">
        <v>85.19</v>
      </c>
      <c r="E14" s="6">
        <v>561.6</v>
      </c>
      <c r="F14" s="6">
        <v>84.875</v>
      </c>
      <c r="G14" s="6">
        <v>85.31</v>
      </c>
      <c r="H14" s="6">
        <v>84.52</v>
      </c>
      <c r="I14" s="6">
        <v>77.945</v>
      </c>
      <c r="J14" s="6">
        <v>88.29</v>
      </c>
      <c r="K14" s="6">
        <v>89.19</v>
      </c>
      <c r="L14" s="6">
        <v>65.205</v>
      </c>
      <c r="M14" s="6">
        <v>78.12</v>
      </c>
      <c r="N14" s="6">
        <v>83.36</v>
      </c>
      <c r="O14" s="6">
        <v>83.86</v>
      </c>
      <c r="P14" s="6">
        <v>78.99</v>
      </c>
      <c r="Q14" s="6">
        <v>71.31</v>
      </c>
    </row>
    <row r="15" spans="1:17">
      <c r="A15" s="5">
        <v>20230215</v>
      </c>
      <c r="B15" s="6">
        <v>78.59</v>
      </c>
      <c r="C15" s="6">
        <v>85.38</v>
      </c>
      <c r="D15" s="6">
        <v>83.47</v>
      </c>
      <c r="E15" s="6">
        <v>560.5</v>
      </c>
      <c r="F15" s="6">
        <v>83.34</v>
      </c>
      <c r="G15" s="6">
        <v>83.56</v>
      </c>
      <c r="H15" s="6">
        <v>83.49</v>
      </c>
      <c r="I15" s="6">
        <v>76.25</v>
      </c>
      <c r="J15" s="6">
        <v>86.72</v>
      </c>
      <c r="K15" s="6">
        <v>87.57</v>
      </c>
      <c r="L15" s="6">
        <v>63.365</v>
      </c>
      <c r="M15" s="6">
        <v>77.13</v>
      </c>
      <c r="N15" s="6">
        <v>81.57</v>
      </c>
      <c r="O15" s="6">
        <v>82.07</v>
      </c>
      <c r="P15" s="6">
        <v>77.47</v>
      </c>
      <c r="Q15" s="6">
        <v>69.77</v>
      </c>
    </row>
    <row r="16" spans="1:17">
      <c r="A16" s="5">
        <v>20230216</v>
      </c>
      <c r="B16" s="6">
        <v>78.49</v>
      </c>
      <c r="C16" s="6">
        <v>85.14</v>
      </c>
      <c r="D16" s="6">
        <v>84.15</v>
      </c>
      <c r="E16" s="6">
        <v>563.7</v>
      </c>
      <c r="F16" s="6">
        <v>84.01</v>
      </c>
      <c r="G16" s="6">
        <v>84.16</v>
      </c>
      <c r="H16" s="6">
        <v>84.14</v>
      </c>
      <c r="I16" s="6">
        <v>77.28</v>
      </c>
      <c r="J16" s="6">
        <v>87.63</v>
      </c>
      <c r="K16" s="6">
        <v>88.53</v>
      </c>
      <c r="L16" s="6">
        <v>64.7</v>
      </c>
      <c r="M16" s="6">
        <v>78.31</v>
      </c>
      <c r="N16" s="6">
        <v>82.47</v>
      </c>
      <c r="O16" s="6">
        <v>82.97</v>
      </c>
      <c r="P16" s="6">
        <v>78.53</v>
      </c>
      <c r="Q16" s="6">
        <v>70.97</v>
      </c>
    </row>
    <row r="17" spans="1:17">
      <c r="A17" s="5">
        <v>20230217</v>
      </c>
      <c r="B17" s="6">
        <v>76.34</v>
      </c>
      <c r="C17" s="6">
        <v>83</v>
      </c>
      <c r="D17" s="6">
        <v>82.22</v>
      </c>
      <c r="E17" s="6">
        <v>570.5</v>
      </c>
      <c r="F17" s="6">
        <v>82.24</v>
      </c>
      <c r="G17" s="6">
        <v>82.89</v>
      </c>
      <c r="H17" s="6">
        <v>82.075</v>
      </c>
      <c r="I17" s="6">
        <v>75.405</v>
      </c>
      <c r="J17" s="6">
        <v>85.57</v>
      </c>
      <c r="K17" s="6">
        <v>86.57</v>
      </c>
      <c r="L17" s="6">
        <v>62.89</v>
      </c>
      <c r="M17" s="6">
        <v>75.94</v>
      </c>
      <c r="N17" s="6">
        <v>80.69</v>
      </c>
      <c r="O17" s="6">
        <v>81.19</v>
      </c>
      <c r="P17" s="6">
        <v>76.77</v>
      </c>
      <c r="Q17" s="6">
        <v>69.29</v>
      </c>
    </row>
    <row r="18" spans="1:17">
      <c r="A18" s="5">
        <v>20230220</v>
      </c>
      <c r="B18" s="6"/>
      <c r="C18" s="6">
        <v>84.07</v>
      </c>
      <c r="D18" s="6">
        <v>82.64</v>
      </c>
      <c r="E18" s="6">
        <v>552.3</v>
      </c>
      <c r="F18" s="6">
        <v>82.39</v>
      </c>
      <c r="G18" s="6">
        <v>82.46</v>
      </c>
      <c r="H18" s="6">
        <v>82.34</v>
      </c>
      <c r="I18" s="6">
        <v>75.345</v>
      </c>
      <c r="J18" s="6">
        <v>85.14</v>
      </c>
      <c r="K18" s="6">
        <v>86.49</v>
      </c>
      <c r="L18" s="6">
        <v>62.855</v>
      </c>
      <c r="M18" s="6">
        <v>76.68</v>
      </c>
      <c r="N18" s="6">
        <v>80.81</v>
      </c>
      <c r="O18" s="6">
        <v>81.31</v>
      </c>
      <c r="P18" s="6">
        <v>76.79</v>
      </c>
      <c r="Q18" s="6">
        <v>69.41</v>
      </c>
    </row>
    <row r="19" spans="1:17">
      <c r="A19" s="5">
        <v>20230221</v>
      </c>
      <c r="B19" s="6">
        <v>76.16</v>
      </c>
      <c r="C19" s="6">
        <v>83.05</v>
      </c>
      <c r="D19" s="6">
        <v>82.25</v>
      </c>
      <c r="E19" s="6">
        <v>553.7</v>
      </c>
      <c r="F19" s="6">
        <v>81.94</v>
      </c>
      <c r="G19" s="6">
        <v>82.21</v>
      </c>
      <c r="H19" s="6">
        <v>82</v>
      </c>
      <c r="I19" s="6">
        <v>75.495</v>
      </c>
      <c r="J19" s="6">
        <v>85.15</v>
      </c>
      <c r="K19" s="6">
        <v>86.5</v>
      </c>
      <c r="L19" s="6">
        <v>63.155</v>
      </c>
      <c r="M19" s="6">
        <v>76.27</v>
      </c>
      <c r="N19" s="6">
        <v>80.89</v>
      </c>
      <c r="O19" s="6">
        <v>81.39</v>
      </c>
      <c r="P19" s="6">
        <v>77</v>
      </c>
      <c r="Q19" s="6">
        <v>69.19</v>
      </c>
    </row>
    <row r="20" spans="1:17">
      <c r="A20" s="5">
        <v>20230222</v>
      </c>
      <c r="B20" s="6">
        <v>73.95</v>
      </c>
      <c r="C20" s="6">
        <v>80.6</v>
      </c>
      <c r="D20" s="6">
        <v>80.82</v>
      </c>
      <c r="E20" s="6">
        <v>548.5</v>
      </c>
      <c r="F20" s="6">
        <v>80.8</v>
      </c>
      <c r="G20" s="6">
        <v>80.96</v>
      </c>
      <c r="H20" s="6">
        <v>80.25</v>
      </c>
      <c r="I20" s="6">
        <v>74.115</v>
      </c>
      <c r="J20" s="6">
        <v>83.73</v>
      </c>
      <c r="K20" s="6">
        <v>85.08</v>
      </c>
      <c r="L20" s="6">
        <v>61.215</v>
      </c>
      <c r="M20" s="6">
        <v>75.31</v>
      </c>
      <c r="N20" s="6">
        <v>79.95</v>
      </c>
      <c r="O20" s="6">
        <v>80.45</v>
      </c>
      <c r="P20" s="6">
        <v>76.38</v>
      </c>
      <c r="Q20" s="6">
        <v>67.9</v>
      </c>
    </row>
    <row r="21" spans="1:17">
      <c r="A21" s="5">
        <v>20230223</v>
      </c>
      <c r="B21" s="6">
        <v>75.39</v>
      </c>
      <c r="C21" s="6">
        <v>82.21</v>
      </c>
      <c r="D21" s="6">
        <v>80.84</v>
      </c>
      <c r="E21" s="6">
        <v>542.6</v>
      </c>
      <c r="F21" s="6">
        <v>80.05</v>
      </c>
      <c r="G21" s="6">
        <v>80.63</v>
      </c>
      <c r="H21" s="6">
        <v>80.94</v>
      </c>
      <c r="I21" s="6">
        <v>73.3</v>
      </c>
      <c r="J21" s="6">
        <v>82.31</v>
      </c>
      <c r="K21" s="6">
        <v>83.66</v>
      </c>
      <c r="L21" s="6">
        <v>60.57</v>
      </c>
      <c r="M21" s="6">
        <v>75.62</v>
      </c>
      <c r="N21" s="6">
        <v>78.88</v>
      </c>
      <c r="O21" s="6">
        <v>79.38</v>
      </c>
      <c r="P21" s="6">
        <v>75.01</v>
      </c>
      <c r="Q21" s="6">
        <v>67.38</v>
      </c>
    </row>
    <row r="22" spans="1:17">
      <c r="A22" s="5">
        <v>20230224</v>
      </c>
      <c r="B22" s="6">
        <v>76.32</v>
      </c>
      <c r="C22" s="6">
        <v>83.16</v>
      </c>
      <c r="D22" s="6">
        <v>82.63</v>
      </c>
      <c r="E22" s="6">
        <v>544.8</v>
      </c>
      <c r="F22" s="6">
        <v>82.06</v>
      </c>
      <c r="G22" s="6">
        <v>82.64</v>
      </c>
      <c r="H22" s="6">
        <v>81.85</v>
      </c>
      <c r="I22" s="6">
        <v>74.745</v>
      </c>
      <c r="J22" s="6">
        <v>84.3</v>
      </c>
      <c r="K22" s="6">
        <v>85.75</v>
      </c>
      <c r="L22" s="6">
        <v>61.945</v>
      </c>
      <c r="M22" s="6">
        <v>76.31</v>
      </c>
      <c r="N22" s="6">
        <v>81.05</v>
      </c>
      <c r="O22" s="6">
        <v>81.55</v>
      </c>
      <c r="P22" s="6">
        <v>76.8</v>
      </c>
      <c r="Q22" s="6">
        <v>70.1</v>
      </c>
    </row>
    <row r="23" spans="1:17">
      <c r="A23" s="5">
        <v>20230227</v>
      </c>
      <c r="B23" s="6">
        <v>75.68</v>
      </c>
      <c r="C23" s="6">
        <v>82.45</v>
      </c>
      <c r="D23" s="6">
        <v>81.95</v>
      </c>
      <c r="E23" s="6">
        <v>548.9</v>
      </c>
      <c r="F23" s="6">
        <v>82.16</v>
      </c>
      <c r="G23" s="6">
        <v>82.74</v>
      </c>
      <c r="H23" s="6">
        <v>81.47</v>
      </c>
      <c r="I23" s="6">
        <v>74.415</v>
      </c>
      <c r="J23" s="6">
        <v>84.26</v>
      </c>
      <c r="K23" s="6">
        <v>85.71</v>
      </c>
      <c r="L23" s="6">
        <v>61.16</v>
      </c>
      <c r="M23" s="6">
        <v>75.26</v>
      </c>
      <c r="N23" s="6">
        <v>80.92</v>
      </c>
      <c r="O23" s="6">
        <v>81.42</v>
      </c>
      <c r="P23" s="6">
        <v>76.31</v>
      </c>
      <c r="Q23" s="6">
        <v>70.42</v>
      </c>
    </row>
    <row r="24" spans="1:17">
      <c r="A24" s="5">
        <v>20230228</v>
      </c>
      <c r="B24" s="6">
        <v>77.05</v>
      </c>
      <c r="C24" s="6">
        <v>83.89</v>
      </c>
      <c r="D24" s="6">
        <v>81.97</v>
      </c>
      <c r="E24" s="6">
        <v>545.6</v>
      </c>
      <c r="F24" s="6">
        <v>81.9</v>
      </c>
      <c r="G24" s="6">
        <v>82.48</v>
      </c>
      <c r="H24" s="6">
        <v>83.135</v>
      </c>
      <c r="I24" s="6">
        <v>74.37</v>
      </c>
      <c r="J24" s="6">
        <v>83.75</v>
      </c>
      <c r="K24" s="6">
        <v>85.3</v>
      </c>
      <c r="L24" s="6">
        <v>61.32</v>
      </c>
      <c r="M24" s="6">
        <v>76.81</v>
      </c>
      <c r="N24" s="6">
        <v>80.18</v>
      </c>
      <c r="O24" s="6">
        <v>80.68</v>
      </c>
      <c r="P24" s="6">
        <v>75.65</v>
      </c>
      <c r="Q24" s="6">
        <v>70.43</v>
      </c>
    </row>
    <row r="25" spans="1:17">
      <c r="A25" s="7" t="s">
        <v>17</v>
      </c>
      <c r="B25" s="8">
        <f>AVERAGE(B23:B24)</f>
        <v>76.365</v>
      </c>
      <c r="C25" s="8">
        <f t="shared" ref="C25:Q25" si="0">AVERAGE(C23:C24)</f>
        <v>83.17</v>
      </c>
      <c r="D25" s="8">
        <f t="shared" si="0"/>
        <v>81.96</v>
      </c>
      <c r="E25" s="8">
        <f t="shared" si="0"/>
        <v>547.25</v>
      </c>
      <c r="F25" s="8">
        <f t="shared" si="0"/>
        <v>82.03</v>
      </c>
      <c r="G25" s="8">
        <f t="shared" si="0"/>
        <v>82.61</v>
      </c>
      <c r="H25" s="8">
        <f t="shared" si="0"/>
        <v>82.3025</v>
      </c>
      <c r="I25" s="8">
        <f t="shared" si="0"/>
        <v>74.3925</v>
      </c>
      <c r="J25" s="8">
        <f t="shared" si="0"/>
        <v>84.005</v>
      </c>
      <c r="K25" s="8">
        <f t="shared" si="0"/>
        <v>85.505</v>
      </c>
      <c r="L25" s="8">
        <f t="shared" si="0"/>
        <v>61.24</v>
      </c>
      <c r="M25" s="8">
        <f t="shared" si="0"/>
        <v>76.035</v>
      </c>
      <c r="N25" s="8">
        <f t="shared" si="0"/>
        <v>80.55</v>
      </c>
      <c r="O25" s="8">
        <f t="shared" si="0"/>
        <v>81.05</v>
      </c>
      <c r="P25" s="8">
        <f t="shared" si="0"/>
        <v>75.98</v>
      </c>
      <c r="Q25" s="8">
        <f t="shared" si="0"/>
        <v>70.425</v>
      </c>
    </row>
    <row r="26" ht="22.5" spans="1:17">
      <c r="A26" s="3" t="s">
        <v>35</v>
      </c>
      <c r="B26" s="9">
        <f>AVERAGE(B5:B24)</f>
        <v>76.8605263157895</v>
      </c>
      <c r="C26" s="9">
        <f t="shared" ref="C26:Q26" si="1">AVERAGE(C5:C24)</f>
        <v>83.5375</v>
      </c>
      <c r="D26" s="9">
        <f t="shared" si="1"/>
        <v>82.2305</v>
      </c>
      <c r="E26" s="9">
        <f t="shared" si="1"/>
        <v>548.265</v>
      </c>
      <c r="F26" s="9">
        <f t="shared" si="1"/>
        <v>82.08525</v>
      </c>
      <c r="G26" s="9">
        <f t="shared" si="1"/>
        <v>82.37</v>
      </c>
      <c r="H26" s="9">
        <f t="shared" si="1"/>
        <v>82.486</v>
      </c>
      <c r="I26" s="9">
        <f t="shared" si="1"/>
        <v>74.90125</v>
      </c>
      <c r="J26" s="9">
        <f t="shared" si="1"/>
        <v>85.5465</v>
      </c>
      <c r="K26" s="9">
        <f t="shared" si="1"/>
        <v>86.4815</v>
      </c>
      <c r="L26" s="9">
        <f t="shared" si="1"/>
        <v>61.7465</v>
      </c>
      <c r="M26" s="9">
        <f t="shared" si="1"/>
        <v>76.3115</v>
      </c>
      <c r="N26" s="9">
        <f t="shared" si="1"/>
        <v>80.82</v>
      </c>
      <c r="O26" s="9">
        <f t="shared" si="1"/>
        <v>81.32</v>
      </c>
      <c r="P26" s="9">
        <f t="shared" si="1"/>
        <v>76.563</v>
      </c>
      <c r="Q26" s="9">
        <f t="shared" si="1"/>
        <v>69.8375</v>
      </c>
    </row>
    <row r="27" ht="23.25" spans="1:17">
      <c r="A27" s="10" t="s">
        <v>19</v>
      </c>
      <c r="B27" s="18">
        <f>(B26-B2)/B2</f>
        <v>-0.0166761384295906</v>
      </c>
      <c r="C27" s="18">
        <f t="shared" ref="C27:Q27" si="2">(C26-C2)/C2</f>
        <v>-0.00439972985857308</v>
      </c>
      <c r="D27" s="11">
        <f t="shared" si="2"/>
        <v>0.0161591286233802</v>
      </c>
      <c r="E27" s="11">
        <f t="shared" si="2"/>
        <v>0.0105103098721347</v>
      </c>
      <c r="F27" s="11">
        <f t="shared" si="2"/>
        <v>0.0212081677285019</v>
      </c>
      <c r="G27" s="11">
        <f t="shared" si="2"/>
        <v>0.0223875721863651</v>
      </c>
      <c r="H27" s="18">
        <f t="shared" si="2"/>
        <v>-0.00351432277809284</v>
      </c>
      <c r="I27" s="11">
        <f t="shared" si="2"/>
        <v>0.0534829277320252</v>
      </c>
      <c r="J27" s="18">
        <f t="shared" si="2"/>
        <v>-0.00492004505883336</v>
      </c>
      <c r="K27" s="11">
        <f t="shared" si="2"/>
        <v>0.00651048685467836</v>
      </c>
      <c r="L27" s="11">
        <f t="shared" si="2"/>
        <v>0.166377686201017</v>
      </c>
      <c r="M27" s="11">
        <f t="shared" si="2"/>
        <v>0.0354563762702909</v>
      </c>
      <c r="N27" s="11">
        <f t="shared" si="2"/>
        <v>0.0142737306551652</v>
      </c>
      <c r="O27" s="11">
        <f t="shared" si="2"/>
        <v>0.0141847230336012</v>
      </c>
      <c r="P27" s="11">
        <f t="shared" si="2"/>
        <v>0.0432647001871816</v>
      </c>
      <c r="Q27" s="18">
        <f t="shared" si="2"/>
        <v>-0.023912771623192</v>
      </c>
    </row>
    <row r="28" ht="15"/>
  </sheetData>
  <pageMargins left="0.75" right="0.75" top="1" bottom="1" header="0.5" footer="0.5"/>
  <pageSetup paperSize="9" orientation="portrait" horizontalDpi="600" verticalDpi="600"/>
  <headerFooter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"/>
  <dimension ref="A1:Q28"/>
  <sheetViews>
    <sheetView workbookViewId="0">
      <selection activeCell="E26" sqref="E26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46</v>
      </c>
      <c r="B2" s="9">
        <v>76.5180952380952</v>
      </c>
      <c r="C2" s="9">
        <v>81.3414285714286</v>
      </c>
      <c r="D2" s="9">
        <v>77.6452380952381</v>
      </c>
      <c r="E2" s="9">
        <v>543.068181818182</v>
      </c>
      <c r="F2" s="9">
        <v>77.1964285714286</v>
      </c>
      <c r="G2" s="9">
        <v>77.3914285714286</v>
      </c>
      <c r="H2" s="9">
        <v>81.11525</v>
      </c>
      <c r="I2" s="9">
        <v>69.642619047619</v>
      </c>
      <c r="J2" s="9">
        <v>85.7790476190476</v>
      </c>
      <c r="K2" s="9">
        <v>84.9338095238095</v>
      </c>
      <c r="L2" s="9">
        <v>50.3107142857143</v>
      </c>
      <c r="M2" s="6">
        <v>70.9915</v>
      </c>
      <c r="N2" s="6">
        <v>77.641</v>
      </c>
      <c r="O2" s="6">
        <v>78.141</v>
      </c>
      <c r="P2" s="6">
        <v>70.812</v>
      </c>
      <c r="Q2" s="6">
        <v>67.4614285714286</v>
      </c>
    </row>
    <row r="3" spans="1:17">
      <c r="A3" s="5">
        <v>20230102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>
      <c r="A4" s="5">
        <v>20230103</v>
      </c>
      <c r="B4" s="6">
        <v>76.93</v>
      </c>
      <c r="C4" s="6">
        <v>82.1</v>
      </c>
      <c r="D4" s="6">
        <v>82.26</v>
      </c>
      <c r="E4" s="6">
        <v>566.6</v>
      </c>
      <c r="F4" s="6">
        <v>82.055</v>
      </c>
      <c r="G4" s="6">
        <v>82.24</v>
      </c>
      <c r="H4" s="6">
        <v>81.23</v>
      </c>
      <c r="I4" s="6">
        <v>71.78</v>
      </c>
      <c r="J4" s="6">
        <v>88.13</v>
      </c>
      <c r="K4" s="6">
        <v>88.03</v>
      </c>
      <c r="L4" s="6">
        <v>51.535</v>
      </c>
      <c r="M4" s="6">
        <v>72.09</v>
      </c>
      <c r="N4" s="6">
        <v>80.59</v>
      </c>
      <c r="O4" s="6">
        <v>81.09</v>
      </c>
      <c r="P4" s="6">
        <v>74.58</v>
      </c>
      <c r="Q4" s="6">
        <v>72.34</v>
      </c>
    </row>
    <row r="5" spans="1:17">
      <c r="A5" s="5">
        <v>20230104</v>
      </c>
      <c r="B5" s="6">
        <v>72.84</v>
      </c>
      <c r="C5" s="6">
        <v>77.84</v>
      </c>
      <c r="D5" s="6">
        <v>77.18</v>
      </c>
      <c r="E5" s="6">
        <v>556.1</v>
      </c>
      <c r="F5" s="6">
        <v>77.055</v>
      </c>
      <c r="G5" s="6">
        <v>77.14</v>
      </c>
      <c r="H5" s="6">
        <v>75.52</v>
      </c>
      <c r="I5" s="6">
        <v>67</v>
      </c>
      <c r="J5" s="6">
        <v>82.97</v>
      </c>
      <c r="K5" s="6">
        <v>82.87</v>
      </c>
      <c r="L5" s="6">
        <v>47.275</v>
      </c>
      <c r="M5" s="6">
        <v>66.61</v>
      </c>
      <c r="N5" s="6">
        <v>75.84</v>
      </c>
      <c r="O5" s="6">
        <v>76.34</v>
      </c>
      <c r="P5" s="6">
        <v>69.47</v>
      </c>
      <c r="Q5" s="6">
        <v>67.54</v>
      </c>
    </row>
    <row r="6" spans="1:17">
      <c r="A6" s="5">
        <v>20230105</v>
      </c>
      <c r="B6" s="6">
        <v>73.67</v>
      </c>
      <c r="C6" s="6">
        <v>78.69</v>
      </c>
      <c r="D6" s="6">
        <v>75.18</v>
      </c>
      <c r="E6" s="6">
        <v>527.5</v>
      </c>
      <c r="F6" s="6">
        <v>75.14</v>
      </c>
      <c r="G6" s="6">
        <v>75.31</v>
      </c>
      <c r="H6" s="6">
        <v>76.89</v>
      </c>
      <c r="I6" s="6">
        <v>65.015</v>
      </c>
      <c r="J6" s="6">
        <v>80.82</v>
      </c>
      <c r="K6" s="6">
        <v>80.72</v>
      </c>
      <c r="L6" s="6">
        <v>45.21</v>
      </c>
      <c r="M6" s="6">
        <v>67.85</v>
      </c>
      <c r="N6" s="6">
        <v>74.16</v>
      </c>
      <c r="O6" s="6">
        <v>74.66</v>
      </c>
      <c r="P6" s="6">
        <v>67.32</v>
      </c>
      <c r="Q6" s="6">
        <v>65.86</v>
      </c>
    </row>
    <row r="7" spans="1:17">
      <c r="A7" s="5">
        <v>20230106</v>
      </c>
      <c r="B7" s="6">
        <v>73.77</v>
      </c>
      <c r="C7" s="6">
        <v>78.57</v>
      </c>
      <c r="D7" s="6">
        <v>75.29</v>
      </c>
      <c r="E7" s="6">
        <v>525.7</v>
      </c>
      <c r="F7" s="6">
        <v>75.14</v>
      </c>
      <c r="G7" s="6">
        <v>75.35</v>
      </c>
      <c r="H7" s="6">
        <v>77.385</v>
      </c>
      <c r="I7" s="6">
        <v>65.585</v>
      </c>
      <c r="J7" s="6">
        <v>81.11</v>
      </c>
      <c r="K7" s="6">
        <v>81.06</v>
      </c>
      <c r="L7" s="6">
        <v>46.27</v>
      </c>
      <c r="M7" s="6">
        <v>68.44</v>
      </c>
      <c r="N7" s="6">
        <v>74.35</v>
      </c>
      <c r="O7" s="6">
        <v>74.85</v>
      </c>
      <c r="P7" s="6">
        <v>67.76</v>
      </c>
      <c r="Q7" s="6">
        <v>66.05</v>
      </c>
    </row>
    <row r="8" spans="1:17">
      <c r="A8" s="5">
        <v>20230109</v>
      </c>
      <c r="B8" s="6">
        <v>74.63</v>
      </c>
      <c r="C8" s="6">
        <v>79.65</v>
      </c>
      <c r="D8" s="6">
        <v>77.23</v>
      </c>
      <c r="E8" s="6">
        <v>527.9</v>
      </c>
      <c r="F8" s="6">
        <v>77.05</v>
      </c>
      <c r="G8" s="6">
        <v>77.26</v>
      </c>
      <c r="H8" s="6">
        <v>77.435</v>
      </c>
      <c r="I8" s="6">
        <v>67.115</v>
      </c>
      <c r="J8" s="6">
        <v>82.76</v>
      </c>
      <c r="K8" s="6">
        <v>82.71</v>
      </c>
      <c r="L8" s="6">
        <v>47.745</v>
      </c>
      <c r="M8" s="6">
        <v>68.8</v>
      </c>
      <c r="N8" s="6">
        <v>76.18</v>
      </c>
      <c r="O8" s="6">
        <v>76.68</v>
      </c>
      <c r="P8" s="6">
        <v>69.46</v>
      </c>
      <c r="Q8" s="6">
        <v>67.93</v>
      </c>
    </row>
    <row r="9" spans="1:17">
      <c r="A9" s="5">
        <v>20230110</v>
      </c>
      <c r="B9" s="6">
        <v>75.12</v>
      </c>
      <c r="C9" s="6">
        <v>80.1</v>
      </c>
      <c r="D9" s="6">
        <v>76.21</v>
      </c>
      <c r="E9" s="6">
        <v>527.6</v>
      </c>
      <c r="F9" s="6">
        <v>76</v>
      </c>
      <c r="G9" s="6">
        <v>76.35</v>
      </c>
      <c r="H9" s="6">
        <v>77.8</v>
      </c>
      <c r="I9" s="6">
        <v>66.33</v>
      </c>
      <c r="J9" s="6">
        <v>81.76</v>
      </c>
      <c r="K9" s="6">
        <v>81.71</v>
      </c>
      <c r="L9" s="6">
        <v>47.11</v>
      </c>
      <c r="M9" s="6">
        <v>68.91</v>
      </c>
      <c r="N9" s="6">
        <v>75.4</v>
      </c>
      <c r="O9" s="6">
        <v>75.9</v>
      </c>
      <c r="P9" s="6">
        <v>68.51</v>
      </c>
      <c r="Q9" s="6">
        <v>67.65</v>
      </c>
    </row>
    <row r="10" spans="1:17">
      <c r="A10" s="5">
        <v>20230111</v>
      </c>
      <c r="B10" s="6">
        <v>77.41</v>
      </c>
      <c r="C10" s="6">
        <v>82.67</v>
      </c>
      <c r="D10" s="6">
        <v>76.97</v>
      </c>
      <c r="E10" s="6">
        <v>522.4</v>
      </c>
      <c r="F10" s="6">
        <v>76.8</v>
      </c>
      <c r="G10" s="6">
        <v>77.1</v>
      </c>
      <c r="H10" s="6">
        <v>80.435</v>
      </c>
      <c r="I10" s="6">
        <v>67.05</v>
      </c>
      <c r="J10" s="6">
        <v>82.22</v>
      </c>
      <c r="K10" s="6">
        <v>82.12</v>
      </c>
      <c r="L10" s="6">
        <v>48.015</v>
      </c>
      <c r="M10" s="6">
        <v>71.41</v>
      </c>
      <c r="N10" s="6">
        <v>76.2</v>
      </c>
      <c r="O10" s="6">
        <v>76.7</v>
      </c>
      <c r="P10" s="6">
        <v>69.12</v>
      </c>
      <c r="Q10" s="6">
        <v>68.5</v>
      </c>
    </row>
    <row r="11" spans="1:17">
      <c r="A11" s="5">
        <v>20230112</v>
      </c>
      <c r="B11" s="6">
        <v>78.39</v>
      </c>
      <c r="C11" s="6">
        <v>84.03</v>
      </c>
      <c r="D11" s="6">
        <v>79.69</v>
      </c>
      <c r="E11" s="6">
        <v>529.6</v>
      </c>
      <c r="F11" s="6">
        <v>79.5</v>
      </c>
      <c r="G11" s="6">
        <v>79.63</v>
      </c>
      <c r="H11" s="6">
        <v>82.825</v>
      </c>
      <c r="I11" s="6">
        <v>69.875</v>
      </c>
      <c r="J11" s="6">
        <v>84.78</v>
      </c>
      <c r="K11" s="6">
        <v>84.68</v>
      </c>
      <c r="L11" s="6">
        <v>51.175</v>
      </c>
      <c r="M11" s="6">
        <v>73.49</v>
      </c>
      <c r="N11" s="6">
        <v>78.48</v>
      </c>
      <c r="O11" s="6">
        <v>78.98</v>
      </c>
      <c r="P11" s="6">
        <v>71.63</v>
      </c>
      <c r="Q11" s="6">
        <v>70.78</v>
      </c>
    </row>
    <row r="12" spans="1:17">
      <c r="A12" s="5">
        <v>20230113</v>
      </c>
      <c r="B12" s="6">
        <v>79.86</v>
      </c>
      <c r="C12" s="6">
        <v>85.28</v>
      </c>
      <c r="D12" s="6">
        <v>81.09</v>
      </c>
      <c r="E12" s="6">
        <v>535.8</v>
      </c>
      <c r="F12" s="6">
        <v>81.05</v>
      </c>
      <c r="G12" s="6">
        <v>81.22</v>
      </c>
      <c r="H12" s="6">
        <v>83.325</v>
      </c>
      <c r="I12" s="6">
        <v>71.53</v>
      </c>
      <c r="J12" s="6">
        <v>86.53</v>
      </c>
      <c r="K12" s="6">
        <v>86.38</v>
      </c>
      <c r="L12" s="6">
        <v>52.905</v>
      </c>
      <c r="M12" s="6">
        <v>74.29</v>
      </c>
      <c r="N12" s="6">
        <v>79.92</v>
      </c>
      <c r="O12" s="6">
        <v>80.42</v>
      </c>
      <c r="P12" s="6">
        <v>73.33</v>
      </c>
      <c r="Q12" s="6">
        <v>72.22</v>
      </c>
    </row>
    <row r="13" spans="1:17">
      <c r="A13" s="5">
        <v>20230116</v>
      </c>
      <c r="B13" s="6"/>
      <c r="C13" s="6">
        <v>84.46</v>
      </c>
      <c r="D13" s="6">
        <v>81.91</v>
      </c>
      <c r="E13" s="6">
        <v>540.8</v>
      </c>
      <c r="F13" s="6">
        <v>81.75</v>
      </c>
      <c r="G13" s="6">
        <v>81.97</v>
      </c>
      <c r="H13" s="6">
        <v>82.84</v>
      </c>
      <c r="I13" s="6">
        <v>71.865</v>
      </c>
      <c r="J13" s="6">
        <v>86.85</v>
      </c>
      <c r="K13" s="6">
        <v>86.7</v>
      </c>
      <c r="L13" s="6">
        <v>53.365</v>
      </c>
      <c r="M13" s="6">
        <v>73.62</v>
      </c>
      <c r="N13" s="6">
        <v>80.47</v>
      </c>
      <c r="O13" s="6">
        <v>80.97</v>
      </c>
      <c r="P13" s="6">
        <v>73.65</v>
      </c>
      <c r="Q13" s="6">
        <v>72.97</v>
      </c>
    </row>
    <row r="14" spans="1:17">
      <c r="A14" s="5">
        <v>20230117</v>
      </c>
      <c r="B14" s="6">
        <v>80.18</v>
      </c>
      <c r="C14" s="6">
        <v>85.92</v>
      </c>
      <c r="D14" s="6">
        <v>82.74</v>
      </c>
      <c r="E14" s="6">
        <v>544.2</v>
      </c>
      <c r="F14" s="6">
        <v>82.49</v>
      </c>
      <c r="G14" s="6">
        <v>82.68</v>
      </c>
      <c r="H14" s="6">
        <v>84.35</v>
      </c>
      <c r="I14" s="6">
        <v>72.84</v>
      </c>
      <c r="J14" s="6">
        <v>87.3</v>
      </c>
      <c r="K14" s="6">
        <v>87.25</v>
      </c>
      <c r="L14" s="6">
        <v>54.49</v>
      </c>
      <c r="M14" s="6">
        <v>75.7</v>
      </c>
      <c r="N14" s="6">
        <v>81.38</v>
      </c>
      <c r="O14" s="6">
        <v>81.88</v>
      </c>
      <c r="P14" s="6">
        <v>74.9</v>
      </c>
      <c r="Q14" s="6">
        <v>73.68</v>
      </c>
    </row>
    <row r="15" spans="1:17">
      <c r="A15" s="5">
        <v>20230118</v>
      </c>
      <c r="B15" s="6">
        <v>79.48</v>
      </c>
      <c r="C15" s="6">
        <v>84.98</v>
      </c>
      <c r="D15" s="6">
        <v>84.14</v>
      </c>
      <c r="E15" s="6">
        <v>558.8</v>
      </c>
      <c r="F15" s="6">
        <v>83.65</v>
      </c>
      <c r="G15" s="6">
        <v>83.92</v>
      </c>
      <c r="H15" s="6">
        <v>85.925</v>
      </c>
      <c r="I15" s="6">
        <v>74.395</v>
      </c>
      <c r="J15" s="6">
        <v>89</v>
      </c>
      <c r="K15" s="6">
        <v>89</v>
      </c>
      <c r="L15" s="6">
        <v>56.54</v>
      </c>
      <c r="M15" s="6">
        <v>77.53</v>
      </c>
      <c r="N15" s="6">
        <v>83.07</v>
      </c>
      <c r="O15" s="6">
        <v>83.57</v>
      </c>
      <c r="P15" s="6">
        <v>76.75</v>
      </c>
      <c r="Q15" s="6">
        <v>74.92</v>
      </c>
    </row>
    <row r="16" spans="1:17">
      <c r="A16" s="5">
        <v>20230119</v>
      </c>
      <c r="B16" s="6">
        <v>80.33</v>
      </c>
      <c r="C16" s="6">
        <v>86.16</v>
      </c>
      <c r="D16" s="6">
        <v>81.42</v>
      </c>
      <c r="E16" s="6">
        <v>556.7</v>
      </c>
      <c r="F16" s="6">
        <v>81.39</v>
      </c>
      <c r="G16" s="6">
        <v>81.49</v>
      </c>
      <c r="H16" s="6">
        <v>84.5</v>
      </c>
      <c r="I16" s="6">
        <v>71.82</v>
      </c>
      <c r="J16" s="6">
        <v>86.98</v>
      </c>
      <c r="K16" s="6">
        <v>86.88</v>
      </c>
      <c r="L16" s="6">
        <v>53.645</v>
      </c>
      <c r="M16" s="6">
        <v>75.81</v>
      </c>
      <c r="N16" s="6">
        <v>80.89</v>
      </c>
      <c r="O16" s="6">
        <v>81.39</v>
      </c>
      <c r="P16" s="6">
        <v>74.68</v>
      </c>
      <c r="Q16" s="6">
        <v>72.64</v>
      </c>
    </row>
    <row r="17" spans="1:17">
      <c r="A17" s="5">
        <v>20230120</v>
      </c>
      <c r="B17" s="6">
        <v>81.31</v>
      </c>
      <c r="C17" s="6">
        <v>87.63</v>
      </c>
      <c r="D17" s="6">
        <v>84.25</v>
      </c>
      <c r="E17" s="6">
        <v>558.9</v>
      </c>
      <c r="F17" s="6">
        <v>83.84</v>
      </c>
      <c r="G17" s="6">
        <v>84.03</v>
      </c>
      <c r="H17" s="6">
        <v>85.9</v>
      </c>
      <c r="I17" s="6">
        <v>74.49</v>
      </c>
      <c r="J17" s="6">
        <v>89.07</v>
      </c>
      <c r="K17" s="6">
        <v>88.97</v>
      </c>
      <c r="L17" s="6">
        <v>57.115</v>
      </c>
      <c r="M17" s="6">
        <v>77.31</v>
      </c>
      <c r="N17" s="6">
        <v>83.43</v>
      </c>
      <c r="O17" s="6">
        <v>83.93</v>
      </c>
      <c r="P17" s="6">
        <v>76.87</v>
      </c>
      <c r="Q17" s="6">
        <v>75.18</v>
      </c>
    </row>
    <row r="18" spans="1:17">
      <c r="A18" s="5">
        <v>20230123</v>
      </c>
      <c r="B18" s="6">
        <v>81.62</v>
      </c>
      <c r="C18" s="6">
        <v>88.19</v>
      </c>
      <c r="D18" s="6">
        <v>84.37</v>
      </c>
      <c r="E18" s="6"/>
      <c r="F18" s="6"/>
      <c r="G18" s="6"/>
      <c r="H18" s="6">
        <v>88.21</v>
      </c>
      <c r="I18" s="6"/>
      <c r="J18" s="6"/>
      <c r="K18" s="6"/>
      <c r="L18" s="6"/>
      <c r="M18" s="6"/>
      <c r="N18" s="6"/>
      <c r="O18" s="6"/>
      <c r="P18" s="6"/>
      <c r="Q18" s="6"/>
    </row>
    <row r="19" spans="1:17">
      <c r="A19" s="5">
        <v>20230124</v>
      </c>
      <c r="B19" s="6">
        <v>80.13</v>
      </c>
      <c r="C19" s="6">
        <v>86.13</v>
      </c>
      <c r="D19" s="6">
        <v>85.22</v>
      </c>
      <c r="E19" s="6"/>
      <c r="F19" s="6"/>
      <c r="G19" s="6"/>
      <c r="H19" s="6">
        <v>86.13</v>
      </c>
      <c r="I19" s="6"/>
      <c r="J19" s="6"/>
      <c r="K19" s="6"/>
      <c r="L19" s="6"/>
      <c r="M19" s="6"/>
      <c r="N19" s="6"/>
      <c r="O19" s="6"/>
      <c r="P19" s="6"/>
      <c r="Q19" s="6"/>
    </row>
    <row r="20" spans="1:17">
      <c r="A20" s="5">
        <v>20230125</v>
      </c>
      <c r="B20" s="6">
        <v>80.15</v>
      </c>
      <c r="C20" s="6">
        <v>86.12</v>
      </c>
      <c r="D20" s="6">
        <v>83.92</v>
      </c>
      <c r="E20" s="6"/>
      <c r="F20" s="6">
        <v>83.5</v>
      </c>
      <c r="G20" s="6">
        <v>83.65</v>
      </c>
      <c r="H20" s="6">
        <v>85.885</v>
      </c>
      <c r="I20" s="6">
        <v>74.26</v>
      </c>
      <c r="J20" s="6">
        <v>88.97</v>
      </c>
      <c r="K20" s="6">
        <v>88.87</v>
      </c>
      <c r="L20" s="6">
        <v>56.93</v>
      </c>
      <c r="M20" s="6">
        <v>77.07</v>
      </c>
      <c r="N20" s="6">
        <v>83.1</v>
      </c>
      <c r="O20" s="6">
        <v>83.6</v>
      </c>
      <c r="P20" s="6">
        <v>76.77</v>
      </c>
      <c r="Q20" s="6">
        <v>74.8</v>
      </c>
    </row>
    <row r="21" spans="1:17">
      <c r="A21" s="5">
        <v>20230126</v>
      </c>
      <c r="B21" s="6">
        <v>81.01</v>
      </c>
      <c r="C21" s="6">
        <v>87.47</v>
      </c>
      <c r="D21" s="6">
        <v>83.42</v>
      </c>
      <c r="E21" s="6"/>
      <c r="F21" s="6">
        <v>83.19</v>
      </c>
      <c r="G21" s="6">
        <v>83.34</v>
      </c>
      <c r="H21" s="6">
        <v>86.9</v>
      </c>
      <c r="I21" s="6">
        <v>74.82</v>
      </c>
      <c r="J21" s="6">
        <v>88.78</v>
      </c>
      <c r="K21" s="6">
        <v>88.68</v>
      </c>
      <c r="L21" s="6">
        <v>58.365</v>
      </c>
      <c r="M21" s="6">
        <v>78.03</v>
      </c>
      <c r="N21" s="6">
        <v>82.89</v>
      </c>
      <c r="O21" s="6">
        <v>83.39</v>
      </c>
      <c r="P21" s="6">
        <v>76.58</v>
      </c>
      <c r="Q21" s="6">
        <v>74.49</v>
      </c>
    </row>
    <row r="22" spans="1:17">
      <c r="A22" s="5">
        <v>20230127</v>
      </c>
      <c r="B22" s="6">
        <v>79.68</v>
      </c>
      <c r="C22" s="6">
        <v>86.66</v>
      </c>
      <c r="D22" s="6">
        <v>84.48</v>
      </c>
      <c r="E22" s="6"/>
      <c r="F22" s="6">
        <v>84.15</v>
      </c>
      <c r="G22" s="6">
        <v>84.3</v>
      </c>
      <c r="H22" s="6">
        <v>85.985</v>
      </c>
      <c r="I22" s="6">
        <v>76.375</v>
      </c>
      <c r="J22" s="6">
        <v>90.5</v>
      </c>
      <c r="K22" s="6">
        <v>90.5</v>
      </c>
      <c r="L22" s="6">
        <v>59.765</v>
      </c>
      <c r="M22" s="6">
        <v>78.08</v>
      </c>
      <c r="N22" s="6">
        <v>84.52</v>
      </c>
      <c r="O22" s="6">
        <v>85.02</v>
      </c>
      <c r="P22" s="6">
        <v>79.2</v>
      </c>
      <c r="Q22" s="6">
        <v>75.77</v>
      </c>
    </row>
    <row r="23" spans="1:17">
      <c r="A23" s="5">
        <v>20230130</v>
      </c>
      <c r="B23" s="6">
        <v>77.9</v>
      </c>
      <c r="C23" s="6">
        <v>84.9</v>
      </c>
      <c r="D23" s="6">
        <v>82.5</v>
      </c>
      <c r="E23" s="6">
        <v>555</v>
      </c>
      <c r="F23" s="6">
        <v>82.6</v>
      </c>
      <c r="G23" s="6">
        <v>82.75</v>
      </c>
      <c r="H23" s="6">
        <v>84.63</v>
      </c>
      <c r="I23" s="6">
        <v>75.2</v>
      </c>
      <c r="J23" s="6">
        <v>88.32</v>
      </c>
      <c r="K23" s="6">
        <v>88.52</v>
      </c>
      <c r="L23" s="6">
        <v>59.935</v>
      </c>
      <c r="M23" s="6">
        <v>77.63</v>
      </c>
      <c r="N23" s="6">
        <v>82.35</v>
      </c>
      <c r="O23" s="6">
        <v>82.85</v>
      </c>
      <c r="P23" s="6">
        <v>77.62</v>
      </c>
      <c r="Q23" s="6">
        <v>73.85</v>
      </c>
    </row>
    <row r="24" spans="1:17">
      <c r="A24" s="5">
        <v>20230131</v>
      </c>
      <c r="B24" s="6">
        <v>78.87</v>
      </c>
      <c r="C24" s="6">
        <v>84.49</v>
      </c>
      <c r="D24" s="6">
        <v>79.91</v>
      </c>
      <c r="E24" s="6">
        <v>547.4</v>
      </c>
      <c r="F24" s="6">
        <v>80.88</v>
      </c>
      <c r="G24" s="6">
        <v>81.03</v>
      </c>
      <c r="H24" s="6">
        <v>84.215</v>
      </c>
      <c r="I24" s="6">
        <v>73.53</v>
      </c>
      <c r="J24" s="6">
        <v>86.57</v>
      </c>
      <c r="K24" s="6">
        <v>86.87</v>
      </c>
      <c r="L24" s="6">
        <v>58.445</v>
      </c>
      <c r="M24" s="6">
        <v>77.6</v>
      </c>
      <c r="N24" s="6">
        <v>80.75</v>
      </c>
      <c r="O24" s="6">
        <v>81.25</v>
      </c>
      <c r="P24" s="6">
        <v>76.17</v>
      </c>
      <c r="Q24" s="6">
        <v>72.25</v>
      </c>
    </row>
    <row r="25" spans="1:17">
      <c r="A25" s="7" t="s">
        <v>17</v>
      </c>
      <c r="B25" s="8">
        <f>AVERAGE(B23:B24)</f>
        <v>78.385</v>
      </c>
      <c r="C25" s="8">
        <f t="shared" ref="C25:Q25" si="0">AVERAGE(C23:C24)</f>
        <v>84.695</v>
      </c>
      <c r="D25" s="8">
        <f t="shared" si="0"/>
        <v>81.205</v>
      </c>
      <c r="E25" s="8">
        <f t="shared" si="0"/>
        <v>551.2</v>
      </c>
      <c r="F25" s="8">
        <f t="shared" si="0"/>
        <v>81.74</v>
      </c>
      <c r="G25" s="8">
        <f t="shared" si="0"/>
        <v>81.89</v>
      </c>
      <c r="H25" s="8">
        <f t="shared" si="0"/>
        <v>84.4225</v>
      </c>
      <c r="I25" s="8">
        <f t="shared" si="0"/>
        <v>74.365</v>
      </c>
      <c r="J25" s="8">
        <f t="shared" si="0"/>
        <v>87.445</v>
      </c>
      <c r="K25" s="8">
        <f t="shared" si="0"/>
        <v>87.695</v>
      </c>
      <c r="L25" s="8">
        <f t="shared" si="0"/>
        <v>59.19</v>
      </c>
      <c r="M25" s="8">
        <f t="shared" si="0"/>
        <v>77.615</v>
      </c>
      <c r="N25" s="8">
        <f t="shared" si="0"/>
        <v>81.55</v>
      </c>
      <c r="O25" s="8">
        <f t="shared" si="0"/>
        <v>82.05</v>
      </c>
      <c r="P25" s="8">
        <f t="shared" si="0"/>
        <v>76.895</v>
      </c>
      <c r="Q25" s="8">
        <f t="shared" si="0"/>
        <v>73.05</v>
      </c>
    </row>
    <row r="26" ht="22.5" spans="1:17">
      <c r="A26" s="3" t="s">
        <v>36</v>
      </c>
      <c r="B26" s="9">
        <f>AVERAGE(B3:B24)</f>
        <v>78.164</v>
      </c>
      <c r="C26" s="9">
        <f t="shared" ref="C26:Q26" si="1">AVERAGE(C3:C24)</f>
        <v>83.9066666666667</v>
      </c>
      <c r="D26" s="9">
        <f t="shared" si="1"/>
        <v>80.9228571428572</v>
      </c>
      <c r="E26" s="9">
        <f t="shared" si="1"/>
        <v>542.5625</v>
      </c>
      <c r="F26" s="9">
        <f t="shared" si="1"/>
        <v>80.3805263157895</v>
      </c>
      <c r="G26" s="9">
        <f t="shared" si="1"/>
        <v>80.5663157894737</v>
      </c>
      <c r="H26" s="9">
        <f t="shared" si="1"/>
        <v>82.7769047619048</v>
      </c>
      <c r="I26" s="9">
        <f t="shared" si="1"/>
        <v>71.0986842105263</v>
      </c>
      <c r="J26" s="9">
        <f t="shared" si="1"/>
        <v>85.9694736842105</v>
      </c>
      <c r="K26" s="9">
        <f t="shared" si="1"/>
        <v>85.9221052631579</v>
      </c>
      <c r="L26" s="9">
        <f t="shared" si="1"/>
        <v>52.9386842105263</v>
      </c>
      <c r="M26" s="9">
        <f t="shared" si="1"/>
        <v>73.6984210526316</v>
      </c>
      <c r="N26" s="9">
        <f t="shared" si="1"/>
        <v>79.6826315789474</v>
      </c>
      <c r="O26" s="9">
        <f t="shared" si="1"/>
        <v>80.1826315789474</v>
      </c>
      <c r="P26" s="9">
        <f t="shared" si="1"/>
        <v>73.3878947368421</v>
      </c>
      <c r="Q26" s="9">
        <f t="shared" si="1"/>
        <v>71.5484210526316</v>
      </c>
    </row>
    <row r="27" ht="23.25" spans="1:17">
      <c r="A27" s="10" t="s">
        <v>19</v>
      </c>
      <c r="B27" s="11">
        <f>(B26-B2)/B2</f>
        <v>0.0215100069700292</v>
      </c>
      <c r="C27" s="11">
        <f t="shared" ref="C27:Q27" si="2">(C26-C2)/C2</f>
        <v>0.0315366737502708</v>
      </c>
      <c r="D27" s="11">
        <f t="shared" si="2"/>
        <v>0.042212750298979</v>
      </c>
      <c r="E27" s="18">
        <f t="shared" si="2"/>
        <v>-0.000931157145846297</v>
      </c>
      <c r="F27" s="11">
        <f t="shared" si="2"/>
        <v>0.0412466975906111</v>
      </c>
      <c r="G27" s="11">
        <f t="shared" si="2"/>
        <v>0.0410237577552252</v>
      </c>
      <c r="H27" s="11">
        <f t="shared" si="2"/>
        <v>0.0204851092970157</v>
      </c>
      <c r="I27" s="11">
        <f t="shared" si="2"/>
        <v>0.0209076738184082</v>
      </c>
      <c r="J27" s="11">
        <f t="shared" si="2"/>
        <v>0.00221996012369572</v>
      </c>
      <c r="K27" s="11">
        <f t="shared" si="2"/>
        <v>0.0116360698394358</v>
      </c>
      <c r="L27" s="11">
        <f t="shared" si="2"/>
        <v>0.0522347965462743</v>
      </c>
      <c r="M27" s="11">
        <f t="shared" si="2"/>
        <v>0.0381302135133299</v>
      </c>
      <c r="N27" s="11">
        <f t="shared" si="2"/>
        <v>0.0262957919005082</v>
      </c>
      <c r="O27" s="11">
        <f t="shared" si="2"/>
        <v>0.0261275332917081</v>
      </c>
      <c r="P27" s="11">
        <f t="shared" si="2"/>
        <v>0.0363765285098866</v>
      </c>
      <c r="Q27" s="11">
        <f t="shared" si="2"/>
        <v>0.0605826554188022</v>
      </c>
    </row>
    <row r="28" ht="15"/>
  </sheetData>
  <pageMargins left="0.75" right="0.75" top="1" bottom="1" header="0.5" footer="0.5"/>
  <pageSetup paperSize="9" orientation="portrait"/>
  <headerFooter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3"/>
  <dimension ref="A1:Q31"/>
  <sheetViews>
    <sheetView workbookViewId="0">
      <selection activeCell="B28" sqref="B28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25</v>
      </c>
      <c r="B2" s="9">
        <v>84.3857142857143</v>
      </c>
      <c r="C2" s="9">
        <v>90.8518181818182</v>
      </c>
      <c r="D2" s="9">
        <v>86.145</v>
      </c>
      <c r="E2" s="9">
        <v>642.5</v>
      </c>
      <c r="F2" s="9">
        <v>86.2225</v>
      </c>
      <c r="G2" s="9">
        <v>86.225</v>
      </c>
      <c r="H2" s="9">
        <v>91.6729545454545</v>
      </c>
      <c r="I2" s="9">
        <v>83.5168181818182</v>
      </c>
      <c r="J2" s="9">
        <v>96.5690909090909</v>
      </c>
      <c r="K2" s="9">
        <v>95.5940909090909</v>
      </c>
      <c r="L2" s="9">
        <v>66.4622727272727</v>
      </c>
      <c r="M2" s="6">
        <v>81.1131818181818</v>
      </c>
      <c r="N2" s="6">
        <v>87.0127272727273</v>
      </c>
      <c r="O2" s="6">
        <v>87.5127272727273</v>
      </c>
      <c r="P2" s="6">
        <v>81.5736363636364</v>
      </c>
      <c r="Q2" s="14">
        <v>80.865</v>
      </c>
    </row>
    <row r="3" spans="1:17">
      <c r="A3" s="5">
        <v>20221128</v>
      </c>
      <c r="B3" s="6">
        <v>77.24</v>
      </c>
      <c r="C3" s="6">
        <v>83.19</v>
      </c>
      <c r="D3" s="6">
        <v>76.73</v>
      </c>
      <c r="E3" s="6">
        <v>560.7</v>
      </c>
      <c r="F3" s="6">
        <v>76.645</v>
      </c>
      <c r="G3" s="6">
        <v>76.65</v>
      </c>
      <c r="H3" s="6">
        <v>82.65</v>
      </c>
      <c r="I3" s="6">
        <v>72.875</v>
      </c>
      <c r="J3" s="6">
        <v>86.51</v>
      </c>
      <c r="K3" s="6">
        <v>85.51</v>
      </c>
      <c r="L3" s="6">
        <v>53.93</v>
      </c>
      <c r="M3" s="6">
        <v>73.04</v>
      </c>
      <c r="N3" s="6">
        <v>77.92</v>
      </c>
      <c r="O3" s="6">
        <v>78.42</v>
      </c>
      <c r="P3" s="6">
        <v>71.41</v>
      </c>
      <c r="Q3" s="14">
        <v>69.12</v>
      </c>
    </row>
    <row r="4" spans="1:17">
      <c r="A4" s="5">
        <v>20221129</v>
      </c>
      <c r="B4" s="6">
        <v>78.2</v>
      </c>
      <c r="C4" s="6">
        <v>83.03</v>
      </c>
      <c r="D4" s="6">
        <v>80.56</v>
      </c>
      <c r="E4" s="6">
        <v>563.9</v>
      </c>
      <c r="F4" s="6">
        <v>80.94</v>
      </c>
      <c r="G4" s="6">
        <v>80.94</v>
      </c>
      <c r="H4" s="6">
        <v>83.94</v>
      </c>
      <c r="I4" s="6">
        <v>77.23</v>
      </c>
      <c r="J4" s="6">
        <v>90.69</v>
      </c>
      <c r="K4" s="6">
        <v>89.84</v>
      </c>
      <c r="L4" s="6">
        <v>58.59</v>
      </c>
      <c r="M4" s="6">
        <v>73.91</v>
      </c>
      <c r="N4" s="6">
        <v>82.07</v>
      </c>
      <c r="O4" s="6">
        <v>82.57</v>
      </c>
      <c r="P4" s="6">
        <v>75.59</v>
      </c>
      <c r="Q4" s="14">
        <v>73.07</v>
      </c>
    </row>
    <row r="5" spans="1:17">
      <c r="A5" s="5">
        <v>20221130</v>
      </c>
      <c r="B5" s="6">
        <v>80.55</v>
      </c>
      <c r="C5" s="6">
        <v>85.43</v>
      </c>
      <c r="D5" s="6">
        <v>79.15</v>
      </c>
      <c r="E5" s="6">
        <v>571.7</v>
      </c>
      <c r="F5" s="6">
        <v>80.4</v>
      </c>
      <c r="G5" s="6">
        <v>80.45</v>
      </c>
      <c r="H5" s="6">
        <v>86.54</v>
      </c>
      <c r="I5" s="6">
        <v>75.865</v>
      </c>
      <c r="J5" s="6">
        <v>90.3</v>
      </c>
      <c r="K5" s="6">
        <v>89.35</v>
      </c>
      <c r="L5" s="6">
        <v>56.66</v>
      </c>
      <c r="M5" s="6">
        <v>76.74</v>
      </c>
      <c r="N5" s="6">
        <v>81.62</v>
      </c>
      <c r="O5" s="6">
        <v>82.12</v>
      </c>
      <c r="P5" s="6">
        <v>75.1</v>
      </c>
      <c r="Q5" s="14">
        <v>72.17</v>
      </c>
    </row>
    <row r="6" spans="1:17">
      <c r="A6" s="5">
        <v>20221201</v>
      </c>
      <c r="B6" s="6">
        <v>81.22</v>
      </c>
      <c r="C6" s="6">
        <v>86.88</v>
      </c>
      <c r="D6" s="6">
        <v>81.36</v>
      </c>
      <c r="E6" s="6">
        <v>579.5</v>
      </c>
      <c r="F6" s="6">
        <v>81.35</v>
      </c>
      <c r="G6" s="6">
        <v>81.35</v>
      </c>
      <c r="H6" s="6">
        <v>89.08</v>
      </c>
      <c r="I6" s="6">
        <v>75.865</v>
      </c>
      <c r="J6" s="6">
        <v>92.02</v>
      </c>
      <c r="K6" s="6">
        <v>91.07</v>
      </c>
      <c r="L6" s="6">
        <v>56.495</v>
      </c>
      <c r="M6" s="6">
        <v>78.55</v>
      </c>
      <c r="N6" s="6">
        <v>83.27</v>
      </c>
      <c r="O6" s="6">
        <v>83.77</v>
      </c>
      <c r="P6" s="6">
        <v>76.77</v>
      </c>
      <c r="Q6" s="14">
        <v>73.72</v>
      </c>
    </row>
    <row r="7" spans="1:17">
      <c r="A7" s="5">
        <v>20221202</v>
      </c>
      <c r="B7" s="6">
        <v>79.98</v>
      </c>
      <c r="C7" s="6">
        <v>85.57</v>
      </c>
      <c r="D7" s="6">
        <v>85.57</v>
      </c>
      <c r="E7" s="6">
        <v>578.4</v>
      </c>
      <c r="F7" s="6">
        <v>81</v>
      </c>
      <c r="G7" s="6">
        <v>81</v>
      </c>
      <c r="H7" s="6">
        <v>86.945</v>
      </c>
      <c r="I7" s="6">
        <v>75.565</v>
      </c>
      <c r="J7" s="6">
        <v>91.84</v>
      </c>
      <c r="K7" s="6">
        <v>90.84</v>
      </c>
      <c r="L7" s="6">
        <v>56.225</v>
      </c>
      <c r="M7" s="6">
        <v>76.63</v>
      </c>
      <c r="N7" s="6">
        <v>83.05</v>
      </c>
      <c r="O7" s="6">
        <v>83.55</v>
      </c>
      <c r="P7" s="6">
        <v>76.54</v>
      </c>
      <c r="Q7" s="14">
        <v>73.35</v>
      </c>
    </row>
    <row r="8" spans="1:17">
      <c r="A8" s="5">
        <v>20221205</v>
      </c>
      <c r="B8" s="6">
        <v>76.93</v>
      </c>
      <c r="C8" s="6">
        <v>82.68</v>
      </c>
      <c r="D8" s="6">
        <v>80.87</v>
      </c>
      <c r="E8" s="6">
        <v>570.5</v>
      </c>
      <c r="F8" s="6">
        <v>80.8</v>
      </c>
      <c r="G8" s="6">
        <v>80.8</v>
      </c>
      <c r="H8" s="6">
        <v>85.59</v>
      </c>
      <c r="I8" s="6">
        <v>75.19</v>
      </c>
      <c r="J8" s="6">
        <v>91.46</v>
      </c>
      <c r="K8" s="6">
        <v>90.56</v>
      </c>
      <c r="L8" s="6">
        <v>56.18</v>
      </c>
      <c r="M8" s="6">
        <v>74.97</v>
      </c>
      <c r="N8" s="6">
        <v>82.56</v>
      </c>
      <c r="O8" s="6">
        <v>83.06</v>
      </c>
      <c r="P8" s="6">
        <v>76.11</v>
      </c>
      <c r="Q8" s="14">
        <v>72.86</v>
      </c>
    </row>
    <row r="9" spans="1:17">
      <c r="A9" s="5">
        <v>20221206</v>
      </c>
      <c r="B9" s="6">
        <v>74.25</v>
      </c>
      <c r="C9" s="6">
        <v>79.35</v>
      </c>
      <c r="D9" s="6">
        <v>78</v>
      </c>
      <c r="E9" s="6">
        <v>555.5</v>
      </c>
      <c r="F9" s="6">
        <v>77.95</v>
      </c>
      <c r="G9" s="6">
        <v>77.95</v>
      </c>
      <c r="H9" s="6">
        <v>80.53</v>
      </c>
      <c r="I9" s="6">
        <v>72.135</v>
      </c>
      <c r="J9" s="6">
        <v>88.1</v>
      </c>
      <c r="K9" s="6">
        <v>87.3</v>
      </c>
      <c r="L9" s="6">
        <v>53.56</v>
      </c>
      <c r="M9" s="6">
        <v>70.28</v>
      </c>
      <c r="N9" s="6">
        <v>79.61</v>
      </c>
      <c r="O9" s="6">
        <v>80.11</v>
      </c>
      <c r="P9" s="6">
        <v>72.75</v>
      </c>
      <c r="Q9" s="14">
        <v>69.71</v>
      </c>
    </row>
    <row r="10" spans="1:17">
      <c r="A10" s="5">
        <v>20221207</v>
      </c>
      <c r="B10" s="6">
        <v>72.01</v>
      </c>
      <c r="C10" s="6">
        <v>77.17</v>
      </c>
      <c r="D10" s="6">
        <v>75</v>
      </c>
      <c r="E10" s="6">
        <v>525.9</v>
      </c>
      <c r="F10" s="6">
        <v>74.8</v>
      </c>
      <c r="G10" s="6">
        <v>74.8</v>
      </c>
      <c r="H10" s="6">
        <v>78.56</v>
      </c>
      <c r="I10" s="6">
        <v>68.875</v>
      </c>
      <c r="J10" s="6">
        <v>84.57</v>
      </c>
      <c r="K10" s="6">
        <v>83.77</v>
      </c>
      <c r="L10" s="6">
        <v>50.785</v>
      </c>
      <c r="M10" s="6">
        <v>68.47</v>
      </c>
      <c r="N10" s="6">
        <v>76.64</v>
      </c>
      <c r="O10" s="6">
        <v>77.14</v>
      </c>
      <c r="P10" s="6">
        <v>69.37</v>
      </c>
      <c r="Q10" s="14">
        <v>66.09</v>
      </c>
    </row>
    <row r="11" spans="1:17">
      <c r="A11" s="5">
        <v>20221208</v>
      </c>
      <c r="B11" s="6">
        <v>71.46</v>
      </c>
      <c r="C11" s="6">
        <v>76.15</v>
      </c>
      <c r="D11" s="6">
        <v>73.14</v>
      </c>
      <c r="E11" s="6">
        <v>513.6</v>
      </c>
      <c r="F11" s="6">
        <v>73.05</v>
      </c>
      <c r="G11" s="6">
        <v>73.05</v>
      </c>
      <c r="H11" s="6">
        <v>76.355</v>
      </c>
      <c r="I11" s="6">
        <v>67.225</v>
      </c>
      <c r="J11" s="6">
        <v>82.3</v>
      </c>
      <c r="K11" s="6">
        <v>81.7</v>
      </c>
      <c r="L11" s="6">
        <v>49.825</v>
      </c>
      <c r="M11" s="6">
        <v>66.35</v>
      </c>
      <c r="N11" s="6">
        <v>74.84</v>
      </c>
      <c r="O11" s="6">
        <v>75.34</v>
      </c>
      <c r="P11" s="6">
        <v>67.3</v>
      </c>
      <c r="Q11" s="14">
        <v>63.84</v>
      </c>
    </row>
    <row r="12" spans="1:17">
      <c r="A12" s="5">
        <v>20221209</v>
      </c>
      <c r="B12" s="6">
        <v>71.02</v>
      </c>
      <c r="C12" s="6">
        <v>76.1</v>
      </c>
      <c r="D12" s="6">
        <v>71.99</v>
      </c>
      <c r="E12" s="6">
        <v>506.7</v>
      </c>
      <c r="F12" s="6">
        <v>72.05</v>
      </c>
      <c r="G12" s="6">
        <v>72.05</v>
      </c>
      <c r="H12" s="6">
        <v>77.63</v>
      </c>
      <c r="I12" s="6">
        <v>66.01</v>
      </c>
      <c r="J12" s="6">
        <v>81.59</v>
      </c>
      <c r="K12" s="6">
        <v>80.44</v>
      </c>
      <c r="L12" s="6">
        <v>47.955</v>
      </c>
      <c r="M12" s="6">
        <v>67.52</v>
      </c>
      <c r="N12" s="6">
        <v>73.92</v>
      </c>
      <c r="O12" s="6">
        <v>74.42</v>
      </c>
      <c r="P12" s="6">
        <v>66.59</v>
      </c>
      <c r="Q12" s="14">
        <v>62.47</v>
      </c>
    </row>
    <row r="13" spans="1:17">
      <c r="A13" s="5">
        <v>20221212</v>
      </c>
      <c r="B13" s="6">
        <v>73.17</v>
      </c>
      <c r="C13" s="6">
        <v>77.99</v>
      </c>
      <c r="D13" s="6">
        <v>71.96</v>
      </c>
      <c r="E13" s="6">
        <v>508.8</v>
      </c>
      <c r="F13" s="6">
        <v>71.81</v>
      </c>
      <c r="G13" s="6">
        <v>71.81</v>
      </c>
      <c r="H13" s="6">
        <v>78.735</v>
      </c>
      <c r="I13" s="6">
        <v>65.985</v>
      </c>
      <c r="J13" s="6">
        <v>81.04</v>
      </c>
      <c r="K13" s="6">
        <v>79.49</v>
      </c>
      <c r="L13" s="6">
        <v>48.365</v>
      </c>
      <c r="M13" s="6">
        <v>68.59</v>
      </c>
      <c r="N13" s="6">
        <v>73.55</v>
      </c>
      <c r="O13" s="6">
        <v>74.05</v>
      </c>
      <c r="P13" s="6">
        <v>66.09</v>
      </c>
      <c r="Q13" s="14">
        <v>61.65</v>
      </c>
    </row>
    <row r="14" spans="1:17">
      <c r="A14" s="5">
        <v>20221213</v>
      </c>
      <c r="B14" s="6">
        <v>75.39</v>
      </c>
      <c r="C14" s="6">
        <v>80.68</v>
      </c>
      <c r="D14" s="6">
        <v>75.58</v>
      </c>
      <c r="E14" s="6">
        <v>515.8</v>
      </c>
      <c r="F14" s="6">
        <v>75.445</v>
      </c>
      <c r="G14" s="6">
        <v>75.45</v>
      </c>
      <c r="H14" s="6">
        <v>80.97</v>
      </c>
      <c r="I14" s="6">
        <v>68.915</v>
      </c>
      <c r="J14" s="6">
        <v>84.3</v>
      </c>
      <c r="K14" s="6">
        <v>82.6</v>
      </c>
      <c r="L14" s="6">
        <v>50.89</v>
      </c>
      <c r="M14" s="6">
        <v>70.63</v>
      </c>
      <c r="N14" s="6">
        <v>76.89</v>
      </c>
      <c r="O14" s="6">
        <v>77.39</v>
      </c>
      <c r="P14" s="6">
        <v>69.2</v>
      </c>
      <c r="Q14" s="14">
        <v>64.49</v>
      </c>
    </row>
    <row r="15" spans="1:17">
      <c r="A15" s="5">
        <v>20221214</v>
      </c>
      <c r="B15" s="6">
        <v>77.28</v>
      </c>
      <c r="C15" s="6">
        <v>82.7</v>
      </c>
      <c r="D15" s="6">
        <v>76.8</v>
      </c>
      <c r="E15" s="6">
        <v>528.8</v>
      </c>
      <c r="F15" s="6">
        <v>76.69</v>
      </c>
      <c r="G15" s="6">
        <v>76.69</v>
      </c>
      <c r="H15" s="6">
        <v>83.605</v>
      </c>
      <c r="I15" s="6">
        <v>69.705</v>
      </c>
      <c r="J15" s="6">
        <v>85.61</v>
      </c>
      <c r="K15" s="6">
        <v>83.81</v>
      </c>
      <c r="L15" s="6">
        <v>51.055</v>
      </c>
      <c r="M15" s="6">
        <v>72.69</v>
      </c>
      <c r="N15" s="6">
        <v>78.13</v>
      </c>
      <c r="O15" s="6">
        <v>78.63</v>
      </c>
      <c r="P15" s="6">
        <v>70.41</v>
      </c>
      <c r="Q15" s="14">
        <v>65.53</v>
      </c>
    </row>
    <row r="16" spans="1:17">
      <c r="A16" s="5">
        <v>20221215</v>
      </c>
      <c r="B16" s="6">
        <v>76.11</v>
      </c>
      <c r="C16" s="6">
        <v>81.21</v>
      </c>
      <c r="D16" s="6">
        <v>77.94</v>
      </c>
      <c r="E16" s="6">
        <v>538.1</v>
      </c>
      <c r="F16" s="6">
        <v>77.69</v>
      </c>
      <c r="G16" s="6">
        <v>78.01</v>
      </c>
      <c r="H16" s="6">
        <v>81.83</v>
      </c>
      <c r="I16" s="6">
        <v>70.635</v>
      </c>
      <c r="J16" s="6">
        <v>87.1</v>
      </c>
      <c r="K16" s="6">
        <v>85.1</v>
      </c>
      <c r="L16" s="6">
        <v>51.34</v>
      </c>
      <c r="M16" s="6">
        <v>70.48</v>
      </c>
      <c r="N16" s="6">
        <v>79.11</v>
      </c>
      <c r="O16" s="6">
        <v>79.61</v>
      </c>
      <c r="P16" s="6">
        <v>71.1</v>
      </c>
      <c r="Q16" s="14">
        <v>66.56</v>
      </c>
    </row>
    <row r="17" spans="1:17">
      <c r="A17" s="5">
        <v>20221216</v>
      </c>
      <c r="B17" s="6">
        <v>74.29</v>
      </c>
      <c r="C17" s="6">
        <v>79.04</v>
      </c>
      <c r="D17" s="6">
        <v>76.81</v>
      </c>
      <c r="E17" s="6">
        <v>536.7</v>
      </c>
      <c r="F17" s="6">
        <v>76.35</v>
      </c>
      <c r="G17" s="6">
        <v>76.79</v>
      </c>
      <c r="H17" s="6">
        <v>79.12</v>
      </c>
      <c r="I17" s="6">
        <v>69.355</v>
      </c>
      <c r="J17" s="6">
        <v>85.69</v>
      </c>
      <c r="K17" s="6">
        <v>83.69</v>
      </c>
      <c r="L17" s="6">
        <v>49.98</v>
      </c>
      <c r="M17" s="6">
        <v>67.86</v>
      </c>
      <c r="N17" s="6">
        <v>76.99</v>
      </c>
      <c r="O17" s="6">
        <v>77.49</v>
      </c>
      <c r="P17" s="6">
        <v>69.44</v>
      </c>
      <c r="Q17" s="14">
        <v>64.94</v>
      </c>
    </row>
    <row r="18" spans="1:17">
      <c r="A18" s="5">
        <v>20221219</v>
      </c>
      <c r="B18" s="6">
        <v>75.19</v>
      </c>
      <c r="C18" s="6">
        <v>79.8</v>
      </c>
      <c r="D18" s="6">
        <v>76.09</v>
      </c>
      <c r="E18" s="6">
        <v>527.1</v>
      </c>
      <c r="F18" s="6">
        <v>75.34</v>
      </c>
      <c r="G18" s="6">
        <v>76.22</v>
      </c>
      <c r="H18" s="6">
        <v>79.65</v>
      </c>
      <c r="I18" s="6">
        <v>68.345</v>
      </c>
      <c r="J18" s="6">
        <v>84.41</v>
      </c>
      <c r="K18" s="6">
        <v>82.46</v>
      </c>
      <c r="L18" s="6">
        <v>49.335</v>
      </c>
      <c r="M18" s="6">
        <v>69</v>
      </c>
      <c r="N18" s="6">
        <v>74.12</v>
      </c>
      <c r="O18" s="6">
        <v>74.62</v>
      </c>
      <c r="P18" s="6">
        <v>68.11</v>
      </c>
      <c r="Q18" s="14">
        <v>64.32</v>
      </c>
    </row>
    <row r="19" spans="1:17">
      <c r="A19" s="5">
        <v>20221220</v>
      </c>
      <c r="B19" s="6">
        <v>76.09</v>
      </c>
      <c r="C19" s="6">
        <v>79.99</v>
      </c>
      <c r="D19" s="6">
        <v>76.22</v>
      </c>
      <c r="E19" s="6">
        <v>536.4</v>
      </c>
      <c r="F19" s="6">
        <v>75.75</v>
      </c>
      <c r="G19" s="6">
        <v>76.27</v>
      </c>
      <c r="H19" s="6">
        <v>78.585</v>
      </c>
      <c r="I19" s="6">
        <v>69.04</v>
      </c>
      <c r="J19" s="6">
        <v>84.65</v>
      </c>
      <c r="K19" s="6">
        <v>82.7</v>
      </c>
      <c r="L19" s="6">
        <v>50.46</v>
      </c>
      <c r="M19" s="6">
        <v>68.51</v>
      </c>
      <c r="N19" s="6">
        <v>74.57</v>
      </c>
      <c r="O19" s="6">
        <v>75.07</v>
      </c>
      <c r="P19" s="6">
        <v>68.35</v>
      </c>
      <c r="Q19" s="14">
        <v>64.77</v>
      </c>
    </row>
    <row r="20" spans="1:17">
      <c r="A20" s="5">
        <v>20221221</v>
      </c>
      <c r="B20" s="6">
        <v>78.29</v>
      </c>
      <c r="C20" s="6">
        <v>82.2</v>
      </c>
      <c r="D20" s="6">
        <v>77.17</v>
      </c>
      <c r="E20" s="6">
        <v>536.2</v>
      </c>
      <c r="F20" s="6">
        <v>76.7</v>
      </c>
      <c r="G20" s="6">
        <v>77.22</v>
      </c>
      <c r="H20" s="6">
        <v>80.295</v>
      </c>
      <c r="I20" s="6">
        <v>67.51</v>
      </c>
      <c r="J20" s="6">
        <v>83.86</v>
      </c>
      <c r="K20" s="6">
        <v>83.61</v>
      </c>
      <c r="L20" s="6">
        <v>47.265</v>
      </c>
      <c r="M20" s="6">
        <v>70.73</v>
      </c>
      <c r="N20" s="6">
        <v>75.57</v>
      </c>
      <c r="O20" s="6">
        <v>76.07</v>
      </c>
      <c r="P20" s="6">
        <v>69.36</v>
      </c>
      <c r="Q20" s="14">
        <v>66.02</v>
      </c>
    </row>
    <row r="21" spans="1:17">
      <c r="A21" s="5">
        <v>20221222</v>
      </c>
      <c r="B21" s="6">
        <v>77.49</v>
      </c>
      <c r="C21" s="6">
        <v>80.98</v>
      </c>
      <c r="D21" s="6">
        <v>79.49</v>
      </c>
      <c r="E21" s="6">
        <v>548.4</v>
      </c>
      <c r="F21" s="6">
        <v>78.85</v>
      </c>
      <c r="G21" s="6">
        <v>79.48</v>
      </c>
      <c r="H21" s="6">
        <v>80.79</v>
      </c>
      <c r="I21" s="6">
        <v>68.655</v>
      </c>
      <c r="J21" s="6">
        <v>84.96</v>
      </c>
      <c r="K21" s="6">
        <v>85.51</v>
      </c>
      <c r="L21" s="6">
        <v>47.89</v>
      </c>
      <c r="M21" s="6">
        <v>71.54</v>
      </c>
      <c r="N21" s="6">
        <v>77.88</v>
      </c>
      <c r="O21" s="6">
        <v>78.38</v>
      </c>
      <c r="P21" s="6">
        <v>71.41</v>
      </c>
      <c r="Q21" s="14">
        <v>68.58</v>
      </c>
    </row>
    <row r="22" spans="1:17">
      <c r="A22" s="5">
        <v>20221223</v>
      </c>
      <c r="B22" s="6">
        <v>79.56</v>
      </c>
      <c r="C22" s="6">
        <v>83.92</v>
      </c>
      <c r="D22" s="6">
        <v>78.58</v>
      </c>
      <c r="E22" s="6">
        <v>547.7</v>
      </c>
      <c r="F22" s="6">
        <v>78.1</v>
      </c>
      <c r="G22" s="6">
        <v>78.65</v>
      </c>
      <c r="H22" s="6">
        <v>80.885</v>
      </c>
      <c r="I22" s="6">
        <v>67.38</v>
      </c>
      <c r="J22" s="6">
        <v>84.09</v>
      </c>
      <c r="K22" s="6">
        <v>84.64</v>
      </c>
      <c r="L22" s="6">
        <v>46.61</v>
      </c>
      <c r="M22" s="6">
        <v>71.37</v>
      </c>
      <c r="N22" s="6">
        <v>76.97</v>
      </c>
      <c r="O22" s="6">
        <v>77.47</v>
      </c>
      <c r="P22" s="6">
        <v>70.64</v>
      </c>
      <c r="Q22" s="14">
        <v>67.87</v>
      </c>
    </row>
    <row r="23" spans="1:17">
      <c r="A23" s="5">
        <v>20221226</v>
      </c>
      <c r="B23" s="6"/>
      <c r="C23" s="6"/>
      <c r="D23" s="6"/>
      <c r="E23" s="6">
        <v>558.3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14"/>
    </row>
    <row r="24" spans="1:17">
      <c r="A24" s="5">
        <v>20221227</v>
      </c>
      <c r="B24" s="6">
        <v>79.53</v>
      </c>
      <c r="C24" s="6">
        <v>84.33</v>
      </c>
      <c r="D24" s="6">
        <v>80.62</v>
      </c>
      <c r="E24" s="6">
        <v>563.3</v>
      </c>
      <c r="F24" s="6">
        <v>80.59</v>
      </c>
      <c r="G24" s="6">
        <v>80.59</v>
      </c>
      <c r="H24" s="6"/>
      <c r="I24" s="6">
        <v>69.725</v>
      </c>
      <c r="J24" s="6">
        <v>86.72</v>
      </c>
      <c r="K24" s="6">
        <v>87.07</v>
      </c>
      <c r="L24" s="6">
        <v>48.485</v>
      </c>
      <c r="M24" s="6"/>
      <c r="N24" s="6"/>
      <c r="O24" s="6"/>
      <c r="P24" s="6"/>
      <c r="Q24" s="14">
        <v>70.72</v>
      </c>
    </row>
    <row r="25" spans="1:17">
      <c r="A25" s="5">
        <v>20221228</v>
      </c>
      <c r="B25" s="6">
        <v>78.96</v>
      </c>
      <c r="C25" s="6">
        <v>83.26</v>
      </c>
      <c r="D25" s="6">
        <v>80.43</v>
      </c>
      <c r="E25" s="6">
        <v>565.1</v>
      </c>
      <c r="F25" s="6">
        <v>79.95</v>
      </c>
      <c r="G25" s="6">
        <v>80.06</v>
      </c>
      <c r="H25" s="6">
        <v>81.14</v>
      </c>
      <c r="I25" s="6">
        <v>69.59</v>
      </c>
      <c r="J25" s="6">
        <v>86.45</v>
      </c>
      <c r="K25" s="6">
        <v>86.6</v>
      </c>
      <c r="L25" s="6">
        <v>48.54</v>
      </c>
      <c r="M25" s="6">
        <v>71.84</v>
      </c>
      <c r="N25" s="6">
        <v>79.1</v>
      </c>
      <c r="O25" s="6">
        <v>79.6</v>
      </c>
      <c r="P25" s="6">
        <v>73</v>
      </c>
      <c r="Q25" s="14">
        <v>70.5</v>
      </c>
    </row>
    <row r="26" spans="1:17">
      <c r="A26" s="5">
        <v>20221229</v>
      </c>
      <c r="B26" s="6">
        <v>78.4</v>
      </c>
      <c r="C26" s="6">
        <v>82.26</v>
      </c>
      <c r="D26" s="6">
        <v>78.01</v>
      </c>
      <c r="E26" s="6">
        <v>553.9</v>
      </c>
      <c r="F26" s="6">
        <v>78.11</v>
      </c>
      <c r="G26" s="6">
        <v>78.22</v>
      </c>
      <c r="H26" s="6">
        <v>80.685</v>
      </c>
      <c r="I26" s="6">
        <v>67.905</v>
      </c>
      <c r="J26" s="6">
        <v>84.92</v>
      </c>
      <c r="K26" s="6">
        <v>84.97</v>
      </c>
      <c r="L26" s="6">
        <v>46.965</v>
      </c>
      <c r="M26" s="6">
        <v>71.69</v>
      </c>
      <c r="N26" s="6">
        <v>77.46</v>
      </c>
      <c r="O26" s="6">
        <v>77.96</v>
      </c>
      <c r="P26" s="6">
        <v>71.47</v>
      </c>
      <c r="Q26" s="14">
        <v>68.81</v>
      </c>
    </row>
    <row r="27" spans="1:17">
      <c r="A27" s="5">
        <v>20221230</v>
      </c>
      <c r="B27" s="6">
        <v>80.26</v>
      </c>
      <c r="C27" s="6">
        <v>85.91</v>
      </c>
      <c r="D27" s="6">
        <v>78.92</v>
      </c>
      <c r="E27" s="6">
        <v>552.8</v>
      </c>
      <c r="F27" s="6">
        <v>78.75</v>
      </c>
      <c r="G27" s="6">
        <v>78.76</v>
      </c>
      <c r="H27" s="6">
        <v>81.325</v>
      </c>
      <c r="I27" s="6">
        <v>68.885</v>
      </c>
      <c r="J27" s="6">
        <v>85.68</v>
      </c>
      <c r="K27" s="6">
        <v>85.68</v>
      </c>
      <c r="L27" s="6">
        <v>48.32</v>
      </c>
      <c r="M27" s="6">
        <v>72.13</v>
      </c>
      <c r="N27" s="6">
        <v>78.59</v>
      </c>
      <c r="O27" s="6">
        <v>79.09</v>
      </c>
      <c r="P27" s="6">
        <v>72.23</v>
      </c>
      <c r="Q27" s="6">
        <v>69.89</v>
      </c>
    </row>
    <row r="28" spans="1:17">
      <c r="A28" s="7" t="s">
        <v>17</v>
      </c>
      <c r="B28" s="8">
        <f>AVERAGE(B23:B27)</f>
        <v>79.2875</v>
      </c>
      <c r="C28" s="8">
        <f t="shared" ref="C28:Q28" si="0">AVERAGE(C23:C27)</f>
        <v>83.94</v>
      </c>
      <c r="D28" s="8">
        <f t="shared" si="0"/>
        <v>79.495</v>
      </c>
      <c r="E28" s="8">
        <f t="shared" si="0"/>
        <v>558.68</v>
      </c>
      <c r="F28" s="8">
        <f t="shared" si="0"/>
        <v>79.35</v>
      </c>
      <c r="G28" s="8">
        <f t="shared" si="0"/>
        <v>79.4075</v>
      </c>
      <c r="H28" s="8">
        <f t="shared" si="0"/>
        <v>81.05</v>
      </c>
      <c r="I28" s="8">
        <f t="shared" si="0"/>
        <v>69.02625</v>
      </c>
      <c r="J28" s="8">
        <f t="shared" si="0"/>
        <v>85.9425</v>
      </c>
      <c r="K28" s="8">
        <f t="shared" si="0"/>
        <v>86.08</v>
      </c>
      <c r="L28" s="8">
        <f t="shared" si="0"/>
        <v>48.0775</v>
      </c>
      <c r="M28" s="8">
        <f t="shared" si="0"/>
        <v>71.8866666666667</v>
      </c>
      <c r="N28" s="8">
        <f t="shared" si="0"/>
        <v>78.3833333333333</v>
      </c>
      <c r="O28" s="8">
        <f t="shared" si="0"/>
        <v>78.8833333333333</v>
      </c>
      <c r="P28" s="8">
        <f t="shared" si="0"/>
        <v>72.2333333333333</v>
      </c>
      <c r="Q28" s="8">
        <f t="shared" si="0"/>
        <v>69.98</v>
      </c>
    </row>
    <row r="29" ht="22.5" spans="1:17">
      <c r="A29" s="3" t="s">
        <v>46</v>
      </c>
      <c r="B29" s="9">
        <f>AVERAGE(B6:B27)</f>
        <v>76.5180952380952</v>
      </c>
      <c r="C29" s="9">
        <f t="shared" ref="C29:Q29" si="1">AVERAGE(C6:C27)</f>
        <v>81.3414285714286</v>
      </c>
      <c r="D29" s="9">
        <f t="shared" si="1"/>
        <v>77.6452380952381</v>
      </c>
      <c r="E29" s="9">
        <f t="shared" si="1"/>
        <v>543.068181818182</v>
      </c>
      <c r="F29" s="9">
        <f t="shared" si="1"/>
        <v>77.1964285714286</v>
      </c>
      <c r="G29" s="9">
        <f t="shared" si="1"/>
        <v>77.3914285714286</v>
      </c>
      <c r="H29" s="9">
        <f t="shared" si="1"/>
        <v>81.11525</v>
      </c>
      <c r="I29" s="9">
        <f t="shared" si="1"/>
        <v>69.642619047619</v>
      </c>
      <c r="J29" s="9">
        <f t="shared" si="1"/>
        <v>85.7790476190476</v>
      </c>
      <c r="K29" s="9">
        <f t="shared" si="1"/>
        <v>84.9338095238095</v>
      </c>
      <c r="L29" s="9">
        <f t="shared" si="1"/>
        <v>50.3107142857143</v>
      </c>
      <c r="M29" s="9">
        <f t="shared" si="1"/>
        <v>70.9915</v>
      </c>
      <c r="N29" s="9">
        <f t="shared" si="1"/>
        <v>77.641</v>
      </c>
      <c r="O29" s="9">
        <f t="shared" si="1"/>
        <v>78.141</v>
      </c>
      <c r="P29" s="9">
        <f t="shared" si="1"/>
        <v>70.812</v>
      </c>
      <c r="Q29" s="9">
        <f t="shared" si="1"/>
        <v>67.4614285714286</v>
      </c>
    </row>
    <row r="30" ht="23.25" spans="1:17">
      <c r="A30" s="10" t="s">
        <v>19</v>
      </c>
      <c r="B30" s="18">
        <f t="shared" ref="B30:Q30" si="2">(B29-B2)/B2</f>
        <v>-0.0932340161390442</v>
      </c>
      <c r="C30" s="18">
        <f t="shared" si="2"/>
        <v>-0.104680234261871</v>
      </c>
      <c r="D30" s="18">
        <f t="shared" si="2"/>
        <v>-0.0986680817779546</v>
      </c>
      <c r="E30" s="18">
        <f t="shared" si="2"/>
        <v>-0.1547576936682</v>
      </c>
      <c r="F30" s="18">
        <f t="shared" si="2"/>
        <v>-0.104683480861393</v>
      </c>
      <c r="G30" s="18">
        <f t="shared" si="2"/>
        <v>-0.102447914509381</v>
      </c>
      <c r="H30" s="18">
        <f t="shared" si="2"/>
        <v>-0.115167058788529</v>
      </c>
      <c r="I30" s="18">
        <f t="shared" si="2"/>
        <v>-0.166124613416123</v>
      </c>
      <c r="J30" s="18">
        <f t="shared" si="2"/>
        <v>-0.111733922194638</v>
      </c>
      <c r="K30" s="18">
        <f t="shared" si="2"/>
        <v>-0.111516112386269</v>
      </c>
      <c r="L30" s="18">
        <f t="shared" si="2"/>
        <v>-0.243018449095718</v>
      </c>
      <c r="M30" s="18">
        <f t="shared" si="2"/>
        <v>-0.124784672371378</v>
      </c>
      <c r="N30" s="18">
        <f t="shared" si="2"/>
        <v>-0.107705246881334</v>
      </c>
      <c r="O30" s="18">
        <f t="shared" si="2"/>
        <v>-0.107089877835951</v>
      </c>
      <c r="P30" s="18">
        <f t="shared" si="2"/>
        <v>-0.131925421537707</v>
      </c>
      <c r="Q30" s="19">
        <f t="shared" si="2"/>
        <v>-0.165752444550441</v>
      </c>
    </row>
    <row r="31" ht="15"/>
  </sheetData>
  <pageMargins left="0.75" right="0.75" top="1" bottom="1" header="0.5" footer="0.5"/>
  <pageSetup paperSize="9" orientation="portrait"/>
  <headerFooter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4"/>
  <dimension ref="A1:Q29"/>
  <sheetViews>
    <sheetView zoomScaleSheetLayoutView="60" workbookViewId="0">
      <selection activeCell="A1" sqref="A1:Q28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27</v>
      </c>
      <c r="B2" s="9">
        <v>87.0309523809524</v>
      </c>
      <c r="C2" s="9">
        <v>93.5938095238095</v>
      </c>
      <c r="D2" s="9">
        <v>90.7890476190476</v>
      </c>
      <c r="E2" s="9">
        <v>679.30625</v>
      </c>
      <c r="F2" s="9">
        <v>91.13</v>
      </c>
      <c r="G2" s="9">
        <v>91.153</v>
      </c>
      <c r="H2" s="9">
        <v>93.3316666666667</v>
      </c>
      <c r="I2" s="9">
        <v>88.04075</v>
      </c>
      <c r="J2" s="9">
        <v>97.8615</v>
      </c>
      <c r="K2" s="9">
        <v>96.7015</v>
      </c>
      <c r="L2" s="9">
        <v>73.0085</v>
      </c>
      <c r="M2" s="6">
        <v>80.803</v>
      </c>
      <c r="N2" s="6">
        <v>89.301</v>
      </c>
      <c r="O2" s="6">
        <v>89.801</v>
      </c>
      <c r="P2" s="6">
        <v>80.619</v>
      </c>
      <c r="Q2" s="14">
        <v>84.461</v>
      </c>
    </row>
    <row r="3" spans="1:17">
      <c r="A3" s="5">
        <v>20221031</v>
      </c>
      <c r="B3" s="6">
        <v>86.53</v>
      </c>
      <c r="C3" s="6">
        <v>94.83</v>
      </c>
      <c r="D3" s="6">
        <v>89.54</v>
      </c>
      <c r="E3" s="6">
        <v>683.5</v>
      </c>
      <c r="F3" s="6">
        <v>90.6</v>
      </c>
      <c r="G3" s="6">
        <v>90.6</v>
      </c>
      <c r="H3" s="6">
        <v>92.85</v>
      </c>
      <c r="I3" s="6">
        <v>87.29</v>
      </c>
      <c r="J3" s="6">
        <v>98.47</v>
      </c>
      <c r="K3" s="6">
        <v>97.62</v>
      </c>
      <c r="L3" s="6">
        <v>71.075</v>
      </c>
      <c r="M3" s="6">
        <v>83.57</v>
      </c>
      <c r="N3" s="6">
        <v>90.25</v>
      </c>
      <c r="O3" s="6">
        <v>90.75</v>
      </c>
      <c r="P3" s="6">
        <v>83.62</v>
      </c>
      <c r="Q3" s="14">
        <v>85.85</v>
      </c>
    </row>
    <row r="4" spans="1:17">
      <c r="A4" s="5">
        <v>20221101</v>
      </c>
      <c r="B4" s="6">
        <v>88.37</v>
      </c>
      <c r="C4" s="6">
        <v>94.65</v>
      </c>
      <c r="D4" s="6">
        <v>91.51</v>
      </c>
      <c r="E4" s="6">
        <v>684.7</v>
      </c>
      <c r="F4" s="6">
        <v>91.39</v>
      </c>
      <c r="G4" s="6">
        <v>91.39</v>
      </c>
      <c r="H4" s="6">
        <v>94.93</v>
      </c>
      <c r="I4" s="6">
        <v>88.89</v>
      </c>
      <c r="J4" s="6">
        <v>100.17</v>
      </c>
      <c r="K4" s="6">
        <v>99.32</v>
      </c>
      <c r="L4" s="6">
        <v>73.52</v>
      </c>
      <c r="M4" s="6">
        <v>85.6</v>
      </c>
      <c r="N4" s="6">
        <v>89.95</v>
      </c>
      <c r="O4" s="6">
        <v>90.45</v>
      </c>
      <c r="P4" s="6">
        <v>85.32</v>
      </c>
      <c r="Q4" s="14">
        <v>85.3</v>
      </c>
    </row>
    <row r="5" spans="1:17">
      <c r="A5" s="5">
        <v>20221102</v>
      </c>
      <c r="B5" s="6">
        <v>90</v>
      </c>
      <c r="C5" s="6">
        <v>96.16</v>
      </c>
      <c r="D5" s="6">
        <v>91.14</v>
      </c>
      <c r="E5" s="6">
        <v>696</v>
      </c>
      <c r="F5" s="6">
        <v>90.95</v>
      </c>
      <c r="G5" s="6">
        <v>90.95</v>
      </c>
      <c r="H5" s="6">
        <v>96.995</v>
      </c>
      <c r="I5" s="6">
        <v>89.16</v>
      </c>
      <c r="J5" s="6">
        <v>100.96</v>
      </c>
      <c r="K5" s="6">
        <v>100.06</v>
      </c>
      <c r="L5" s="6">
        <v>74.115</v>
      </c>
      <c r="M5" s="6">
        <v>87.21</v>
      </c>
      <c r="N5" s="6">
        <v>90.13</v>
      </c>
      <c r="O5" s="6">
        <v>90.63</v>
      </c>
      <c r="P5" s="6">
        <v>86.16</v>
      </c>
      <c r="Q5" s="14">
        <v>85.43</v>
      </c>
    </row>
    <row r="6" spans="1:17">
      <c r="A6" s="5">
        <v>20221103</v>
      </c>
      <c r="B6" s="6">
        <v>88.17</v>
      </c>
      <c r="C6" s="6">
        <v>94.67</v>
      </c>
      <c r="D6" s="6">
        <v>89.83</v>
      </c>
      <c r="E6" s="6">
        <v>696.5</v>
      </c>
      <c r="F6" s="6">
        <v>89.79</v>
      </c>
      <c r="G6" s="6">
        <v>89.79</v>
      </c>
      <c r="H6" s="6">
        <v>95.805</v>
      </c>
      <c r="I6" s="6">
        <v>88.57</v>
      </c>
      <c r="J6" s="6">
        <v>100.8</v>
      </c>
      <c r="K6" s="6">
        <v>99.9</v>
      </c>
      <c r="L6" s="6">
        <v>73.275</v>
      </c>
      <c r="M6" s="6">
        <v>86.22</v>
      </c>
      <c r="N6" s="6">
        <v>89.36</v>
      </c>
      <c r="O6" s="6">
        <v>89.86</v>
      </c>
      <c r="P6" s="6">
        <v>86.1</v>
      </c>
      <c r="Q6" s="14">
        <v>84.56</v>
      </c>
    </row>
    <row r="7" spans="1:17">
      <c r="A7" s="5">
        <v>20221104</v>
      </c>
      <c r="B7" s="6">
        <v>92.61</v>
      </c>
      <c r="C7" s="6">
        <v>98.57</v>
      </c>
      <c r="D7" s="6">
        <v>92.24</v>
      </c>
      <c r="E7" s="6">
        <v>700</v>
      </c>
      <c r="F7" s="6">
        <v>92.29</v>
      </c>
      <c r="G7" s="6">
        <v>92.29</v>
      </c>
      <c r="H7" s="6">
        <v>98.73</v>
      </c>
      <c r="I7" s="6">
        <v>90.085</v>
      </c>
      <c r="J7" s="6">
        <v>102.48</v>
      </c>
      <c r="K7" s="6">
        <v>101.38</v>
      </c>
      <c r="L7" s="6">
        <v>74.245</v>
      </c>
      <c r="M7" s="6">
        <v>88.76</v>
      </c>
      <c r="N7" s="6">
        <v>91.95</v>
      </c>
      <c r="O7" s="6">
        <v>92.45</v>
      </c>
      <c r="P7" s="6">
        <v>87.58</v>
      </c>
      <c r="Q7" s="14">
        <v>87.05</v>
      </c>
    </row>
    <row r="8" spans="1:17">
      <c r="A8" s="5">
        <v>20221107</v>
      </c>
      <c r="B8" s="6">
        <v>91.79</v>
      </c>
      <c r="C8" s="6">
        <v>97.92</v>
      </c>
      <c r="D8" s="6">
        <v>93.08</v>
      </c>
      <c r="E8" s="6">
        <v>716</v>
      </c>
      <c r="F8" s="6">
        <v>92.9</v>
      </c>
      <c r="G8" s="6">
        <v>92.9</v>
      </c>
      <c r="H8" s="6">
        <v>101.715</v>
      </c>
      <c r="I8" s="6">
        <v>91.2</v>
      </c>
      <c r="J8" s="6">
        <v>103.65</v>
      </c>
      <c r="K8" s="6">
        <v>102.55</v>
      </c>
      <c r="L8" s="6">
        <v>75.41</v>
      </c>
      <c r="M8" s="6">
        <v>90.42</v>
      </c>
      <c r="N8" s="6">
        <v>92.71</v>
      </c>
      <c r="O8" s="6">
        <v>93.21</v>
      </c>
      <c r="P8" s="6">
        <v>88.75</v>
      </c>
      <c r="Q8" s="14">
        <v>87.76</v>
      </c>
    </row>
    <row r="9" spans="1:17">
      <c r="A9" s="5">
        <v>20221108</v>
      </c>
      <c r="B9" s="6">
        <v>88.91</v>
      </c>
      <c r="C9" s="6">
        <v>95.36</v>
      </c>
      <c r="D9" s="6">
        <v>92.31</v>
      </c>
      <c r="E9" s="6">
        <v>716.8</v>
      </c>
      <c r="F9" s="6">
        <v>92.29</v>
      </c>
      <c r="G9" s="6">
        <v>92.29</v>
      </c>
      <c r="H9" s="6">
        <v>98.915</v>
      </c>
      <c r="I9" s="6">
        <v>91.2</v>
      </c>
      <c r="J9" s="6">
        <v>103.87</v>
      </c>
      <c r="K9" s="6">
        <v>102.77</v>
      </c>
      <c r="L9" s="6">
        <v>75.405</v>
      </c>
      <c r="M9" s="6">
        <v>87.96</v>
      </c>
      <c r="N9" s="6">
        <v>92.1</v>
      </c>
      <c r="O9" s="6">
        <v>92.6</v>
      </c>
      <c r="P9" s="6">
        <v>88.92</v>
      </c>
      <c r="Q9" s="14">
        <v>87.1</v>
      </c>
    </row>
    <row r="10" spans="1:17">
      <c r="A10" s="5">
        <v>20221109</v>
      </c>
      <c r="B10" s="6">
        <v>85.83</v>
      </c>
      <c r="C10" s="6">
        <v>92.65</v>
      </c>
      <c r="D10" s="6">
        <v>89.71</v>
      </c>
      <c r="E10" s="6">
        <v>701.1</v>
      </c>
      <c r="F10" s="6">
        <v>89.76</v>
      </c>
      <c r="G10" s="6">
        <v>89.76</v>
      </c>
      <c r="H10" s="6">
        <v>94.78</v>
      </c>
      <c r="I10" s="6">
        <v>87.6</v>
      </c>
      <c r="J10" s="6">
        <v>99.38</v>
      </c>
      <c r="K10" s="6">
        <v>98.28</v>
      </c>
      <c r="L10" s="6">
        <v>71.525</v>
      </c>
      <c r="M10" s="6">
        <v>83.54</v>
      </c>
      <c r="N10" s="6">
        <v>89.92</v>
      </c>
      <c r="O10" s="6">
        <v>90.42</v>
      </c>
      <c r="P10" s="6">
        <v>84.43</v>
      </c>
      <c r="Q10" s="14">
        <v>84.87</v>
      </c>
    </row>
    <row r="11" spans="1:17">
      <c r="A11" s="5">
        <v>20221110</v>
      </c>
      <c r="B11" s="6">
        <v>86.47</v>
      </c>
      <c r="C11" s="6">
        <v>93.67</v>
      </c>
      <c r="D11" s="6">
        <v>87.08</v>
      </c>
      <c r="E11" s="6">
        <v>679</v>
      </c>
      <c r="F11" s="6">
        <v>87.14</v>
      </c>
      <c r="G11" s="6">
        <v>87.14</v>
      </c>
      <c r="H11" s="6">
        <v>94.56</v>
      </c>
      <c r="I11" s="6">
        <v>85.245</v>
      </c>
      <c r="J11" s="6">
        <v>96.92</v>
      </c>
      <c r="K11" s="6">
        <v>95.87</v>
      </c>
      <c r="L11" s="6">
        <v>69.36</v>
      </c>
      <c r="M11" s="6">
        <v>83.2</v>
      </c>
      <c r="N11" s="6">
        <v>87.58</v>
      </c>
      <c r="O11" s="6">
        <v>88.08</v>
      </c>
      <c r="P11" s="6">
        <v>82.02</v>
      </c>
      <c r="Q11" s="14">
        <v>82.48</v>
      </c>
    </row>
    <row r="12" spans="1:17">
      <c r="A12" s="5">
        <v>20221111</v>
      </c>
      <c r="B12" s="6">
        <v>88.96</v>
      </c>
      <c r="C12" s="6">
        <v>95.99</v>
      </c>
      <c r="D12" s="6">
        <v>91</v>
      </c>
      <c r="E12" s="6">
        <v>673.8</v>
      </c>
      <c r="F12" s="6">
        <v>91.04</v>
      </c>
      <c r="G12" s="6">
        <v>91.04</v>
      </c>
      <c r="H12" s="6">
        <v>96.775</v>
      </c>
      <c r="I12" s="6">
        <v>88.73</v>
      </c>
      <c r="J12" s="6">
        <v>100.06</v>
      </c>
      <c r="K12" s="6">
        <v>99.06</v>
      </c>
      <c r="L12" s="6">
        <v>73.045</v>
      </c>
      <c r="M12" s="6">
        <v>85.38</v>
      </c>
      <c r="N12" s="6">
        <v>91.36</v>
      </c>
      <c r="O12" s="6">
        <v>91.86</v>
      </c>
      <c r="P12" s="6">
        <v>85.16</v>
      </c>
      <c r="Q12" s="14">
        <v>86.41</v>
      </c>
    </row>
    <row r="13" spans="1:17">
      <c r="A13" s="5">
        <v>20221114</v>
      </c>
      <c r="B13" s="6">
        <v>85.87</v>
      </c>
      <c r="C13" s="6">
        <v>93.14</v>
      </c>
      <c r="D13" s="6">
        <v>91</v>
      </c>
      <c r="E13" s="6">
        <v>677.1</v>
      </c>
      <c r="F13" s="6">
        <v>91</v>
      </c>
      <c r="G13" s="6">
        <v>91</v>
      </c>
      <c r="H13" s="6">
        <v>95.505</v>
      </c>
      <c r="I13" s="6">
        <v>88.745</v>
      </c>
      <c r="J13" s="6">
        <v>100.44</v>
      </c>
      <c r="K13" s="6">
        <v>99.49</v>
      </c>
      <c r="L13" s="6">
        <v>72.955</v>
      </c>
      <c r="M13" s="6">
        <v>84.07</v>
      </c>
      <c r="N13" s="6">
        <v>91.61</v>
      </c>
      <c r="O13" s="6">
        <v>92.11</v>
      </c>
      <c r="P13" s="6">
        <v>85.54</v>
      </c>
      <c r="Q13" s="14">
        <v>86.61</v>
      </c>
    </row>
    <row r="14" spans="1:17">
      <c r="A14" s="5">
        <v>20221115</v>
      </c>
      <c r="B14" s="6">
        <v>86.92</v>
      </c>
      <c r="C14" s="6">
        <v>93.86</v>
      </c>
      <c r="D14" s="6">
        <v>86.74</v>
      </c>
      <c r="E14" s="6">
        <v>659.6</v>
      </c>
      <c r="F14" s="6">
        <v>86.795</v>
      </c>
      <c r="G14" s="6">
        <v>86.795</v>
      </c>
      <c r="H14" s="6">
        <v>93.945</v>
      </c>
      <c r="I14" s="6">
        <v>84.805</v>
      </c>
      <c r="J14" s="6">
        <v>97.58</v>
      </c>
      <c r="K14" s="6">
        <v>96.68</v>
      </c>
      <c r="L14" s="6">
        <v>68.7</v>
      </c>
      <c r="M14" s="6">
        <v>83</v>
      </c>
      <c r="N14" s="6">
        <v>88.14</v>
      </c>
      <c r="O14" s="6">
        <v>88.64</v>
      </c>
      <c r="P14" s="6">
        <v>82.73</v>
      </c>
      <c r="Q14" s="14">
        <v>82.99</v>
      </c>
    </row>
    <row r="15" spans="1:17">
      <c r="A15" s="5">
        <v>20221116</v>
      </c>
      <c r="B15" s="6">
        <v>85.59</v>
      </c>
      <c r="C15" s="6">
        <v>92.86</v>
      </c>
      <c r="D15" s="6">
        <v>88.03</v>
      </c>
      <c r="E15" s="6">
        <v>641.9</v>
      </c>
      <c r="F15" s="6">
        <v>88.04</v>
      </c>
      <c r="G15" s="6">
        <v>88.04</v>
      </c>
      <c r="H15" s="6">
        <v>92.375</v>
      </c>
      <c r="I15" s="6">
        <v>85.17</v>
      </c>
      <c r="J15" s="6">
        <v>98.36</v>
      </c>
      <c r="K15" s="6">
        <v>97.51</v>
      </c>
      <c r="L15" s="6">
        <v>67.955</v>
      </c>
      <c r="M15" s="6">
        <v>81.43</v>
      </c>
      <c r="N15" s="6">
        <v>89.43</v>
      </c>
      <c r="O15" s="6">
        <v>89.93</v>
      </c>
      <c r="P15" s="6">
        <v>83.31</v>
      </c>
      <c r="Q15" s="14">
        <v>84.28</v>
      </c>
    </row>
    <row r="16" spans="1:17">
      <c r="A16" s="5">
        <v>20221117</v>
      </c>
      <c r="B16" s="6">
        <v>81.64</v>
      </c>
      <c r="C16" s="6">
        <v>89.78</v>
      </c>
      <c r="D16" s="6">
        <v>87.2</v>
      </c>
      <c r="E16" s="6">
        <v>634.8</v>
      </c>
      <c r="F16" s="6">
        <v>87.145</v>
      </c>
      <c r="G16" s="6">
        <v>87.145</v>
      </c>
      <c r="H16" s="6">
        <v>91.365</v>
      </c>
      <c r="I16" s="6">
        <v>83.35</v>
      </c>
      <c r="J16" s="6">
        <v>96.95</v>
      </c>
      <c r="K16" s="6">
        <v>96.05</v>
      </c>
      <c r="L16" s="6">
        <v>65.575</v>
      </c>
      <c r="M16" s="6">
        <v>79.83</v>
      </c>
      <c r="N16" s="6">
        <v>88.17</v>
      </c>
      <c r="O16" s="6">
        <v>88.67</v>
      </c>
      <c r="P16" s="6">
        <v>81.8</v>
      </c>
      <c r="Q16" s="14">
        <v>83.02</v>
      </c>
    </row>
    <row r="17" spans="1:17">
      <c r="A17" s="5">
        <v>20221118</v>
      </c>
      <c r="B17" s="6">
        <v>80.08</v>
      </c>
      <c r="C17" s="6">
        <v>87.62</v>
      </c>
      <c r="D17" s="6">
        <v>84.17</v>
      </c>
      <c r="E17" s="6">
        <v>622.5</v>
      </c>
      <c r="F17" s="6">
        <v>84.34</v>
      </c>
      <c r="G17" s="6">
        <v>84.34</v>
      </c>
      <c r="H17" s="6">
        <v>88.41</v>
      </c>
      <c r="I17" s="6">
        <v>80.62</v>
      </c>
      <c r="J17" s="6">
        <v>95.04</v>
      </c>
      <c r="K17" s="6">
        <v>94.09</v>
      </c>
      <c r="L17" s="6">
        <v>62.74</v>
      </c>
      <c r="M17" s="6">
        <v>77.1</v>
      </c>
      <c r="N17" s="6">
        <v>85.56</v>
      </c>
      <c r="O17" s="6">
        <v>86.06</v>
      </c>
      <c r="P17" s="6">
        <v>79.89</v>
      </c>
      <c r="Q17" s="14">
        <v>79.81</v>
      </c>
    </row>
    <row r="18" spans="1:17">
      <c r="A18" s="5">
        <v>20221121</v>
      </c>
      <c r="B18" s="6">
        <v>79.73</v>
      </c>
      <c r="C18" s="6">
        <v>87.45</v>
      </c>
      <c r="D18" s="6">
        <v>81.46</v>
      </c>
      <c r="E18" s="6">
        <v>600.2</v>
      </c>
      <c r="F18" s="6">
        <v>81.25</v>
      </c>
      <c r="G18" s="6">
        <v>81.25</v>
      </c>
      <c r="H18" s="6">
        <v>83.195</v>
      </c>
      <c r="I18" s="6">
        <v>77.955</v>
      </c>
      <c r="J18" s="6">
        <v>92.34</v>
      </c>
      <c r="K18" s="6">
        <v>91.34</v>
      </c>
      <c r="L18" s="6">
        <v>59.925</v>
      </c>
      <c r="M18" s="6">
        <v>72.91</v>
      </c>
      <c r="N18" s="6">
        <v>83.32</v>
      </c>
      <c r="O18" s="6">
        <v>83.82</v>
      </c>
      <c r="P18" s="6">
        <v>77.14</v>
      </c>
      <c r="Q18" s="14">
        <v>76.87</v>
      </c>
    </row>
    <row r="19" spans="1:17">
      <c r="A19" s="5">
        <v>20221122</v>
      </c>
      <c r="B19" s="6">
        <v>80.95</v>
      </c>
      <c r="C19" s="6">
        <v>88.36</v>
      </c>
      <c r="D19" s="6">
        <v>82.32</v>
      </c>
      <c r="E19" s="6">
        <v>587.7</v>
      </c>
      <c r="F19" s="6">
        <v>82.3</v>
      </c>
      <c r="G19" s="6">
        <v>82.3</v>
      </c>
      <c r="H19" s="6">
        <v>89.4</v>
      </c>
      <c r="I19" s="6">
        <v>78.63</v>
      </c>
      <c r="J19" s="6">
        <v>93.2</v>
      </c>
      <c r="K19" s="6">
        <v>92.2</v>
      </c>
      <c r="L19" s="6">
        <v>60.115</v>
      </c>
      <c r="M19" s="6">
        <v>78.55</v>
      </c>
      <c r="N19" s="6">
        <v>84.33</v>
      </c>
      <c r="O19" s="6">
        <v>84.83</v>
      </c>
      <c r="P19" s="6">
        <v>78.1</v>
      </c>
      <c r="Q19" s="14">
        <v>77.28</v>
      </c>
    </row>
    <row r="20" spans="1:17">
      <c r="A20" s="5">
        <v>20221123</v>
      </c>
      <c r="B20" s="6">
        <v>77.94</v>
      </c>
      <c r="C20" s="6">
        <v>85.41</v>
      </c>
      <c r="D20" s="6">
        <v>81.81</v>
      </c>
      <c r="E20" s="6">
        <v>602.5</v>
      </c>
      <c r="F20" s="6">
        <v>81.79</v>
      </c>
      <c r="G20" s="6">
        <v>81.79</v>
      </c>
      <c r="H20" s="6">
        <v>85.315</v>
      </c>
      <c r="I20" s="6">
        <v>79.275</v>
      </c>
      <c r="J20" s="6">
        <v>93.73</v>
      </c>
      <c r="K20" s="6">
        <v>92.73</v>
      </c>
      <c r="L20" s="6">
        <v>60.455</v>
      </c>
      <c r="M20" s="6">
        <v>75.03</v>
      </c>
      <c r="N20" s="6">
        <v>84.12</v>
      </c>
      <c r="O20" s="6">
        <v>84.62</v>
      </c>
      <c r="P20" s="6">
        <v>78.63</v>
      </c>
      <c r="Q20" s="14">
        <v>76.52</v>
      </c>
    </row>
    <row r="21" spans="1:17">
      <c r="A21" s="5">
        <v>20221124</v>
      </c>
      <c r="B21" s="6"/>
      <c r="C21" s="6">
        <v>85.34</v>
      </c>
      <c r="D21" s="6">
        <v>77.5</v>
      </c>
      <c r="E21" s="6">
        <v>575.6</v>
      </c>
      <c r="F21" s="6">
        <v>77.64</v>
      </c>
      <c r="G21" s="6">
        <v>77.64</v>
      </c>
      <c r="H21" s="6">
        <v>85.485</v>
      </c>
      <c r="I21" s="6">
        <v>74.97</v>
      </c>
      <c r="J21" s="6">
        <v>90.2</v>
      </c>
      <c r="K21" s="6">
        <v>89.2</v>
      </c>
      <c r="L21" s="6">
        <v>56.29</v>
      </c>
      <c r="M21" s="6">
        <v>75.22</v>
      </c>
      <c r="N21" s="6">
        <v>80.11</v>
      </c>
      <c r="O21" s="6">
        <v>80.61</v>
      </c>
      <c r="P21" s="6">
        <v>75.15</v>
      </c>
      <c r="Q21" s="14">
        <v>72.01</v>
      </c>
    </row>
    <row r="22" spans="1:17">
      <c r="A22" s="5">
        <v>20221125</v>
      </c>
      <c r="B22" s="6">
        <v>76.28</v>
      </c>
      <c r="C22" s="6">
        <v>83.63</v>
      </c>
      <c r="D22" s="6">
        <v>80.62</v>
      </c>
      <c r="E22" s="6">
        <v>572.9</v>
      </c>
      <c r="F22" s="6">
        <v>81.06</v>
      </c>
      <c r="G22" s="6">
        <v>81.06</v>
      </c>
      <c r="H22" s="6">
        <v>85.475</v>
      </c>
      <c r="I22" s="6">
        <v>77.2</v>
      </c>
      <c r="J22" s="6">
        <v>90.89</v>
      </c>
      <c r="K22" s="6">
        <v>89.89</v>
      </c>
      <c r="L22" s="6">
        <v>58.38</v>
      </c>
      <c r="M22" s="6">
        <v>75.37</v>
      </c>
      <c r="N22" s="6">
        <v>82.82</v>
      </c>
      <c r="O22" s="6">
        <v>83.32</v>
      </c>
      <c r="P22" s="6">
        <v>75.79</v>
      </c>
      <c r="Q22" s="14">
        <v>74.32</v>
      </c>
    </row>
    <row r="23" spans="1:17">
      <c r="A23" s="5">
        <v>20221128</v>
      </c>
      <c r="B23" s="6">
        <v>77.24</v>
      </c>
      <c r="C23" s="6">
        <v>83.19</v>
      </c>
      <c r="D23" s="6">
        <v>76.73</v>
      </c>
      <c r="E23" s="6">
        <v>560.7</v>
      </c>
      <c r="F23" s="6">
        <v>76.645</v>
      </c>
      <c r="G23" s="6">
        <v>76.65</v>
      </c>
      <c r="H23" s="6">
        <v>82.65</v>
      </c>
      <c r="I23" s="6">
        <v>72.875</v>
      </c>
      <c r="J23" s="6">
        <v>86.51</v>
      </c>
      <c r="K23" s="6">
        <v>85.51</v>
      </c>
      <c r="L23" s="6">
        <v>53.93</v>
      </c>
      <c r="M23" s="6">
        <v>73.04</v>
      </c>
      <c r="N23" s="6">
        <v>77.92</v>
      </c>
      <c r="O23" s="6">
        <v>78.42</v>
      </c>
      <c r="P23" s="6">
        <v>71.41</v>
      </c>
      <c r="Q23" s="14">
        <v>69.12</v>
      </c>
    </row>
    <row r="24" spans="1:17">
      <c r="A24" s="5">
        <v>20221129</v>
      </c>
      <c r="B24" s="6">
        <v>78.2</v>
      </c>
      <c r="C24" s="6">
        <v>83.03</v>
      </c>
      <c r="D24" s="6">
        <v>80.56</v>
      </c>
      <c r="E24" s="6">
        <v>563.9</v>
      </c>
      <c r="F24" s="6">
        <v>80.94</v>
      </c>
      <c r="G24" s="6">
        <v>80.94</v>
      </c>
      <c r="H24" s="6">
        <v>83.94</v>
      </c>
      <c r="I24" s="6">
        <v>77.23</v>
      </c>
      <c r="J24" s="6">
        <v>90.69</v>
      </c>
      <c r="K24" s="6">
        <v>89.84</v>
      </c>
      <c r="L24" s="6">
        <v>58.59</v>
      </c>
      <c r="M24" s="6">
        <v>73.91</v>
      </c>
      <c r="N24" s="6">
        <v>82.07</v>
      </c>
      <c r="O24" s="6">
        <v>82.57</v>
      </c>
      <c r="P24" s="6">
        <v>75.59</v>
      </c>
      <c r="Q24" s="14">
        <v>73.07</v>
      </c>
    </row>
    <row r="25" spans="1:17">
      <c r="A25" s="5">
        <v>20221130</v>
      </c>
      <c r="B25" s="6">
        <v>80.55</v>
      </c>
      <c r="C25" s="6">
        <v>85.43</v>
      </c>
      <c r="D25" s="6">
        <v>79.15</v>
      </c>
      <c r="E25" s="6">
        <v>571.7</v>
      </c>
      <c r="F25" s="6">
        <v>80.4</v>
      </c>
      <c r="G25" s="6">
        <v>80.45</v>
      </c>
      <c r="H25" s="6">
        <v>86.54</v>
      </c>
      <c r="I25" s="6">
        <v>75.865</v>
      </c>
      <c r="J25" s="6">
        <v>90.3</v>
      </c>
      <c r="K25" s="6">
        <v>89.35</v>
      </c>
      <c r="L25" s="6">
        <v>56.66</v>
      </c>
      <c r="M25" s="6">
        <v>76.74</v>
      </c>
      <c r="N25" s="6">
        <v>81.62</v>
      </c>
      <c r="O25" s="6">
        <v>82.12</v>
      </c>
      <c r="P25" s="6">
        <v>75.1</v>
      </c>
      <c r="Q25" s="14">
        <v>72.17</v>
      </c>
    </row>
    <row r="26" spans="1:17">
      <c r="A26" s="7" t="s">
        <v>17</v>
      </c>
      <c r="B26" s="8">
        <f>AVERAGE(B23:B25)</f>
        <v>78.6633333333333</v>
      </c>
      <c r="C26" s="8">
        <f t="shared" ref="C26:Q26" si="0">AVERAGE(C23:C25)</f>
        <v>83.8833333333333</v>
      </c>
      <c r="D26" s="8">
        <f t="shared" si="0"/>
        <v>78.8133333333333</v>
      </c>
      <c r="E26" s="8">
        <f t="shared" si="0"/>
        <v>565.433333333333</v>
      </c>
      <c r="F26" s="8">
        <f t="shared" si="0"/>
        <v>79.3283333333333</v>
      </c>
      <c r="G26" s="8">
        <f t="shared" si="0"/>
        <v>79.3466666666667</v>
      </c>
      <c r="H26" s="8">
        <f t="shared" si="0"/>
        <v>84.3766666666667</v>
      </c>
      <c r="I26" s="8">
        <f t="shared" si="0"/>
        <v>75.3233333333333</v>
      </c>
      <c r="J26" s="8">
        <f t="shared" si="0"/>
        <v>89.1666666666667</v>
      </c>
      <c r="K26" s="8">
        <f t="shared" si="0"/>
        <v>88.2333333333333</v>
      </c>
      <c r="L26" s="8">
        <f t="shared" si="0"/>
        <v>56.3933333333333</v>
      </c>
      <c r="M26" s="8">
        <f t="shared" si="0"/>
        <v>74.5633333333333</v>
      </c>
      <c r="N26" s="8">
        <f t="shared" si="0"/>
        <v>80.5366666666667</v>
      </c>
      <c r="O26" s="8">
        <f t="shared" si="0"/>
        <v>81.0366666666667</v>
      </c>
      <c r="P26" s="8">
        <f t="shared" si="0"/>
        <v>74.0333333333333</v>
      </c>
      <c r="Q26" s="8">
        <f t="shared" si="0"/>
        <v>71.4533333333333</v>
      </c>
    </row>
    <row r="27" ht="22.5" spans="1:17">
      <c r="A27" s="3" t="s">
        <v>25</v>
      </c>
      <c r="B27" s="9">
        <f>AVERAGE(B4:B25)</f>
        <v>84.3857142857143</v>
      </c>
      <c r="C27" s="9">
        <f t="shared" ref="C27:Q27" si="1">AVERAGE(C4:C25)</f>
        <v>90.8518181818182</v>
      </c>
      <c r="D27" s="9">
        <f t="shared" si="1"/>
        <v>86.145</v>
      </c>
      <c r="E27" s="9">
        <f t="shared" si="1"/>
        <v>642.5</v>
      </c>
      <c r="F27" s="9">
        <f t="shared" si="1"/>
        <v>86.2225</v>
      </c>
      <c r="G27" s="9">
        <f t="shared" si="1"/>
        <v>86.225</v>
      </c>
      <c r="H27" s="9">
        <f t="shared" si="1"/>
        <v>91.6729545454545</v>
      </c>
      <c r="I27" s="9">
        <f t="shared" si="1"/>
        <v>83.5168181818182</v>
      </c>
      <c r="J27" s="9">
        <f t="shared" si="1"/>
        <v>96.5690909090909</v>
      </c>
      <c r="K27" s="9">
        <f t="shared" si="1"/>
        <v>95.5940909090909</v>
      </c>
      <c r="L27" s="9">
        <f t="shared" si="1"/>
        <v>66.4622727272727</v>
      </c>
      <c r="M27" s="9">
        <f t="shared" si="1"/>
        <v>81.1131818181818</v>
      </c>
      <c r="N27" s="9">
        <f t="shared" si="1"/>
        <v>87.0127272727273</v>
      </c>
      <c r="O27" s="9">
        <f t="shared" si="1"/>
        <v>87.5127272727273</v>
      </c>
      <c r="P27" s="9">
        <f t="shared" si="1"/>
        <v>81.5736363636364</v>
      </c>
      <c r="Q27" s="9">
        <f t="shared" si="1"/>
        <v>80.865</v>
      </c>
    </row>
    <row r="28" ht="23.25" spans="1:17">
      <c r="A28" s="10" t="s">
        <v>19</v>
      </c>
      <c r="B28" s="18">
        <f t="shared" ref="B28:Q28" si="2">(B27-B2)/B2</f>
        <v>-0.0303942220884742</v>
      </c>
      <c r="C28" s="18">
        <f t="shared" si="2"/>
        <v>-0.0292967169083315</v>
      </c>
      <c r="D28" s="18">
        <f t="shared" si="2"/>
        <v>-0.0511520688985979</v>
      </c>
      <c r="E28" s="18">
        <f t="shared" si="2"/>
        <v>-0.0541821159454957</v>
      </c>
      <c r="F28" s="18">
        <f t="shared" si="2"/>
        <v>-0.0538516405135521</v>
      </c>
      <c r="G28" s="18">
        <f t="shared" si="2"/>
        <v>-0.0540629491075446</v>
      </c>
      <c r="H28" s="18">
        <f t="shared" si="2"/>
        <v>-0.0177722329457182</v>
      </c>
      <c r="I28" s="18">
        <f t="shared" si="2"/>
        <v>-0.0513845215787216</v>
      </c>
      <c r="J28" s="18">
        <f t="shared" si="2"/>
        <v>-0.0132065121718868</v>
      </c>
      <c r="K28" s="18">
        <f t="shared" si="2"/>
        <v>-0.011451829505324</v>
      </c>
      <c r="L28" s="18">
        <f t="shared" si="2"/>
        <v>-0.089663905883935</v>
      </c>
      <c r="M28" s="11">
        <f t="shared" si="2"/>
        <v>0.00383874136086288</v>
      </c>
      <c r="N28" s="18">
        <f t="shared" si="2"/>
        <v>-0.0256242676708293</v>
      </c>
      <c r="O28" s="18">
        <f t="shared" si="2"/>
        <v>-0.0254815951634473</v>
      </c>
      <c r="P28" s="11">
        <f t="shared" si="2"/>
        <v>0.0118413322372686</v>
      </c>
      <c r="Q28" s="19">
        <f t="shared" si="2"/>
        <v>-0.0425758634162512</v>
      </c>
    </row>
    <row r="29" ht="15"/>
  </sheetData>
  <pageMargins left="0.7" right="0.7" top="0.75" bottom="0.75" header="0.3" footer="0.3"/>
  <pageSetup paperSize="9" orientation="portrait" horizontalDpi="600" verticalDpi="600"/>
  <headerFooter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/>
  <dimension ref="A1:Q27"/>
  <sheetViews>
    <sheetView zoomScaleSheetLayoutView="60" workbookViewId="0">
      <selection activeCell="H18" sqref="H18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29</v>
      </c>
      <c r="B2" s="9">
        <v>83.8019047619048</v>
      </c>
      <c r="C2" s="9">
        <v>90.5709090909091</v>
      </c>
      <c r="D2" s="9">
        <v>90.7968181818182</v>
      </c>
      <c r="E2" s="9">
        <v>660.180952380952</v>
      </c>
      <c r="F2" s="9">
        <v>90.9109090909091</v>
      </c>
      <c r="G2" s="9">
        <v>90.9881818181818</v>
      </c>
      <c r="H2" s="9">
        <v>89.8671428571429</v>
      </c>
      <c r="I2" s="9">
        <v>84.7245454545455</v>
      </c>
      <c r="J2" s="9">
        <v>96.4122727272727</v>
      </c>
      <c r="K2" s="9">
        <v>94.7440909090909</v>
      </c>
      <c r="L2" s="9">
        <v>68.8806818181818</v>
      </c>
      <c r="M2" s="6">
        <v>76.3842857142857</v>
      </c>
      <c r="N2" s="6">
        <v>87.5776190476191</v>
      </c>
      <c r="O2" s="6">
        <v>88.0776190476191</v>
      </c>
      <c r="P2" s="6">
        <v>76.8585714285714</v>
      </c>
      <c r="Q2" s="14">
        <v>78.0272727272727</v>
      </c>
    </row>
    <row r="3" spans="1:17">
      <c r="A3" s="5">
        <v>20221003</v>
      </c>
      <c r="B3" s="6">
        <v>83.63</v>
      </c>
      <c r="C3" s="6">
        <v>88.86</v>
      </c>
      <c r="D3" s="6">
        <v>88.21</v>
      </c>
      <c r="E3" s="6"/>
      <c r="F3" s="6">
        <v>88.26</v>
      </c>
      <c r="G3" s="6">
        <v>88.26</v>
      </c>
      <c r="H3" s="6">
        <v>90.09</v>
      </c>
      <c r="I3" s="6">
        <v>84.735</v>
      </c>
      <c r="J3" s="6">
        <v>94.53</v>
      </c>
      <c r="K3" s="6">
        <v>92.88</v>
      </c>
      <c r="L3" s="6">
        <v>70.635</v>
      </c>
      <c r="M3" s="6">
        <v>74.46</v>
      </c>
      <c r="N3" s="6">
        <v>84.33</v>
      </c>
      <c r="O3" s="6">
        <v>84.83</v>
      </c>
      <c r="P3" s="6">
        <v>74.93</v>
      </c>
      <c r="Q3" s="14">
        <v>79.28</v>
      </c>
    </row>
    <row r="4" spans="1:17">
      <c r="A4" s="5">
        <v>20221004</v>
      </c>
      <c r="B4" s="6">
        <v>86.52</v>
      </c>
      <c r="C4" s="6">
        <v>91.8</v>
      </c>
      <c r="D4" s="6">
        <v>88.82</v>
      </c>
      <c r="E4" s="6"/>
      <c r="F4" s="6">
        <v>88.8</v>
      </c>
      <c r="G4" s="6">
        <v>88.8</v>
      </c>
      <c r="H4" s="6">
        <v>93.73</v>
      </c>
      <c r="I4" s="6">
        <v>85.555</v>
      </c>
      <c r="J4" s="6">
        <v>95.19</v>
      </c>
      <c r="K4" s="6">
        <v>93.59</v>
      </c>
      <c r="L4" s="6">
        <v>71.255</v>
      </c>
      <c r="M4" s="6">
        <v>77.99</v>
      </c>
      <c r="N4" s="6">
        <v>85.18</v>
      </c>
      <c r="O4" s="6">
        <v>85.68</v>
      </c>
      <c r="P4" s="6">
        <v>75.59</v>
      </c>
      <c r="Q4" s="14">
        <v>80.18</v>
      </c>
    </row>
    <row r="5" spans="1:17">
      <c r="A5" s="5">
        <v>20221005</v>
      </c>
      <c r="B5" s="6">
        <v>87.76</v>
      </c>
      <c r="C5" s="6">
        <v>93.37</v>
      </c>
      <c r="D5" s="6">
        <v>91.14</v>
      </c>
      <c r="E5" s="6"/>
      <c r="F5" s="6">
        <v>91.18</v>
      </c>
      <c r="G5" s="6">
        <v>91.18</v>
      </c>
      <c r="H5" s="6">
        <v>95.24</v>
      </c>
      <c r="I5" s="6">
        <v>87.835</v>
      </c>
      <c r="J5" s="6">
        <v>97.61</v>
      </c>
      <c r="K5" s="6">
        <v>96.01</v>
      </c>
      <c r="L5" s="6">
        <v>73.915</v>
      </c>
      <c r="M5" s="6">
        <v>79.93</v>
      </c>
      <c r="N5" s="6">
        <v>87.53</v>
      </c>
      <c r="O5" s="6">
        <v>88.03</v>
      </c>
      <c r="P5" s="6">
        <v>78.16</v>
      </c>
      <c r="Q5" s="14">
        <v>82.43</v>
      </c>
    </row>
    <row r="6" spans="1:17">
      <c r="A6" s="5">
        <v>20221006</v>
      </c>
      <c r="B6" s="6">
        <v>88.45</v>
      </c>
      <c r="C6" s="6">
        <v>94.42</v>
      </c>
      <c r="D6" s="6">
        <v>93.35</v>
      </c>
      <c r="E6" s="6"/>
      <c r="F6" s="6">
        <v>93.26</v>
      </c>
      <c r="G6" s="6">
        <v>93.26</v>
      </c>
      <c r="H6" s="6">
        <v>96.055</v>
      </c>
      <c r="I6" s="6">
        <v>89.555</v>
      </c>
      <c r="J6" s="6">
        <v>99.55</v>
      </c>
      <c r="K6" s="6">
        <v>97.95</v>
      </c>
      <c r="L6" s="6">
        <v>74.995</v>
      </c>
      <c r="M6" s="6">
        <v>80.85</v>
      </c>
      <c r="N6" s="6">
        <v>89.6</v>
      </c>
      <c r="O6" s="6">
        <v>90.1</v>
      </c>
      <c r="P6" s="6">
        <v>80.1</v>
      </c>
      <c r="Q6" s="14">
        <v>84.5</v>
      </c>
    </row>
    <row r="7" spans="1:17">
      <c r="A7" s="5">
        <v>20221007</v>
      </c>
      <c r="B7" s="6">
        <v>92.64</v>
      </c>
      <c r="C7" s="6">
        <v>97.92</v>
      </c>
      <c r="D7" s="6">
        <v>94.24</v>
      </c>
      <c r="E7" s="6"/>
      <c r="F7" s="6">
        <v>94.35</v>
      </c>
      <c r="G7" s="6">
        <v>94.35</v>
      </c>
      <c r="H7" s="6">
        <v>98.775</v>
      </c>
      <c r="I7" s="6">
        <v>90.49</v>
      </c>
      <c r="J7" s="6">
        <v>100.84</v>
      </c>
      <c r="K7" s="6">
        <v>99.19</v>
      </c>
      <c r="L7" s="6">
        <v>75.33</v>
      </c>
      <c r="M7" s="6">
        <v>84.07</v>
      </c>
      <c r="N7" s="6">
        <v>91.03</v>
      </c>
      <c r="O7" s="6">
        <v>91.53</v>
      </c>
      <c r="P7" s="6">
        <v>81.34</v>
      </c>
      <c r="Q7" s="14">
        <v>86.13</v>
      </c>
    </row>
    <row r="8" spans="1:17">
      <c r="A8" s="5">
        <v>20221010</v>
      </c>
      <c r="B8" s="6">
        <v>91.13</v>
      </c>
      <c r="C8" s="6">
        <v>96.19</v>
      </c>
      <c r="D8" s="6">
        <v>96.72</v>
      </c>
      <c r="E8" s="6">
        <v>698.9</v>
      </c>
      <c r="F8" s="6">
        <v>96.54</v>
      </c>
      <c r="G8" s="6">
        <v>96.6</v>
      </c>
      <c r="H8" s="6">
        <v>98.395</v>
      </c>
      <c r="I8" s="6">
        <v>92.52</v>
      </c>
      <c r="J8" s="6">
        <v>101.77</v>
      </c>
      <c r="K8" s="6">
        <v>100.22</v>
      </c>
      <c r="L8" s="6">
        <v>77.49</v>
      </c>
      <c r="M8" s="6">
        <v>82.07</v>
      </c>
      <c r="N8" s="6">
        <v>93.41</v>
      </c>
      <c r="O8" s="6">
        <v>93.91</v>
      </c>
      <c r="P8" s="6">
        <v>82.32</v>
      </c>
      <c r="Q8" s="14">
        <v>88.61</v>
      </c>
    </row>
    <row r="9" spans="1:17">
      <c r="A9" s="5">
        <v>20221011</v>
      </c>
      <c r="B9" s="6">
        <v>89.35</v>
      </c>
      <c r="C9" s="6">
        <v>94.29</v>
      </c>
      <c r="D9" s="6">
        <v>93.78</v>
      </c>
      <c r="E9" s="6">
        <v>702.4</v>
      </c>
      <c r="F9" s="6">
        <v>93.7</v>
      </c>
      <c r="G9" s="6">
        <v>93.7</v>
      </c>
      <c r="H9" s="6">
        <v>95.335</v>
      </c>
      <c r="I9" s="6">
        <v>90.505</v>
      </c>
      <c r="J9" s="6">
        <v>99.06</v>
      </c>
      <c r="K9" s="6">
        <v>97.76</v>
      </c>
      <c r="L9" s="6">
        <v>76.295</v>
      </c>
      <c r="M9" s="6">
        <v>79.18</v>
      </c>
      <c r="N9" s="6">
        <v>90.77</v>
      </c>
      <c r="O9" s="6">
        <v>91.27</v>
      </c>
      <c r="P9" s="6">
        <v>79.76</v>
      </c>
      <c r="Q9" s="14">
        <v>85.97</v>
      </c>
    </row>
    <row r="10" spans="1:17">
      <c r="A10" s="5">
        <v>20221012</v>
      </c>
      <c r="B10" s="6">
        <v>87.27</v>
      </c>
      <c r="C10" s="6">
        <v>92.45</v>
      </c>
      <c r="D10" s="6">
        <v>93.03</v>
      </c>
      <c r="E10" s="6">
        <v>688.5</v>
      </c>
      <c r="F10" s="6">
        <v>92.9</v>
      </c>
      <c r="G10" s="6">
        <v>92.99</v>
      </c>
      <c r="H10" s="6">
        <v>93.08</v>
      </c>
      <c r="I10" s="6">
        <v>90.09</v>
      </c>
      <c r="J10" s="6">
        <v>98.99</v>
      </c>
      <c r="K10" s="6">
        <v>97.74</v>
      </c>
      <c r="L10" s="6">
        <v>75.6</v>
      </c>
      <c r="M10" s="6">
        <v>77.84</v>
      </c>
      <c r="N10" s="6">
        <v>90.64</v>
      </c>
      <c r="O10" s="6">
        <v>91.14</v>
      </c>
      <c r="P10" s="6">
        <v>79.69</v>
      </c>
      <c r="Q10" s="14">
        <v>85.89</v>
      </c>
    </row>
    <row r="11" spans="1:17">
      <c r="A11" s="5">
        <v>20221013</v>
      </c>
      <c r="B11" s="6">
        <v>89.11</v>
      </c>
      <c r="C11" s="6">
        <v>94.57</v>
      </c>
      <c r="D11" s="6">
        <v>91.14</v>
      </c>
      <c r="E11" s="6">
        <v>684.5</v>
      </c>
      <c r="F11" s="6">
        <v>91.16</v>
      </c>
      <c r="G11" s="6">
        <v>91.16</v>
      </c>
      <c r="H11" s="6">
        <v>93.98</v>
      </c>
      <c r="I11" s="6">
        <v>88.065</v>
      </c>
      <c r="J11" s="6">
        <v>97.59</v>
      </c>
      <c r="K11" s="6">
        <v>96.29</v>
      </c>
      <c r="L11" s="6">
        <v>73.01</v>
      </c>
      <c r="M11" s="6">
        <v>80.04</v>
      </c>
      <c r="N11" s="6">
        <v>89</v>
      </c>
      <c r="O11" s="6">
        <v>89.5</v>
      </c>
      <c r="P11" s="6">
        <v>79.24</v>
      </c>
      <c r="Q11" s="14">
        <v>84.15</v>
      </c>
    </row>
    <row r="12" spans="1:17">
      <c r="A12" s="5">
        <v>20221014</v>
      </c>
      <c r="B12" s="6">
        <v>85.61</v>
      </c>
      <c r="C12" s="6">
        <v>91.63</v>
      </c>
      <c r="D12" s="6">
        <v>92.06</v>
      </c>
      <c r="E12" s="6">
        <v>687.6</v>
      </c>
      <c r="F12" s="6">
        <v>92.1</v>
      </c>
      <c r="G12" s="6">
        <v>92.1</v>
      </c>
      <c r="H12" s="6">
        <v>92.875</v>
      </c>
      <c r="I12" s="6">
        <v>89.285</v>
      </c>
      <c r="J12" s="6">
        <v>98.61</v>
      </c>
      <c r="K12" s="6">
        <v>97.36</v>
      </c>
      <c r="L12" s="6">
        <v>74.24</v>
      </c>
      <c r="M12" s="6">
        <v>79.87</v>
      </c>
      <c r="N12" s="6">
        <v>90.26</v>
      </c>
      <c r="O12" s="21">
        <v>90.76</v>
      </c>
      <c r="P12" s="6">
        <v>81.26</v>
      </c>
      <c r="Q12" s="14">
        <v>85.26</v>
      </c>
    </row>
    <row r="13" spans="1:17">
      <c r="A13" s="5">
        <v>20221017</v>
      </c>
      <c r="B13" s="6">
        <v>85.46</v>
      </c>
      <c r="C13" s="6">
        <v>91.62</v>
      </c>
      <c r="D13" s="6">
        <v>89.6</v>
      </c>
      <c r="E13" s="6">
        <v>670.8</v>
      </c>
      <c r="F13" s="6">
        <v>89.65</v>
      </c>
      <c r="G13" s="6">
        <v>89.65</v>
      </c>
      <c r="H13" s="6">
        <v>91.445</v>
      </c>
      <c r="I13" s="6">
        <v>87.255</v>
      </c>
      <c r="J13" s="6">
        <v>96.93</v>
      </c>
      <c r="K13" s="6">
        <v>95.68</v>
      </c>
      <c r="L13" s="6">
        <v>72.15</v>
      </c>
      <c r="M13" s="6">
        <v>79.24</v>
      </c>
      <c r="N13" s="6">
        <v>88.4</v>
      </c>
      <c r="O13" s="6">
        <v>88.9</v>
      </c>
      <c r="P13" s="6">
        <v>79.68</v>
      </c>
      <c r="Q13" s="14">
        <v>83.35</v>
      </c>
    </row>
    <row r="14" spans="1:17">
      <c r="A14" s="5">
        <v>20221018</v>
      </c>
      <c r="B14" s="6">
        <v>82.82</v>
      </c>
      <c r="C14" s="6">
        <v>90.03</v>
      </c>
      <c r="D14" s="6">
        <v>88.9</v>
      </c>
      <c r="E14" s="6">
        <v>671.9</v>
      </c>
      <c r="F14" s="6">
        <v>88.82</v>
      </c>
      <c r="G14" s="6">
        <v>88.82</v>
      </c>
      <c r="H14" s="6">
        <v>88.24</v>
      </c>
      <c r="I14" s="6">
        <v>86.87</v>
      </c>
      <c r="J14" s="6">
        <v>97.04</v>
      </c>
      <c r="K14" s="6">
        <v>95.84</v>
      </c>
      <c r="L14" s="6">
        <v>71.495</v>
      </c>
      <c r="M14" s="6">
        <v>76.94</v>
      </c>
      <c r="N14" s="6">
        <v>88.16</v>
      </c>
      <c r="O14" s="6">
        <v>88.66</v>
      </c>
      <c r="P14" s="6">
        <v>80.09</v>
      </c>
      <c r="Q14" s="14">
        <v>83.06</v>
      </c>
    </row>
    <row r="15" spans="1:17">
      <c r="A15" s="5">
        <v>20221019</v>
      </c>
      <c r="B15" s="6">
        <v>85.55</v>
      </c>
      <c r="C15" s="6">
        <v>92.41</v>
      </c>
      <c r="D15" s="6">
        <v>85.74</v>
      </c>
      <c r="E15" s="6">
        <v>662.4</v>
      </c>
      <c r="F15" s="6">
        <v>85.75</v>
      </c>
      <c r="G15" s="6">
        <v>85.75</v>
      </c>
      <c r="H15" s="6">
        <v>89.935</v>
      </c>
      <c r="I15" s="6">
        <v>84.215</v>
      </c>
      <c r="J15" s="6">
        <v>93.99</v>
      </c>
      <c r="K15" s="6">
        <v>93.04</v>
      </c>
      <c r="L15" s="6">
        <v>69.495</v>
      </c>
      <c r="M15" s="6">
        <v>79.27</v>
      </c>
      <c r="N15" s="6">
        <v>86.1</v>
      </c>
      <c r="O15" s="6">
        <v>86.6</v>
      </c>
      <c r="P15" s="6">
        <v>78.29</v>
      </c>
      <c r="Q15" s="14">
        <v>80.85</v>
      </c>
    </row>
    <row r="16" spans="1:17">
      <c r="A16" s="5">
        <v>20221020</v>
      </c>
      <c r="B16" s="6">
        <v>85.98</v>
      </c>
      <c r="C16" s="6">
        <v>92.38</v>
      </c>
      <c r="D16" s="6">
        <v>89.76</v>
      </c>
      <c r="E16" s="6">
        <v>667.2</v>
      </c>
      <c r="F16" s="6">
        <v>89.91</v>
      </c>
      <c r="G16" s="6">
        <v>89.91</v>
      </c>
      <c r="H16" s="6">
        <v>92.685</v>
      </c>
      <c r="I16" s="6">
        <v>87.2</v>
      </c>
      <c r="J16" s="6">
        <v>96.94</v>
      </c>
      <c r="K16" s="6">
        <v>96.19</v>
      </c>
      <c r="L16" s="6">
        <v>72.015</v>
      </c>
      <c r="M16" s="6">
        <v>82.44</v>
      </c>
      <c r="N16" s="6">
        <v>89.32</v>
      </c>
      <c r="O16" s="6">
        <v>89.82</v>
      </c>
      <c r="P16" s="6">
        <v>82.04</v>
      </c>
      <c r="Q16" s="14">
        <v>84.27</v>
      </c>
    </row>
    <row r="17" spans="1:17">
      <c r="A17" s="5">
        <v>20221021</v>
      </c>
      <c r="B17" s="21">
        <v>85.05</v>
      </c>
      <c r="C17" s="21">
        <v>93.5</v>
      </c>
      <c r="D17" s="6">
        <v>88.76</v>
      </c>
      <c r="E17" s="6">
        <v>670.7</v>
      </c>
      <c r="F17" s="6">
        <v>90.71</v>
      </c>
      <c r="G17" s="6">
        <v>90.71</v>
      </c>
      <c r="H17" s="6">
        <v>91.445</v>
      </c>
      <c r="I17" s="6">
        <v>87.595</v>
      </c>
      <c r="J17" s="6">
        <v>96.68</v>
      </c>
      <c r="K17" s="6">
        <v>96.13</v>
      </c>
      <c r="L17" s="6">
        <v>72.645</v>
      </c>
      <c r="M17" s="6">
        <v>81.45</v>
      </c>
      <c r="N17" s="6">
        <v>89.68</v>
      </c>
      <c r="O17" s="6">
        <v>90.18</v>
      </c>
      <c r="P17" s="6">
        <v>81.98</v>
      </c>
      <c r="Q17" s="14">
        <v>85.08</v>
      </c>
    </row>
    <row r="18" spans="1:17">
      <c r="A18" s="5">
        <v>20221024</v>
      </c>
      <c r="B18" s="6">
        <v>84.58</v>
      </c>
      <c r="C18" s="6">
        <v>93.26</v>
      </c>
      <c r="D18" s="6">
        <v>88.62</v>
      </c>
      <c r="E18" s="6">
        <v>670</v>
      </c>
      <c r="F18" s="6"/>
      <c r="G18" s="6"/>
      <c r="H18" s="6">
        <v>91.405</v>
      </c>
      <c r="I18" s="6"/>
      <c r="J18" s="6"/>
      <c r="K18" s="6"/>
      <c r="L18" s="6"/>
      <c r="M18" s="6"/>
      <c r="N18" s="6"/>
      <c r="O18" s="6"/>
      <c r="P18" s="6"/>
      <c r="Q18" s="14"/>
    </row>
    <row r="19" spans="1:17">
      <c r="A19" s="5">
        <v>20221025</v>
      </c>
      <c r="B19" s="6">
        <v>85.32</v>
      </c>
      <c r="C19" s="6">
        <v>93.52</v>
      </c>
      <c r="D19" s="6">
        <v>89.98</v>
      </c>
      <c r="E19" s="6">
        <v>670.9</v>
      </c>
      <c r="F19" s="6">
        <v>89.56</v>
      </c>
      <c r="G19" s="6">
        <v>89.72</v>
      </c>
      <c r="H19" s="6">
        <v>91.555</v>
      </c>
      <c r="I19" s="6">
        <v>86.67</v>
      </c>
      <c r="J19" s="6">
        <v>96.47</v>
      </c>
      <c r="K19" s="6">
        <v>95.92</v>
      </c>
      <c r="L19" s="6">
        <v>71.19</v>
      </c>
      <c r="M19" s="6">
        <v>82.37</v>
      </c>
      <c r="N19" s="6">
        <v>89.03</v>
      </c>
      <c r="O19" s="6">
        <v>89.53</v>
      </c>
      <c r="P19" s="6">
        <v>81.82</v>
      </c>
      <c r="Q19" s="14">
        <v>84.43</v>
      </c>
    </row>
    <row r="20" spans="1:17">
      <c r="A20" s="5">
        <v>20221026</v>
      </c>
      <c r="B20" s="6">
        <v>87.91</v>
      </c>
      <c r="C20" s="6">
        <v>95.69</v>
      </c>
      <c r="D20" s="6">
        <v>90.34</v>
      </c>
      <c r="E20" s="6">
        <v>673</v>
      </c>
      <c r="F20" s="6">
        <v>90.35</v>
      </c>
      <c r="G20" s="6">
        <v>90.4</v>
      </c>
      <c r="H20" s="6">
        <v>93.815</v>
      </c>
      <c r="I20" s="6">
        <v>86.825</v>
      </c>
      <c r="J20" s="6">
        <v>97.09</v>
      </c>
      <c r="K20" s="6">
        <v>96.29</v>
      </c>
      <c r="L20" s="6">
        <v>70.955</v>
      </c>
      <c r="M20" s="6">
        <v>84.27</v>
      </c>
      <c r="N20" s="6">
        <v>89.5</v>
      </c>
      <c r="O20" s="6">
        <v>90</v>
      </c>
      <c r="P20" s="6">
        <v>82.24</v>
      </c>
      <c r="Q20" s="14">
        <v>85</v>
      </c>
    </row>
    <row r="21" spans="1:17">
      <c r="A21" s="5">
        <v>20221027</v>
      </c>
      <c r="B21" s="6">
        <v>89.08</v>
      </c>
      <c r="C21" s="6">
        <v>96.96</v>
      </c>
      <c r="D21" s="6">
        <v>90.59</v>
      </c>
      <c r="E21" s="6">
        <v>678.4</v>
      </c>
      <c r="F21" s="6">
        <v>92.35</v>
      </c>
      <c r="G21" s="6">
        <v>92.4</v>
      </c>
      <c r="H21" s="6">
        <v>95.005</v>
      </c>
      <c r="I21" s="6">
        <v>89.085</v>
      </c>
      <c r="J21" s="6">
        <v>99.72</v>
      </c>
      <c r="K21" s="6">
        <v>98.92</v>
      </c>
      <c r="L21" s="6">
        <v>73.155</v>
      </c>
      <c r="M21" s="6">
        <v>85.69</v>
      </c>
      <c r="N21" s="6">
        <v>91.84</v>
      </c>
      <c r="O21" s="6">
        <v>92.34</v>
      </c>
      <c r="P21" s="6">
        <v>84.77</v>
      </c>
      <c r="Q21" s="14">
        <v>87.39</v>
      </c>
    </row>
    <row r="22" spans="1:17">
      <c r="A22" s="5">
        <v>20221028</v>
      </c>
      <c r="B22" s="6">
        <v>87.9</v>
      </c>
      <c r="C22" s="6">
        <v>95.77</v>
      </c>
      <c r="D22" s="6">
        <v>92.25</v>
      </c>
      <c r="E22" s="6">
        <v>688.2</v>
      </c>
      <c r="F22" s="6">
        <v>92.65</v>
      </c>
      <c r="G22" s="6">
        <v>92.7</v>
      </c>
      <c r="H22" s="6">
        <v>94.03</v>
      </c>
      <c r="I22" s="6">
        <v>89.175</v>
      </c>
      <c r="J22" s="6">
        <v>100.16</v>
      </c>
      <c r="K22" s="6">
        <v>99.41</v>
      </c>
      <c r="L22" s="6">
        <v>73.23</v>
      </c>
      <c r="M22" s="6">
        <v>84.52</v>
      </c>
      <c r="N22" s="6">
        <v>91.99</v>
      </c>
      <c r="O22" s="6">
        <v>92.49</v>
      </c>
      <c r="P22" s="6">
        <v>85.46</v>
      </c>
      <c r="Q22" s="14">
        <v>87.54</v>
      </c>
    </row>
    <row r="23" spans="1:17">
      <c r="A23" s="5">
        <v>20221031</v>
      </c>
      <c r="B23" s="6">
        <v>86.53</v>
      </c>
      <c r="C23" s="6">
        <v>94.83</v>
      </c>
      <c r="D23" s="6">
        <v>89.54</v>
      </c>
      <c r="E23" s="6">
        <v>683.5</v>
      </c>
      <c r="F23" s="6">
        <v>90.6</v>
      </c>
      <c r="G23" s="6">
        <v>90.6</v>
      </c>
      <c r="H23" s="6">
        <v>92.85</v>
      </c>
      <c r="I23" s="6">
        <v>87.29</v>
      </c>
      <c r="J23" s="6">
        <v>98.47</v>
      </c>
      <c r="K23" s="6">
        <v>97.62</v>
      </c>
      <c r="L23" s="6">
        <v>71.075</v>
      </c>
      <c r="M23" s="6">
        <v>83.57</v>
      </c>
      <c r="N23" s="6">
        <v>90.25</v>
      </c>
      <c r="O23" s="6">
        <v>90.75</v>
      </c>
      <c r="P23" s="6">
        <v>83.62</v>
      </c>
      <c r="Q23" s="14">
        <v>85.85</v>
      </c>
    </row>
    <row r="24" spans="1:17">
      <c r="A24" s="7" t="s">
        <v>17</v>
      </c>
      <c r="B24" s="8">
        <f>AVERAGE(B23)</f>
        <v>86.53</v>
      </c>
      <c r="C24" s="8">
        <f t="shared" ref="C24:Q24" si="0">AVERAGE(C23)</f>
        <v>94.83</v>
      </c>
      <c r="D24" s="8">
        <f t="shared" si="0"/>
        <v>89.54</v>
      </c>
      <c r="E24" s="8">
        <f t="shared" si="0"/>
        <v>683.5</v>
      </c>
      <c r="F24" s="8">
        <f t="shared" si="0"/>
        <v>90.6</v>
      </c>
      <c r="G24" s="8">
        <f t="shared" si="0"/>
        <v>90.6</v>
      </c>
      <c r="H24" s="8">
        <f t="shared" si="0"/>
        <v>92.85</v>
      </c>
      <c r="I24" s="8">
        <f t="shared" si="0"/>
        <v>87.29</v>
      </c>
      <c r="J24" s="8">
        <f t="shared" si="0"/>
        <v>98.47</v>
      </c>
      <c r="K24" s="8">
        <f t="shared" si="0"/>
        <v>97.62</v>
      </c>
      <c r="L24" s="8">
        <f t="shared" si="0"/>
        <v>71.075</v>
      </c>
      <c r="M24" s="8">
        <f t="shared" si="0"/>
        <v>83.57</v>
      </c>
      <c r="N24" s="8">
        <f t="shared" si="0"/>
        <v>90.25</v>
      </c>
      <c r="O24" s="8">
        <f t="shared" si="0"/>
        <v>90.75</v>
      </c>
      <c r="P24" s="8">
        <f t="shared" si="0"/>
        <v>83.62</v>
      </c>
      <c r="Q24" s="8">
        <f t="shared" si="0"/>
        <v>85.85</v>
      </c>
    </row>
    <row r="25" ht="22.5" spans="1:17">
      <c r="A25" s="3" t="s">
        <v>27</v>
      </c>
      <c r="B25" s="9">
        <f>AVERAGE(B3:B23)</f>
        <v>87.0309523809524</v>
      </c>
      <c r="C25" s="9">
        <f t="shared" ref="C25:Q25" si="1">AVERAGE(C3:C23)</f>
        <v>93.5938095238095</v>
      </c>
      <c r="D25" s="9">
        <f t="shared" si="1"/>
        <v>90.7890476190476</v>
      </c>
      <c r="E25" s="9">
        <f t="shared" si="1"/>
        <v>679.30625</v>
      </c>
      <c r="F25" s="9">
        <f t="shared" si="1"/>
        <v>91.13</v>
      </c>
      <c r="G25" s="9">
        <f t="shared" si="1"/>
        <v>91.153</v>
      </c>
      <c r="H25" s="9">
        <f t="shared" si="1"/>
        <v>93.3316666666667</v>
      </c>
      <c r="I25" s="9">
        <f t="shared" si="1"/>
        <v>88.04075</v>
      </c>
      <c r="J25" s="9">
        <f t="shared" si="1"/>
        <v>97.8615</v>
      </c>
      <c r="K25" s="9">
        <f t="shared" si="1"/>
        <v>96.7015</v>
      </c>
      <c r="L25" s="9">
        <f t="shared" si="1"/>
        <v>73.0085</v>
      </c>
      <c r="M25" s="9">
        <f t="shared" si="1"/>
        <v>80.803</v>
      </c>
      <c r="N25" s="9">
        <f t="shared" si="1"/>
        <v>89.301</v>
      </c>
      <c r="O25" s="9">
        <f t="shared" si="1"/>
        <v>89.801</v>
      </c>
      <c r="P25" s="9">
        <f t="shared" si="1"/>
        <v>80.619</v>
      </c>
      <c r="Q25" s="9">
        <f t="shared" si="1"/>
        <v>84.461</v>
      </c>
    </row>
    <row r="26" ht="23.25" spans="1:17">
      <c r="A26" s="10" t="s">
        <v>19</v>
      </c>
      <c r="B26" s="11">
        <f t="shared" ref="B26:Q26" si="2">(B25-B2)/B2</f>
        <v>0.0385319119919989</v>
      </c>
      <c r="C26" s="11">
        <f t="shared" si="2"/>
        <v>0.0333760637189393</v>
      </c>
      <c r="D26" s="18">
        <f t="shared" si="2"/>
        <v>-8.55818841028682e-5</v>
      </c>
      <c r="E26" s="11">
        <f t="shared" si="2"/>
        <v>0.0289697810124207</v>
      </c>
      <c r="F26" s="11">
        <f t="shared" si="2"/>
        <v>0.00240995180096413</v>
      </c>
      <c r="G26" s="11">
        <f t="shared" si="2"/>
        <v>0.00181142406106729</v>
      </c>
      <c r="H26" s="11">
        <f t="shared" si="2"/>
        <v>0.0385516185268197</v>
      </c>
      <c r="I26" s="11">
        <f t="shared" si="2"/>
        <v>0.0391410131227401</v>
      </c>
      <c r="J26" s="11">
        <f t="shared" si="2"/>
        <v>0.0150315642576624</v>
      </c>
      <c r="K26" s="11">
        <f t="shared" si="2"/>
        <v>0.0206599596041012</v>
      </c>
      <c r="L26" s="11">
        <f t="shared" si="2"/>
        <v>0.0599270807555886</v>
      </c>
      <c r="M26" s="11">
        <f t="shared" si="2"/>
        <v>0.0578484729469414</v>
      </c>
      <c r="N26" s="11">
        <f t="shared" si="2"/>
        <v>0.0196783261650887</v>
      </c>
      <c r="O26" s="11">
        <f t="shared" si="2"/>
        <v>0.0195666160259077</v>
      </c>
      <c r="P26" s="11">
        <f t="shared" si="2"/>
        <v>0.0489265998773256</v>
      </c>
      <c r="Q26" s="17">
        <f t="shared" si="2"/>
        <v>0.0824548526156353</v>
      </c>
    </row>
    <row r="27" ht="15"/>
  </sheetData>
  <pageMargins left="0.7" right="0.7" top="0.75" bottom="0.75" header="0.3" footer="0.3"/>
  <pageSetup paperSize="9" orientation="portrait" horizontalDpi="600" verticalDpi="600"/>
  <headerFooter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6"/>
  <dimension ref="A1:Q31"/>
  <sheetViews>
    <sheetView workbookViewId="0">
      <selection activeCell="A29" sqref="A29:Q29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30</v>
      </c>
      <c r="B2" s="9">
        <v>91.4826086956522</v>
      </c>
      <c r="C2" s="9">
        <v>97.7408695652174</v>
      </c>
      <c r="D2" s="9">
        <v>97.004347826087</v>
      </c>
      <c r="E2" s="9">
        <v>693.065217391304</v>
      </c>
      <c r="F2" s="9">
        <v>96.6009090909091</v>
      </c>
      <c r="G2" s="9">
        <v>96.9795454545455</v>
      </c>
      <c r="H2" s="9">
        <v>99.9936363636364</v>
      </c>
      <c r="I2" s="9">
        <v>90.4331818181818</v>
      </c>
      <c r="J2" s="9">
        <v>104.433181818182</v>
      </c>
      <c r="K2" s="9">
        <v>104.033181818182</v>
      </c>
      <c r="L2" s="9">
        <v>73.9231818181818</v>
      </c>
      <c r="M2" s="6">
        <v>83.3047619047619</v>
      </c>
      <c r="N2" s="6">
        <v>94.7557142857143</v>
      </c>
      <c r="O2" s="6">
        <v>95.2557142857143</v>
      </c>
      <c r="P2" s="6">
        <v>83.6614285714286</v>
      </c>
      <c r="Q2" s="14">
        <v>78.2593181818182</v>
      </c>
    </row>
    <row r="3" spans="1:17">
      <c r="A3" s="5">
        <v>20220829</v>
      </c>
      <c r="B3" s="6">
        <v>97.01</v>
      </c>
      <c r="C3" s="6">
        <v>105.09</v>
      </c>
      <c r="D3" s="6">
        <v>100.46</v>
      </c>
      <c r="E3" s="6">
        <v>727.5</v>
      </c>
      <c r="F3" s="6">
        <v>100.16</v>
      </c>
      <c r="G3" s="6">
        <v>100.16</v>
      </c>
      <c r="H3" s="6"/>
      <c r="I3" s="6">
        <v>91.74</v>
      </c>
      <c r="J3" s="6">
        <v>106.19</v>
      </c>
      <c r="K3" s="6">
        <v>104.59</v>
      </c>
      <c r="L3" s="6">
        <v>72.735</v>
      </c>
      <c r="M3" s="6"/>
      <c r="N3" s="6"/>
      <c r="O3" s="6"/>
      <c r="P3" s="6"/>
      <c r="Q3" s="14">
        <v>72.735</v>
      </c>
    </row>
    <row r="4" spans="1:17">
      <c r="A4" s="5">
        <v>20220830</v>
      </c>
      <c r="B4" s="6">
        <v>91.64</v>
      </c>
      <c r="C4" s="6">
        <v>99.31</v>
      </c>
      <c r="D4" s="6">
        <v>103.12</v>
      </c>
      <c r="E4" s="6">
        <v>739.5</v>
      </c>
      <c r="F4" s="6">
        <v>102.8</v>
      </c>
      <c r="G4" s="6">
        <v>102.8</v>
      </c>
      <c r="H4" s="6">
        <v>99.665</v>
      </c>
      <c r="I4" s="6">
        <v>94.45</v>
      </c>
      <c r="J4" s="6">
        <v>108.49</v>
      </c>
      <c r="K4" s="6">
        <v>106.89</v>
      </c>
      <c r="L4" s="6">
        <v>76.16</v>
      </c>
      <c r="M4" s="6">
        <v>85.3</v>
      </c>
      <c r="N4" s="6">
        <v>99.6</v>
      </c>
      <c r="O4" s="6">
        <v>100.1</v>
      </c>
      <c r="P4" s="6">
        <v>88.79</v>
      </c>
      <c r="Q4" s="14">
        <v>84.55</v>
      </c>
    </row>
    <row r="5" spans="1:17">
      <c r="A5" s="5">
        <v>20220831</v>
      </c>
      <c r="B5" s="6">
        <v>89.55</v>
      </c>
      <c r="C5" s="6">
        <v>96.49</v>
      </c>
      <c r="D5" s="6">
        <v>96.23</v>
      </c>
      <c r="E5" s="6">
        <v>717.8</v>
      </c>
      <c r="F5" s="6">
        <v>97.85</v>
      </c>
      <c r="G5" s="6">
        <v>97.85</v>
      </c>
      <c r="H5" s="6">
        <v>96.675</v>
      </c>
      <c r="I5" s="6">
        <v>89</v>
      </c>
      <c r="J5" s="6">
        <v>103.23</v>
      </c>
      <c r="K5" s="6">
        <v>101.53</v>
      </c>
      <c r="L5" s="6">
        <v>70.145</v>
      </c>
      <c r="M5" s="6">
        <v>82.6</v>
      </c>
      <c r="N5" s="6">
        <v>94.05</v>
      </c>
      <c r="O5" s="6">
        <v>94.55</v>
      </c>
      <c r="P5" s="6">
        <v>83.43</v>
      </c>
      <c r="Q5" s="14">
        <v>79.2</v>
      </c>
    </row>
    <row r="6" spans="1:17">
      <c r="A6" s="5">
        <v>20220901</v>
      </c>
      <c r="B6" s="6">
        <v>86.61</v>
      </c>
      <c r="C6" s="6">
        <v>92.36</v>
      </c>
      <c r="D6" s="6">
        <v>93.74</v>
      </c>
      <c r="E6" s="6">
        <v>706.1</v>
      </c>
      <c r="F6" s="6">
        <v>93.95</v>
      </c>
      <c r="G6" s="6">
        <v>93.95</v>
      </c>
      <c r="H6" s="6">
        <v>92.58</v>
      </c>
      <c r="I6" s="6">
        <v>86.575</v>
      </c>
      <c r="J6" s="6">
        <v>100.57</v>
      </c>
      <c r="K6" s="6">
        <v>98.87</v>
      </c>
      <c r="L6" s="6">
        <v>68.815</v>
      </c>
      <c r="M6" s="6">
        <v>79.02</v>
      </c>
      <c r="N6" s="6">
        <v>90.11</v>
      </c>
      <c r="O6" s="6">
        <v>90.61</v>
      </c>
      <c r="P6" s="6">
        <v>80.77</v>
      </c>
      <c r="Q6" s="14">
        <v>75.01</v>
      </c>
    </row>
    <row r="7" spans="1:17">
      <c r="A7" s="5">
        <v>20220902</v>
      </c>
      <c r="B7" s="6">
        <v>86.87</v>
      </c>
      <c r="C7" s="6">
        <v>93.02</v>
      </c>
      <c r="D7" s="6">
        <v>94.67</v>
      </c>
      <c r="E7" s="6">
        <v>694.7</v>
      </c>
      <c r="F7" s="6">
        <v>94.75</v>
      </c>
      <c r="G7" s="6">
        <v>94.82</v>
      </c>
      <c r="H7" s="6">
        <v>94.17</v>
      </c>
      <c r="I7" s="6">
        <v>87.1</v>
      </c>
      <c r="J7" s="6">
        <v>101.06</v>
      </c>
      <c r="K7" s="6">
        <v>99.36</v>
      </c>
      <c r="L7" s="6">
        <v>69.575</v>
      </c>
      <c r="M7" s="6">
        <v>80.66</v>
      </c>
      <c r="N7" s="6">
        <v>90.92</v>
      </c>
      <c r="O7" s="6">
        <v>91.42</v>
      </c>
      <c r="P7" s="6">
        <v>81.26</v>
      </c>
      <c r="Q7" s="14">
        <v>75.87</v>
      </c>
    </row>
    <row r="8" spans="1:17">
      <c r="A8" s="5">
        <v>20220905</v>
      </c>
      <c r="B8" s="6"/>
      <c r="C8" s="6">
        <v>95.74</v>
      </c>
      <c r="D8" s="6">
        <v>95.43</v>
      </c>
      <c r="E8" s="6">
        <v>695.9</v>
      </c>
      <c r="F8" s="6">
        <v>95.34</v>
      </c>
      <c r="G8" s="6">
        <v>95.41</v>
      </c>
      <c r="H8" s="6">
        <v>94.785</v>
      </c>
      <c r="I8" s="6">
        <v>87.74</v>
      </c>
      <c r="J8" s="6">
        <v>101.73</v>
      </c>
      <c r="K8" s="6">
        <v>99.98</v>
      </c>
      <c r="L8" s="6">
        <v>69.845</v>
      </c>
      <c r="M8" s="6">
        <v>81.91</v>
      </c>
      <c r="N8" s="6">
        <v>91.43</v>
      </c>
      <c r="O8" s="6">
        <v>91.93</v>
      </c>
      <c r="P8" s="6">
        <v>81.88</v>
      </c>
      <c r="Q8" s="14">
        <v>76.38</v>
      </c>
    </row>
    <row r="9" spans="1:17">
      <c r="A9" s="5">
        <v>20220906</v>
      </c>
      <c r="B9" s="6">
        <v>86.88</v>
      </c>
      <c r="C9" s="6">
        <v>92.83</v>
      </c>
      <c r="D9" s="6">
        <v>95.09</v>
      </c>
      <c r="E9" s="6">
        <v>708</v>
      </c>
      <c r="F9" s="6">
        <v>95.21</v>
      </c>
      <c r="G9" s="6">
        <v>95.26</v>
      </c>
      <c r="H9" s="6">
        <v>92.165</v>
      </c>
      <c r="I9" s="6">
        <v>87.545</v>
      </c>
      <c r="J9" s="6">
        <v>101.49</v>
      </c>
      <c r="K9" s="6">
        <v>99.74</v>
      </c>
      <c r="L9" s="6">
        <v>69.8</v>
      </c>
      <c r="M9" s="6">
        <v>79.32</v>
      </c>
      <c r="N9" s="6">
        <v>91.62</v>
      </c>
      <c r="O9" s="6">
        <v>92.12</v>
      </c>
      <c r="P9" s="6">
        <v>81.59</v>
      </c>
      <c r="Q9" s="14">
        <v>77.57</v>
      </c>
    </row>
    <row r="10" spans="1:17">
      <c r="A10" s="5">
        <v>20220907</v>
      </c>
      <c r="B10" s="6">
        <v>81.94</v>
      </c>
      <c r="C10" s="6">
        <v>88</v>
      </c>
      <c r="D10" s="6">
        <v>92.19</v>
      </c>
      <c r="E10" s="6">
        <v>689.7</v>
      </c>
      <c r="F10" s="6">
        <v>92.2</v>
      </c>
      <c r="G10" s="6">
        <v>92.2</v>
      </c>
      <c r="H10" s="6">
        <v>88.18</v>
      </c>
      <c r="I10" s="6">
        <v>84.69</v>
      </c>
      <c r="J10" s="6">
        <v>98.43</v>
      </c>
      <c r="K10" s="6">
        <v>96.68</v>
      </c>
      <c r="L10" s="6">
        <v>67.305</v>
      </c>
      <c r="M10" s="6">
        <v>75.75</v>
      </c>
      <c r="N10" s="6">
        <v>88.97</v>
      </c>
      <c r="O10" s="6">
        <v>89.47</v>
      </c>
      <c r="P10" s="6">
        <v>78.58</v>
      </c>
      <c r="Q10" s="14">
        <v>75.97</v>
      </c>
    </row>
    <row r="11" spans="1:17">
      <c r="A11" s="5">
        <v>20220908</v>
      </c>
      <c r="B11" s="6">
        <v>83.54</v>
      </c>
      <c r="C11" s="6">
        <v>89.15</v>
      </c>
      <c r="D11" s="6">
        <v>88.13</v>
      </c>
      <c r="E11" s="6">
        <v>675.3</v>
      </c>
      <c r="F11" s="6">
        <v>88</v>
      </c>
      <c r="G11" s="6">
        <v>88.15</v>
      </c>
      <c r="H11" s="6">
        <v>87.775</v>
      </c>
      <c r="I11" s="6">
        <v>79.52</v>
      </c>
      <c r="J11" s="6">
        <v>93.65</v>
      </c>
      <c r="K11" s="6">
        <v>91.85</v>
      </c>
      <c r="L11" s="6">
        <v>61.51</v>
      </c>
      <c r="M11" s="6">
        <v>75.19</v>
      </c>
      <c r="N11" s="6">
        <v>84.44</v>
      </c>
      <c r="O11" s="6">
        <v>84.94</v>
      </c>
      <c r="P11" s="6">
        <v>73.8</v>
      </c>
      <c r="Q11" s="14">
        <v>72.44</v>
      </c>
    </row>
    <row r="12" spans="1:17">
      <c r="A12" s="5">
        <v>20220909</v>
      </c>
      <c r="B12" s="6">
        <v>86.79</v>
      </c>
      <c r="C12" s="6">
        <v>92.84</v>
      </c>
      <c r="D12" s="6">
        <v>90.34</v>
      </c>
      <c r="E12" s="6">
        <v>669.2</v>
      </c>
      <c r="F12" s="6">
        <v>90.41</v>
      </c>
      <c r="G12" s="6">
        <v>90.51</v>
      </c>
      <c r="H12" s="6">
        <v>90.645</v>
      </c>
      <c r="I12" s="6">
        <v>82.12</v>
      </c>
      <c r="J12" s="6">
        <v>95.24</v>
      </c>
      <c r="K12" s="6">
        <v>93.54</v>
      </c>
      <c r="L12" s="6">
        <v>64.69</v>
      </c>
      <c r="M12" s="6">
        <v>77.04</v>
      </c>
      <c r="N12" s="6">
        <v>86.69</v>
      </c>
      <c r="O12" s="6">
        <v>87.19</v>
      </c>
      <c r="P12" s="6">
        <v>75.49</v>
      </c>
      <c r="Q12" s="14">
        <v>75.64</v>
      </c>
    </row>
    <row r="13" spans="1:17">
      <c r="A13" s="5">
        <v>20220912</v>
      </c>
      <c r="B13" s="6">
        <v>87.78</v>
      </c>
      <c r="C13" s="6">
        <v>94</v>
      </c>
      <c r="D13" s="6">
        <v>92.35</v>
      </c>
      <c r="E13" s="6"/>
      <c r="F13" s="6">
        <v>92.36</v>
      </c>
      <c r="G13" s="6">
        <v>92.4</v>
      </c>
      <c r="H13" s="6">
        <v>93.21</v>
      </c>
      <c r="I13" s="6">
        <v>84.995</v>
      </c>
      <c r="J13" s="6">
        <v>97.81</v>
      </c>
      <c r="K13" s="6">
        <v>96.16</v>
      </c>
      <c r="L13" s="6">
        <v>67.8</v>
      </c>
      <c r="M13" s="6">
        <v>79.69</v>
      </c>
      <c r="N13" s="6">
        <v>89.02</v>
      </c>
      <c r="O13" s="6">
        <v>89.52</v>
      </c>
      <c r="P13" s="6">
        <v>78.06</v>
      </c>
      <c r="Q13" s="14">
        <v>79.02</v>
      </c>
    </row>
    <row r="14" spans="1:17">
      <c r="A14" s="5">
        <v>20220913</v>
      </c>
      <c r="B14" s="6">
        <v>87.31</v>
      </c>
      <c r="C14" s="6">
        <v>93.17</v>
      </c>
      <c r="D14" s="6">
        <v>94.37</v>
      </c>
      <c r="E14" s="6">
        <v>705.2</v>
      </c>
      <c r="F14" s="6">
        <v>94.445</v>
      </c>
      <c r="G14" s="6">
        <v>94.55</v>
      </c>
      <c r="H14" s="6">
        <v>91.445</v>
      </c>
      <c r="I14" s="6">
        <v>87.445</v>
      </c>
      <c r="J14" s="6">
        <v>100.02</v>
      </c>
      <c r="K14" s="6">
        <v>98.37</v>
      </c>
      <c r="L14" s="6">
        <v>70.645</v>
      </c>
      <c r="M14" s="6">
        <v>78.25</v>
      </c>
      <c r="N14" s="6">
        <v>90.87</v>
      </c>
      <c r="O14" s="6">
        <v>91.37</v>
      </c>
      <c r="P14" s="6">
        <v>80.27</v>
      </c>
      <c r="Q14" s="14">
        <v>81.32</v>
      </c>
    </row>
    <row r="15" spans="1:17">
      <c r="A15" s="5">
        <v>20220914</v>
      </c>
      <c r="B15" s="6">
        <v>88.48</v>
      </c>
      <c r="C15" s="6">
        <v>94.1</v>
      </c>
      <c r="D15" s="6">
        <v>92.74</v>
      </c>
      <c r="E15" s="6">
        <v>645</v>
      </c>
      <c r="F15" s="6">
        <v>92.705</v>
      </c>
      <c r="G15" s="6">
        <v>92.75</v>
      </c>
      <c r="H15" s="6">
        <v>93.125</v>
      </c>
      <c r="I15" s="6">
        <v>86.41</v>
      </c>
      <c r="J15" s="6">
        <v>98.07</v>
      </c>
      <c r="K15" s="6">
        <v>96.52</v>
      </c>
      <c r="L15" s="6">
        <v>70.865</v>
      </c>
      <c r="M15" s="6">
        <v>80.23</v>
      </c>
      <c r="N15" s="6">
        <v>88.9</v>
      </c>
      <c r="O15" s="6">
        <v>89.4</v>
      </c>
      <c r="P15" s="6">
        <v>78.72</v>
      </c>
      <c r="Q15" s="14">
        <v>79.85</v>
      </c>
    </row>
    <row r="16" spans="1:17">
      <c r="A16" s="5">
        <v>20220915</v>
      </c>
      <c r="B16" s="6">
        <v>85.1</v>
      </c>
      <c r="C16" s="6">
        <v>90.84</v>
      </c>
      <c r="D16" s="6">
        <v>93.55</v>
      </c>
      <c r="E16" s="6">
        <v>664.8</v>
      </c>
      <c r="F16" s="6">
        <v>93.61</v>
      </c>
      <c r="G16" s="6">
        <v>93.75</v>
      </c>
      <c r="H16" s="6">
        <v>89.225</v>
      </c>
      <c r="I16" s="6">
        <v>87.995</v>
      </c>
      <c r="J16" s="6">
        <v>98.41</v>
      </c>
      <c r="K16" s="6">
        <v>96.96</v>
      </c>
      <c r="L16" s="6">
        <v>73.7</v>
      </c>
      <c r="M16" s="6">
        <v>76.66</v>
      </c>
      <c r="N16" s="6">
        <v>89.68</v>
      </c>
      <c r="O16" s="6">
        <v>90.18</v>
      </c>
      <c r="P16" s="6">
        <v>79.36</v>
      </c>
      <c r="Q16" s="14">
        <v>81.13</v>
      </c>
    </row>
    <row r="17" spans="1:17">
      <c r="A17" s="5">
        <v>20220916</v>
      </c>
      <c r="B17" s="6">
        <v>85.11</v>
      </c>
      <c r="C17" s="6">
        <v>91.35</v>
      </c>
      <c r="D17" s="6">
        <v>91</v>
      </c>
      <c r="E17" s="6">
        <v>666.5</v>
      </c>
      <c r="F17" s="6">
        <v>91.01</v>
      </c>
      <c r="G17" s="6">
        <v>91.15</v>
      </c>
      <c r="H17" s="6">
        <v>91.02</v>
      </c>
      <c r="I17" s="6">
        <v>85.06</v>
      </c>
      <c r="J17" s="6">
        <v>95.11</v>
      </c>
      <c r="K17" s="6">
        <v>93.61</v>
      </c>
      <c r="L17" s="6">
        <v>70.22</v>
      </c>
      <c r="M17" s="6">
        <v>77.71</v>
      </c>
      <c r="N17" s="6">
        <v>86.73</v>
      </c>
      <c r="O17" s="6">
        <v>87.23</v>
      </c>
      <c r="P17" s="6">
        <v>76.01</v>
      </c>
      <c r="Q17" s="14">
        <v>78.53</v>
      </c>
    </row>
    <row r="18" spans="1:17">
      <c r="A18" s="5">
        <v>20220919</v>
      </c>
      <c r="B18" s="6">
        <v>85.73</v>
      </c>
      <c r="C18" s="6">
        <v>92</v>
      </c>
      <c r="D18" s="6">
        <v>90.37</v>
      </c>
      <c r="E18" s="6">
        <v>649.4</v>
      </c>
      <c r="F18" s="6">
        <v>90.34</v>
      </c>
      <c r="G18" s="6">
        <v>90.41</v>
      </c>
      <c r="H18" s="6"/>
      <c r="I18" s="6">
        <v>84.69</v>
      </c>
      <c r="J18" s="6">
        <v>95.04</v>
      </c>
      <c r="K18" s="6">
        <v>93.64</v>
      </c>
      <c r="L18" s="6">
        <v>69.88</v>
      </c>
      <c r="M18" s="6"/>
      <c r="N18" s="6"/>
      <c r="O18" s="6"/>
      <c r="P18" s="6"/>
      <c r="Q18" s="14">
        <v>78.17</v>
      </c>
    </row>
    <row r="19" spans="1:17">
      <c r="A19" s="5">
        <v>20220920</v>
      </c>
      <c r="B19" s="6">
        <v>84.45</v>
      </c>
      <c r="C19" s="6">
        <v>90.62</v>
      </c>
      <c r="D19" s="6">
        <v>92.6</v>
      </c>
      <c r="E19" s="6">
        <v>635.9</v>
      </c>
      <c r="F19" s="6">
        <v>92.55</v>
      </c>
      <c r="G19" s="6">
        <v>92.6</v>
      </c>
      <c r="H19" s="6">
        <v>89.295</v>
      </c>
      <c r="I19" s="6">
        <v>86.685</v>
      </c>
      <c r="J19" s="6">
        <v>97.45</v>
      </c>
      <c r="K19" s="6">
        <v>96.05</v>
      </c>
      <c r="L19" s="6">
        <v>71.3</v>
      </c>
      <c r="M19" s="6">
        <v>75.93</v>
      </c>
      <c r="N19" s="6">
        <v>88.81</v>
      </c>
      <c r="O19" s="6">
        <v>89.31</v>
      </c>
      <c r="P19" s="6">
        <v>78.3</v>
      </c>
      <c r="Q19" s="14">
        <v>80.76</v>
      </c>
    </row>
    <row r="20" spans="1:17">
      <c r="A20" s="5">
        <v>20220921</v>
      </c>
      <c r="B20" s="6">
        <v>82.94</v>
      </c>
      <c r="C20" s="6">
        <v>89.83</v>
      </c>
      <c r="D20" s="6">
        <v>92.84</v>
      </c>
      <c r="E20" s="6">
        <v>642.6</v>
      </c>
      <c r="F20" s="6">
        <v>92.7</v>
      </c>
      <c r="G20" s="6">
        <v>92.8</v>
      </c>
      <c r="H20" s="6">
        <v>88.12</v>
      </c>
      <c r="I20" s="6">
        <v>86.785</v>
      </c>
      <c r="J20" s="6">
        <v>97.77</v>
      </c>
      <c r="K20" s="6">
        <v>96.32</v>
      </c>
      <c r="L20" s="6">
        <v>71.5</v>
      </c>
      <c r="M20" s="6">
        <v>75.58</v>
      </c>
      <c r="N20" s="6">
        <v>89.22</v>
      </c>
      <c r="O20" s="6">
        <v>89.72</v>
      </c>
      <c r="P20" s="6">
        <v>78.62</v>
      </c>
      <c r="Q20" s="14">
        <v>81.32</v>
      </c>
    </row>
    <row r="21" spans="1:17">
      <c r="A21" s="5">
        <v>20220922</v>
      </c>
      <c r="B21" s="6">
        <v>83.49</v>
      </c>
      <c r="C21" s="6">
        <v>90.46</v>
      </c>
      <c r="D21" s="6">
        <v>91.25</v>
      </c>
      <c r="E21" s="6">
        <v>649.3</v>
      </c>
      <c r="F21" s="6">
        <v>91.2</v>
      </c>
      <c r="G21" s="6">
        <v>91.31</v>
      </c>
      <c r="H21" s="6">
        <v>89.175</v>
      </c>
      <c r="I21" s="6">
        <v>85.95</v>
      </c>
      <c r="J21" s="6">
        <v>96.2</v>
      </c>
      <c r="K21" s="6">
        <v>94.65</v>
      </c>
      <c r="L21" s="6">
        <v>71.04</v>
      </c>
      <c r="M21" s="6">
        <v>76.44</v>
      </c>
      <c r="N21" s="6">
        <v>87.95</v>
      </c>
      <c r="O21" s="6">
        <v>88.45</v>
      </c>
      <c r="P21" s="6">
        <v>76.95</v>
      </c>
      <c r="Q21" s="14">
        <v>80.2</v>
      </c>
    </row>
    <row r="22" spans="1:17">
      <c r="A22" s="5">
        <v>20220923</v>
      </c>
      <c r="B22" s="21">
        <v>78.74</v>
      </c>
      <c r="C22" s="21">
        <v>86.15</v>
      </c>
      <c r="D22" s="21">
        <v>89.28</v>
      </c>
      <c r="E22" s="21">
        <v>655.8</v>
      </c>
      <c r="F22" s="21">
        <v>88.8</v>
      </c>
      <c r="G22" s="21">
        <v>88.91</v>
      </c>
      <c r="H22" s="21">
        <v>85.285</v>
      </c>
      <c r="I22" s="21">
        <v>83.935</v>
      </c>
      <c r="J22" s="21">
        <v>94.07</v>
      </c>
      <c r="K22" s="21">
        <v>92.22</v>
      </c>
      <c r="L22" s="21">
        <v>69.265</v>
      </c>
      <c r="M22" s="21">
        <v>72.4</v>
      </c>
      <c r="N22" s="21">
        <v>85.9</v>
      </c>
      <c r="O22" s="21">
        <v>86.4</v>
      </c>
      <c r="P22" s="21">
        <v>74.62</v>
      </c>
      <c r="Q22" s="14">
        <v>78.7</v>
      </c>
    </row>
    <row r="23" spans="1:17">
      <c r="A23" s="5">
        <v>20220926</v>
      </c>
      <c r="B23" s="6">
        <v>76.71</v>
      </c>
      <c r="C23" s="6">
        <v>84.06</v>
      </c>
      <c r="D23" s="6">
        <v>84.46</v>
      </c>
      <c r="E23" s="6">
        <v>625.5</v>
      </c>
      <c r="F23" s="6">
        <v>84.85</v>
      </c>
      <c r="G23" s="6">
        <v>84.85</v>
      </c>
      <c r="H23" s="6">
        <v>84.625</v>
      </c>
      <c r="I23" s="6">
        <v>80.535</v>
      </c>
      <c r="J23" s="6">
        <v>90.3</v>
      </c>
      <c r="K23" s="6">
        <v>88.4</v>
      </c>
      <c r="L23" s="6">
        <v>66.075</v>
      </c>
      <c r="M23" s="6">
        <v>70.93</v>
      </c>
      <c r="N23" s="6">
        <v>82.43</v>
      </c>
      <c r="O23" s="6">
        <v>82.93</v>
      </c>
      <c r="P23" s="6">
        <v>70.55</v>
      </c>
      <c r="Q23" s="14">
        <v>75.73</v>
      </c>
    </row>
    <row r="24" spans="1:17">
      <c r="A24" s="5">
        <v>20220927</v>
      </c>
      <c r="B24" s="6">
        <v>78.5</v>
      </c>
      <c r="C24" s="6">
        <v>86.27</v>
      </c>
      <c r="D24" s="6">
        <v>84.24</v>
      </c>
      <c r="E24" s="6">
        <v>612.9</v>
      </c>
      <c r="F24" s="6">
        <v>84.2</v>
      </c>
      <c r="G24" s="6">
        <v>84.25</v>
      </c>
      <c r="H24" s="6">
        <v>86.39</v>
      </c>
      <c r="I24" s="6">
        <v>80.12</v>
      </c>
      <c r="J24" s="6">
        <v>90.48</v>
      </c>
      <c r="K24" s="6">
        <v>88.63</v>
      </c>
      <c r="L24" s="6">
        <v>65.965</v>
      </c>
      <c r="M24" s="6">
        <v>71.18</v>
      </c>
      <c r="N24" s="6">
        <v>82.21</v>
      </c>
      <c r="O24" s="6">
        <v>82.71</v>
      </c>
      <c r="P24" s="6">
        <v>70.53</v>
      </c>
      <c r="Q24" s="14">
        <v>76.06</v>
      </c>
    </row>
    <row r="25" spans="1:17">
      <c r="A25" s="5">
        <v>20220928</v>
      </c>
      <c r="B25" s="6">
        <v>82.15</v>
      </c>
      <c r="C25" s="6">
        <v>89.32</v>
      </c>
      <c r="D25" s="6">
        <v>83.71</v>
      </c>
      <c r="E25" s="6">
        <v>613.1</v>
      </c>
      <c r="F25" s="6">
        <v>84.61</v>
      </c>
      <c r="G25" s="6">
        <v>84.61</v>
      </c>
      <c r="H25" s="6">
        <v>88.27</v>
      </c>
      <c r="I25" s="6">
        <v>80.32</v>
      </c>
      <c r="J25" s="6">
        <v>90.68</v>
      </c>
      <c r="K25" s="6">
        <v>88.83</v>
      </c>
      <c r="L25" s="6">
        <v>66.21</v>
      </c>
      <c r="M25" s="6">
        <v>73.34</v>
      </c>
      <c r="N25" s="6">
        <v>82.09</v>
      </c>
      <c r="O25" s="6">
        <v>82.59</v>
      </c>
      <c r="P25" s="6">
        <v>70.73</v>
      </c>
      <c r="Q25" s="14">
        <v>76.44</v>
      </c>
    </row>
    <row r="26" spans="1:17">
      <c r="A26" s="5">
        <v>20220929</v>
      </c>
      <c r="B26" s="6">
        <v>81.23</v>
      </c>
      <c r="C26" s="6">
        <v>88.49</v>
      </c>
      <c r="D26" s="6">
        <v>88.13</v>
      </c>
      <c r="E26" s="6">
        <v>627.2</v>
      </c>
      <c r="F26" s="6">
        <v>87.3</v>
      </c>
      <c r="G26" s="6">
        <v>87.55</v>
      </c>
      <c r="H26" s="6">
        <v>89.805</v>
      </c>
      <c r="I26" s="6">
        <v>82.93</v>
      </c>
      <c r="J26" s="6">
        <v>93.4</v>
      </c>
      <c r="K26" s="6">
        <v>91.55</v>
      </c>
      <c r="L26" s="6">
        <v>68.415</v>
      </c>
      <c r="M26" s="6">
        <v>74.08</v>
      </c>
      <c r="N26" s="6">
        <v>84.87</v>
      </c>
      <c r="O26" s="6">
        <v>85.37</v>
      </c>
      <c r="P26" s="6">
        <v>73.45</v>
      </c>
      <c r="Q26" s="14">
        <v>79.42</v>
      </c>
    </row>
    <row r="27" spans="1:17">
      <c r="A27" s="5">
        <v>20220930</v>
      </c>
      <c r="B27" s="6">
        <v>79.49</v>
      </c>
      <c r="C27" s="6">
        <v>87.96</v>
      </c>
      <c r="D27" s="6">
        <v>87.05</v>
      </c>
      <c r="E27" s="6">
        <v>631.7</v>
      </c>
      <c r="F27" s="6">
        <v>89.5</v>
      </c>
      <c r="G27" s="6">
        <v>89.55</v>
      </c>
      <c r="H27" s="6">
        <v>87.92</v>
      </c>
      <c r="I27" s="6">
        <v>84.795</v>
      </c>
      <c r="J27" s="6">
        <v>94.09</v>
      </c>
      <c r="K27" s="6">
        <v>92.44</v>
      </c>
      <c r="L27" s="6">
        <v>70.955</v>
      </c>
      <c r="M27" s="6">
        <v>72.76</v>
      </c>
      <c r="N27" s="6">
        <v>86.27</v>
      </c>
      <c r="O27" s="6">
        <v>86.77</v>
      </c>
      <c r="P27" s="6">
        <v>74.49</v>
      </c>
      <c r="Q27" s="14">
        <v>81.07</v>
      </c>
    </row>
    <row r="28" spans="1:17">
      <c r="A28" s="7" t="s">
        <v>17</v>
      </c>
      <c r="B28" s="8">
        <f>AVERAGE(B23:B27)</f>
        <v>79.616</v>
      </c>
      <c r="C28" s="8">
        <f t="shared" ref="C28:Q28" si="0">AVERAGE(C23:C27)</f>
        <v>87.22</v>
      </c>
      <c r="D28" s="8">
        <f t="shared" si="0"/>
        <v>85.518</v>
      </c>
      <c r="E28" s="8">
        <f t="shared" si="0"/>
        <v>622.08</v>
      </c>
      <c r="F28" s="8">
        <f t="shared" si="0"/>
        <v>86.092</v>
      </c>
      <c r="G28" s="8">
        <f t="shared" si="0"/>
        <v>86.162</v>
      </c>
      <c r="H28" s="8">
        <f t="shared" si="0"/>
        <v>87.402</v>
      </c>
      <c r="I28" s="8">
        <f t="shared" si="0"/>
        <v>81.74</v>
      </c>
      <c r="J28" s="8">
        <f t="shared" si="0"/>
        <v>91.79</v>
      </c>
      <c r="K28" s="8">
        <f t="shared" si="0"/>
        <v>89.97</v>
      </c>
      <c r="L28" s="8">
        <f t="shared" si="0"/>
        <v>67.524</v>
      </c>
      <c r="M28" s="8">
        <f t="shared" si="0"/>
        <v>72.458</v>
      </c>
      <c r="N28" s="8">
        <f t="shared" si="0"/>
        <v>83.574</v>
      </c>
      <c r="O28" s="8">
        <f t="shared" si="0"/>
        <v>84.074</v>
      </c>
      <c r="P28" s="8">
        <f t="shared" si="0"/>
        <v>71.95</v>
      </c>
      <c r="Q28" s="8">
        <f t="shared" si="0"/>
        <v>77.744</v>
      </c>
    </row>
    <row r="29" ht="22.5" spans="1:17">
      <c r="A29" s="3" t="s">
        <v>47</v>
      </c>
      <c r="B29" s="9">
        <f>AVERAGE(B6:B27)</f>
        <v>83.8019047619048</v>
      </c>
      <c r="C29" s="9">
        <f t="shared" ref="C29:Q29" si="1">AVERAGE(C6:C27)</f>
        <v>90.5709090909091</v>
      </c>
      <c r="D29" s="9">
        <f t="shared" si="1"/>
        <v>90.7968181818182</v>
      </c>
      <c r="E29" s="9">
        <f t="shared" si="1"/>
        <v>660.180952380952</v>
      </c>
      <c r="F29" s="9">
        <f t="shared" si="1"/>
        <v>90.9109090909091</v>
      </c>
      <c r="G29" s="9">
        <f t="shared" si="1"/>
        <v>90.9881818181818</v>
      </c>
      <c r="H29" s="9">
        <f t="shared" si="1"/>
        <v>89.8671428571429</v>
      </c>
      <c r="I29" s="9">
        <f t="shared" si="1"/>
        <v>84.7245454545455</v>
      </c>
      <c r="J29" s="9">
        <f t="shared" si="1"/>
        <v>96.4122727272727</v>
      </c>
      <c r="K29" s="9">
        <f t="shared" si="1"/>
        <v>94.7440909090909</v>
      </c>
      <c r="L29" s="9">
        <f t="shared" si="1"/>
        <v>68.8806818181818</v>
      </c>
      <c r="M29" s="9">
        <f t="shared" si="1"/>
        <v>76.3842857142857</v>
      </c>
      <c r="N29" s="9">
        <f t="shared" si="1"/>
        <v>87.5776190476191</v>
      </c>
      <c r="O29" s="9">
        <f t="shared" si="1"/>
        <v>88.0776190476191</v>
      </c>
      <c r="P29" s="9">
        <f t="shared" si="1"/>
        <v>76.8585714285714</v>
      </c>
      <c r="Q29" s="9">
        <f t="shared" si="1"/>
        <v>78.0272727272727</v>
      </c>
    </row>
    <row r="30" ht="23.25" spans="1:17">
      <c r="A30" s="10" t="s">
        <v>19</v>
      </c>
      <c r="B30" s="18">
        <f t="shared" ref="B30:Q30" si="2">(B29-B2)/B2</f>
        <v>-0.0839580773139064</v>
      </c>
      <c r="C30" s="18">
        <f t="shared" si="2"/>
        <v>-0.0733568312437017</v>
      </c>
      <c r="D30" s="18">
        <f t="shared" si="2"/>
        <v>-0.0639922826489995</v>
      </c>
      <c r="E30" s="18">
        <f t="shared" si="2"/>
        <v>-0.0474475766279658</v>
      </c>
      <c r="F30" s="18">
        <f t="shared" si="2"/>
        <v>-0.0589021371905029</v>
      </c>
      <c r="G30" s="18">
        <f t="shared" si="2"/>
        <v>-0.0617796630029765</v>
      </c>
      <c r="H30" s="18">
        <f t="shared" si="2"/>
        <v>-0.101271379607274</v>
      </c>
      <c r="I30" s="18">
        <f t="shared" si="2"/>
        <v>-0.0631254617924836</v>
      </c>
      <c r="J30" s="18">
        <f t="shared" si="2"/>
        <v>-0.0768042201842847</v>
      </c>
      <c r="K30" s="18">
        <f t="shared" si="2"/>
        <v>-0.0892896934107563</v>
      </c>
      <c r="L30" s="18">
        <f t="shared" si="2"/>
        <v>-0.068212702375316</v>
      </c>
      <c r="M30" s="18">
        <f t="shared" si="2"/>
        <v>-0.0830741968674975</v>
      </c>
      <c r="N30" s="18">
        <f t="shared" si="2"/>
        <v>-0.0757536924522706</v>
      </c>
      <c r="O30" s="18">
        <f t="shared" si="2"/>
        <v>-0.075356059129061</v>
      </c>
      <c r="P30" s="18">
        <f t="shared" si="2"/>
        <v>-0.0813141403275105</v>
      </c>
      <c r="Q30" s="19">
        <f t="shared" si="2"/>
        <v>-0.00296508403007468</v>
      </c>
    </row>
    <row r="31" ht="15"/>
  </sheetData>
  <pageMargins left="0.75" right="0.75" top="1" bottom="1" header="0.5" footer="0.5"/>
  <pageSetup paperSize="9" orientation="portrait" horizontalDpi="600" verticalDpi="600"/>
  <headerFooter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7"/>
  <dimension ref="A1:Q29"/>
  <sheetViews>
    <sheetView zoomScaleSheetLayoutView="60" workbookViewId="0">
      <selection activeCell="A1" sqref="A1:Q28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31</v>
      </c>
      <c r="B2" s="9">
        <v>99.3845</v>
      </c>
      <c r="C2" s="9">
        <v>105.12380952381</v>
      </c>
      <c r="D2" s="9">
        <v>103.211428571429</v>
      </c>
      <c r="E2" s="9">
        <v>671.090476190476</v>
      </c>
      <c r="F2" s="9">
        <v>103.12325</v>
      </c>
      <c r="G2" s="9">
        <v>103.2755</v>
      </c>
      <c r="H2" s="9">
        <v>112.695476190476</v>
      </c>
      <c r="I2" s="9">
        <v>100.5295</v>
      </c>
      <c r="J2" s="9">
        <v>114.757</v>
      </c>
      <c r="K2" s="9">
        <v>112.637</v>
      </c>
      <c r="L2" s="9">
        <v>87.54225</v>
      </c>
      <c r="M2" s="6">
        <v>91.0975</v>
      </c>
      <c r="N2" s="6">
        <v>99.5905</v>
      </c>
      <c r="O2" s="6">
        <v>100.0905</v>
      </c>
      <c r="P2" s="6">
        <v>91.142</v>
      </c>
      <c r="Q2" s="16">
        <v>76.563</v>
      </c>
    </row>
    <row r="3" spans="1:17">
      <c r="A3" s="5">
        <v>20220801</v>
      </c>
      <c r="B3" s="6">
        <v>93.89</v>
      </c>
      <c r="C3" s="6">
        <v>100.03</v>
      </c>
      <c r="D3" s="6">
        <v>101.59</v>
      </c>
      <c r="E3" s="6">
        <v>700</v>
      </c>
      <c r="F3" s="6">
        <v>101.5</v>
      </c>
      <c r="G3" s="6">
        <v>101.55</v>
      </c>
      <c r="H3" s="6">
        <v>107.07</v>
      </c>
      <c r="I3" s="6">
        <v>99.405</v>
      </c>
      <c r="J3" s="6">
        <v>114.36</v>
      </c>
      <c r="K3" s="6">
        <v>113.11</v>
      </c>
      <c r="L3" s="6">
        <v>85.465</v>
      </c>
      <c r="M3" s="6">
        <v>87.08</v>
      </c>
      <c r="N3" s="6">
        <v>100.22</v>
      </c>
      <c r="O3" s="6">
        <v>100.72</v>
      </c>
      <c r="P3" s="6">
        <v>90.46</v>
      </c>
      <c r="Q3" s="14">
        <v>81.12</v>
      </c>
    </row>
    <row r="4" spans="1:17">
      <c r="A4" s="5">
        <v>20220802</v>
      </c>
      <c r="B4" s="6">
        <v>94.42</v>
      </c>
      <c r="C4" s="6">
        <v>100.54</v>
      </c>
      <c r="D4" s="6">
        <v>98.96</v>
      </c>
      <c r="E4" s="6">
        <v>673.7</v>
      </c>
      <c r="F4" s="6">
        <v>97.98</v>
      </c>
      <c r="G4" s="6">
        <v>98.88</v>
      </c>
      <c r="H4" s="22">
        <v>106.555</v>
      </c>
      <c r="I4" s="6">
        <v>95.79</v>
      </c>
      <c r="J4" s="6">
        <v>110.4</v>
      </c>
      <c r="K4" s="6">
        <v>110.1</v>
      </c>
      <c r="L4" s="6">
        <v>81.65</v>
      </c>
      <c r="M4" s="6">
        <v>87.84</v>
      </c>
      <c r="N4" s="6">
        <v>98.08</v>
      </c>
      <c r="O4" s="6">
        <v>98.58</v>
      </c>
      <c r="P4" s="6">
        <v>87.5</v>
      </c>
      <c r="Q4" s="14">
        <v>79.08</v>
      </c>
    </row>
    <row r="5" spans="1:17">
      <c r="A5" s="5">
        <v>20220803</v>
      </c>
      <c r="B5" s="6">
        <v>90.66</v>
      </c>
      <c r="C5" s="6">
        <v>96.78</v>
      </c>
      <c r="D5" s="6">
        <v>99.21</v>
      </c>
      <c r="E5" s="6">
        <v>681</v>
      </c>
      <c r="F5" s="6">
        <v>98.36</v>
      </c>
      <c r="G5" s="6">
        <v>98.36</v>
      </c>
      <c r="H5" s="6">
        <v>103.15</v>
      </c>
      <c r="I5" s="6">
        <v>94.685</v>
      </c>
      <c r="J5" s="6">
        <v>109.65</v>
      </c>
      <c r="K5" s="6">
        <v>109.35</v>
      </c>
      <c r="L5" s="6">
        <v>80.57</v>
      </c>
      <c r="M5" s="6">
        <v>85.83</v>
      </c>
      <c r="N5" s="6">
        <v>97.9</v>
      </c>
      <c r="O5" s="6">
        <v>98.4</v>
      </c>
      <c r="P5" s="6">
        <v>87.15</v>
      </c>
      <c r="Q5" s="14">
        <v>79.4</v>
      </c>
    </row>
    <row r="6" spans="1:17">
      <c r="A6" s="5">
        <v>20220804</v>
      </c>
      <c r="B6" s="6">
        <v>88.54</v>
      </c>
      <c r="C6" s="6">
        <v>94.12</v>
      </c>
      <c r="D6" s="6">
        <v>97.05</v>
      </c>
      <c r="E6" s="6">
        <v>670.4</v>
      </c>
      <c r="F6" s="6">
        <v>95.7</v>
      </c>
      <c r="G6" s="6">
        <v>95.7</v>
      </c>
      <c r="H6" s="6">
        <v>97.765</v>
      </c>
      <c r="I6" s="6">
        <v>91.33</v>
      </c>
      <c r="J6" s="6">
        <v>106.3</v>
      </c>
      <c r="K6" s="6">
        <v>106.3</v>
      </c>
      <c r="L6" s="6">
        <v>76.145</v>
      </c>
      <c r="M6" s="6">
        <v>80.87</v>
      </c>
      <c r="N6" s="6">
        <v>95.28</v>
      </c>
      <c r="O6" s="6">
        <v>95.78</v>
      </c>
      <c r="P6" s="6">
        <v>84.25</v>
      </c>
      <c r="Q6" s="14">
        <v>77.08</v>
      </c>
    </row>
    <row r="7" spans="1:17">
      <c r="A7" s="5">
        <v>20220805</v>
      </c>
      <c r="B7" s="6">
        <v>89.01</v>
      </c>
      <c r="C7" s="6">
        <v>94.92</v>
      </c>
      <c r="D7" s="6">
        <v>94.37</v>
      </c>
      <c r="E7" s="6">
        <v>650.6</v>
      </c>
      <c r="F7" s="6">
        <v>93.76</v>
      </c>
      <c r="G7" s="6">
        <v>94.24</v>
      </c>
      <c r="H7" s="6">
        <v>101.41</v>
      </c>
      <c r="I7" s="6">
        <v>89.095</v>
      </c>
      <c r="J7" s="6">
        <v>102.7</v>
      </c>
      <c r="K7" s="6">
        <v>103</v>
      </c>
      <c r="L7" s="6">
        <v>73.955</v>
      </c>
      <c r="M7" s="6">
        <v>82.74</v>
      </c>
      <c r="N7" s="6">
        <v>91.89</v>
      </c>
      <c r="O7" s="6">
        <v>92.39</v>
      </c>
      <c r="P7" s="6">
        <v>81.15</v>
      </c>
      <c r="Q7" s="14">
        <v>74.19</v>
      </c>
    </row>
    <row r="8" spans="1:17">
      <c r="A8" s="5">
        <v>20220808</v>
      </c>
      <c r="B8" s="6">
        <v>90.76</v>
      </c>
      <c r="C8" s="6">
        <v>96.65</v>
      </c>
      <c r="D8" s="6">
        <v>94.34</v>
      </c>
      <c r="E8" s="6">
        <v>657.9</v>
      </c>
      <c r="F8" s="6">
        <v>94.26</v>
      </c>
      <c r="G8" s="6">
        <v>94.64</v>
      </c>
      <c r="H8" s="6">
        <v>103.47</v>
      </c>
      <c r="I8" s="6">
        <v>90.41</v>
      </c>
      <c r="J8" s="6">
        <v>103.41</v>
      </c>
      <c r="K8" s="6">
        <v>103.96</v>
      </c>
      <c r="L8" s="6">
        <v>76.46</v>
      </c>
      <c r="M8" s="6">
        <v>83.63</v>
      </c>
      <c r="N8" s="6">
        <v>92.33</v>
      </c>
      <c r="O8" s="6">
        <v>92.83</v>
      </c>
      <c r="P8" s="6">
        <v>82.26</v>
      </c>
      <c r="Q8" s="14">
        <v>75.08</v>
      </c>
    </row>
    <row r="9" spans="1:17">
      <c r="A9" s="5">
        <v>20220809</v>
      </c>
      <c r="B9" s="6">
        <v>90.5</v>
      </c>
      <c r="C9" s="6">
        <v>96.31</v>
      </c>
      <c r="D9" s="6">
        <v>95.13</v>
      </c>
      <c r="E9" s="6">
        <v>664.6</v>
      </c>
      <c r="F9" s="6"/>
      <c r="G9" s="6"/>
      <c r="H9" s="6">
        <v>103.905</v>
      </c>
      <c r="I9" s="6"/>
      <c r="J9" s="6"/>
      <c r="K9" s="6"/>
      <c r="L9" s="6"/>
      <c r="M9" s="6"/>
      <c r="N9" s="6"/>
      <c r="O9" s="6"/>
      <c r="P9" s="6"/>
      <c r="Q9" s="14"/>
    </row>
    <row r="10" spans="1:17">
      <c r="A10" s="5">
        <v>20220810</v>
      </c>
      <c r="B10" s="6">
        <v>91.93</v>
      </c>
      <c r="C10" s="6">
        <v>97.4</v>
      </c>
      <c r="D10" s="6">
        <v>95.84</v>
      </c>
      <c r="E10" s="6">
        <v>677.5</v>
      </c>
      <c r="F10" s="6">
        <v>94.86</v>
      </c>
      <c r="G10" s="6">
        <v>95.06</v>
      </c>
      <c r="H10" s="6">
        <v>101.445</v>
      </c>
      <c r="I10" s="6">
        <v>89.42</v>
      </c>
      <c r="J10" s="6">
        <v>102.26</v>
      </c>
      <c r="K10" s="6">
        <v>102.86</v>
      </c>
      <c r="L10" s="6">
        <v>74.51</v>
      </c>
      <c r="M10" s="6">
        <v>81.19</v>
      </c>
      <c r="N10" s="6">
        <v>92.92</v>
      </c>
      <c r="O10" s="6">
        <v>93.42</v>
      </c>
      <c r="P10" s="6">
        <v>81.11</v>
      </c>
      <c r="Q10" s="14">
        <v>75.82</v>
      </c>
    </row>
    <row r="11" spans="1:17">
      <c r="A11" s="5">
        <v>20220811</v>
      </c>
      <c r="B11" s="6">
        <v>94.34</v>
      </c>
      <c r="C11" s="6">
        <v>99.6</v>
      </c>
      <c r="D11" s="6">
        <v>97.21</v>
      </c>
      <c r="E11" s="6">
        <v>679.3</v>
      </c>
      <c r="F11" s="6">
        <v>96</v>
      </c>
      <c r="G11" s="6">
        <v>96.91</v>
      </c>
      <c r="H11" s="6">
        <v>104.63</v>
      </c>
      <c r="I11" s="6">
        <v>90.865</v>
      </c>
      <c r="J11" s="6">
        <v>104.04</v>
      </c>
      <c r="K11" s="6">
        <v>104.69</v>
      </c>
      <c r="L11" s="6">
        <v>75.84</v>
      </c>
      <c r="M11" s="6">
        <v>84.26</v>
      </c>
      <c r="N11" s="6">
        <v>94.6</v>
      </c>
      <c r="O11" s="6">
        <v>95.1</v>
      </c>
      <c r="P11" s="6">
        <v>82.89</v>
      </c>
      <c r="Q11" s="14">
        <v>78.2</v>
      </c>
    </row>
    <row r="12" spans="1:17">
      <c r="A12" s="5">
        <v>20220812</v>
      </c>
      <c r="B12" s="6">
        <v>92.09</v>
      </c>
      <c r="C12" s="6">
        <v>98.15</v>
      </c>
      <c r="D12" s="6">
        <v>99.08</v>
      </c>
      <c r="E12" s="6">
        <v>698</v>
      </c>
      <c r="F12" s="6">
        <v>98.28</v>
      </c>
      <c r="G12" s="6">
        <v>98.8</v>
      </c>
      <c r="H12" s="6">
        <v>102.875</v>
      </c>
      <c r="I12" s="6">
        <v>92.715</v>
      </c>
      <c r="J12" s="6">
        <v>106.2</v>
      </c>
      <c r="K12" s="6">
        <v>106.85</v>
      </c>
      <c r="L12" s="6">
        <v>77.16</v>
      </c>
      <c r="M12" s="6">
        <v>83.45</v>
      </c>
      <c r="N12" s="6">
        <v>96.11</v>
      </c>
      <c r="O12" s="6">
        <v>96.61</v>
      </c>
      <c r="P12" s="6">
        <v>85.05</v>
      </c>
      <c r="Q12" s="14">
        <v>80.21</v>
      </c>
    </row>
    <row r="13" spans="1:17">
      <c r="A13" s="5">
        <v>20220815</v>
      </c>
      <c r="B13" s="6">
        <v>89.41</v>
      </c>
      <c r="C13" s="6">
        <v>95.1</v>
      </c>
      <c r="D13" s="6">
        <v>95.26</v>
      </c>
      <c r="E13" s="6">
        <v>695.7</v>
      </c>
      <c r="F13" s="6">
        <v>94.56</v>
      </c>
      <c r="G13" s="6">
        <v>95.29</v>
      </c>
      <c r="H13" s="6">
        <v>97.62</v>
      </c>
      <c r="I13" s="6">
        <v>89.24</v>
      </c>
      <c r="J13" s="6">
        <v>102.82</v>
      </c>
      <c r="K13" s="6">
        <v>103.47</v>
      </c>
      <c r="L13" s="6">
        <v>73.825</v>
      </c>
      <c r="M13" s="6">
        <v>79.54</v>
      </c>
      <c r="N13" s="6">
        <v>92.48</v>
      </c>
      <c r="O13" s="6">
        <v>92.98</v>
      </c>
      <c r="P13" s="6">
        <v>81.57</v>
      </c>
      <c r="Q13" s="14">
        <v>77.08</v>
      </c>
    </row>
    <row r="14" spans="1:17">
      <c r="A14" s="5">
        <v>20220816</v>
      </c>
      <c r="B14" s="6">
        <v>86.53</v>
      </c>
      <c r="C14" s="6">
        <v>92.34</v>
      </c>
      <c r="D14" s="6">
        <v>92.3</v>
      </c>
      <c r="E14" s="6">
        <v>682.9</v>
      </c>
      <c r="F14" s="6">
        <v>92.1</v>
      </c>
      <c r="G14" s="6">
        <v>92.25</v>
      </c>
      <c r="H14" s="6">
        <v>96.255</v>
      </c>
      <c r="I14" s="6">
        <v>86.115</v>
      </c>
      <c r="J14" s="6">
        <v>99.5</v>
      </c>
      <c r="K14" s="6">
        <v>101.05</v>
      </c>
      <c r="L14" s="6">
        <v>70.185</v>
      </c>
      <c r="M14" s="6">
        <v>78.57</v>
      </c>
      <c r="N14" s="6">
        <v>90.28</v>
      </c>
      <c r="O14" s="6">
        <v>90.78</v>
      </c>
      <c r="P14" s="6">
        <v>79.15</v>
      </c>
      <c r="Q14" s="14">
        <v>74.98</v>
      </c>
    </row>
    <row r="15" spans="1:17">
      <c r="A15" s="5">
        <v>20220817</v>
      </c>
      <c r="B15" s="6">
        <v>88.11</v>
      </c>
      <c r="C15" s="6">
        <v>93.65</v>
      </c>
      <c r="D15" s="6">
        <v>91.44</v>
      </c>
      <c r="E15" s="6">
        <v>662.4</v>
      </c>
      <c r="F15" s="6">
        <v>90.4</v>
      </c>
      <c r="G15" s="6">
        <v>91.32</v>
      </c>
      <c r="H15" s="6">
        <v>93.27</v>
      </c>
      <c r="I15" s="6">
        <v>84.095</v>
      </c>
      <c r="J15" s="6">
        <v>97.53</v>
      </c>
      <c r="K15" s="6">
        <v>98.38</v>
      </c>
      <c r="L15" s="6">
        <v>67.65</v>
      </c>
      <c r="M15" s="6">
        <v>78.42</v>
      </c>
      <c r="N15" s="6">
        <v>88.82</v>
      </c>
      <c r="O15" s="6">
        <v>89.32</v>
      </c>
      <c r="P15" s="6">
        <v>77.48</v>
      </c>
      <c r="Q15" s="14">
        <v>73.67</v>
      </c>
    </row>
    <row r="16" spans="1:17">
      <c r="A16" s="5">
        <v>20220818</v>
      </c>
      <c r="B16" s="6">
        <v>90.5</v>
      </c>
      <c r="C16" s="6">
        <v>96.59</v>
      </c>
      <c r="D16" s="6">
        <v>93.59</v>
      </c>
      <c r="E16" s="6">
        <v>669.9</v>
      </c>
      <c r="F16" s="6">
        <v>92.8</v>
      </c>
      <c r="G16" s="6">
        <v>93.65</v>
      </c>
      <c r="H16" s="6">
        <v>96.295</v>
      </c>
      <c r="I16" s="6">
        <v>85.395</v>
      </c>
      <c r="J16" s="6">
        <v>98.71</v>
      </c>
      <c r="K16" s="6">
        <v>98.86</v>
      </c>
      <c r="L16" s="6">
        <v>68.455</v>
      </c>
      <c r="M16" s="6">
        <v>81.5</v>
      </c>
      <c r="N16" s="6">
        <v>91.04</v>
      </c>
      <c r="O16" s="6">
        <v>91.54</v>
      </c>
      <c r="P16" s="6">
        <v>79.16</v>
      </c>
      <c r="Q16" s="14">
        <v>75.99</v>
      </c>
    </row>
    <row r="17" spans="1:17">
      <c r="A17" s="5">
        <v>20220819</v>
      </c>
      <c r="B17" s="6">
        <v>90.77</v>
      </c>
      <c r="C17" s="6">
        <v>96.72</v>
      </c>
      <c r="D17" s="6">
        <v>95.02</v>
      </c>
      <c r="E17" s="6">
        <v>691.7</v>
      </c>
      <c r="F17" s="6">
        <v>94.35</v>
      </c>
      <c r="G17" s="6">
        <v>95.02</v>
      </c>
      <c r="H17" s="6">
        <v>97.16</v>
      </c>
      <c r="I17" s="6">
        <v>86.975</v>
      </c>
      <c r="J17" s="6">
        <v>100.46</v>
      </c>
      <c r="K17" s="6">
        <v>99.61</v>
      </c>
      <c r="L17" s="6">
        <v>70.03</v>
      </c>
      <c r="M17" s="6">
        <v>82.95</v>
      </c>
      <c r="N17" s="6">
        <v>92.82</v>
      </c>
      <c r="O17" s="6">
        <v>93.32</v>
      </c>
      <c r="P17" s="6">
        <v>81.46</v>
      </c>
      <c r="Q17" s="14">
        <v>77.57</v>
      </c>
    </row>
    <row r="18" spans="1:17">
      <c r="A18" s="5">
        <v>20220822</v>
      </c>
      <c r="B18" s="6">
        <v>90.23</v>
      </c>
      <c r="C18" s="6">
        <v>96.48</v>
      </c>
      <c r="D18" s="6">
        <v>94.64</v>
      </c>
      <c r="E18" s="6">
        <v>702.3</v>
      </c>
      <c r="F18" s="6">
        <v>93.95</v>
      </c>
      <c r="G18" s="6">
        <v>94.54</v>
      </c>
      <c r="H18" s="6">
        <v>93.835</v>
      </c>
      <c r="I18" s="6">
        <v>86.375</v>
      </c>
      <c r="J18" s="6">
        <v>100.47</v>
      </c>
      <c r="K18" s="6">
        <v>99.17</v>
      </c>
      <c r="L18" s="6">
        <v>68.715</v>
      </c>
      <c r="M18" s="6">
        <v>81.03</v>
      </c>
      <c r="N18" s="6">
        <v>92.59</v>
      </c>
      <c r="O18" s="6">
        <v>93.09</v>
      </c>
      <c r="P18" s="6">
        <v>81.17</v>
      </c>
      <c r="Q18" s="14">
        <v>77.44</v>
      </c>
    </row>
    <row r="19" spans="1:17">
      <c r="A19" s="5">
        <v>20220823</v>
      </c>
      <c r="B19" s="6">
        <v>93.74</v>
      </c>
      <c r="C19" s="6">
        <v>100.22</v>
      </c>
      <c r="D19" s="6">
        <v>97.14</v>
      </c>
      <c r="E19" s="6">
        <v>698.8</v>
      </c>
      <c r="F19" s="6">
        <v>96.5</v>
      </c>
      <c r="G19" s="6">
        <v>97.2</v>
      </c>
      <c r="H19" s="6">
        <v>98.43</v>
      </c>
      <c r="I19" s="6">
        <v>88.17</v>
      </c>
      <c r="J19" s="6">
        <v>102.96</v>
      </c>
      <c r="K19" s="6">
        <v>101.51</v>
      </c>
      <c r="L19" s="6">
        <v>69.63</v>
      </c>
      <c r="M19" s="6">
        <v>85.33</v>
      </c>
      <c r="N19" s="6">
        <v>95.26</v>
      </c>
      <c r="O19" s="6">
        <v>95.76</v>
      </c>
      <c r="P19" s="6">
        <v>83.56</v>
      </c>
      <c r="Q19" s="14">
        <v>80.06</v>
      </c>
    </row>
    <row r="20" spans="1:17">
      <c r="A20" s="5">
        <v>20220824</v>
      </c>
      <c r="B20" s="6">
        <v>94.89</v>
      </c>
      <c r="C20" s="6">
        <v>101.22</v>
      </c>
      <c r="D20" s="6">
        <v>99.77</v>
      </c>
      <c r="E20" s="6">
        <v>718.8</v>
      </c>
      <c r="F20" s="6">
        <v>99.5</v>
      </c>
      <c r="G20" s="6">
        <v>99.7</v>
      </c>
      <c r="H20" s="6">
        <v>98.89</v>
      </c>
      <c r="I20" s="6">
        <v>91.66</v>
      </c>
      <c r="J20" s="6">
        <v>105.78</v>
      </c>
      <c r="K20" s="6">
        <v>104.48</v>
      </c>
      <c r="L20" s="6">
        <v>73.165</v>
      </c>
      <c r="M20" s="6">
        <v>85.63</v>
      </c>
      <c r="N20" s="6">
        <v>97.9</v>
      </c>
      <c r="O20" s="6">
        <v>98.4</v>
      </c>
      <c r="P20" s="6">
        <v>86.48</v>
      </c>
      <c r="Q20" s="14">
        <v>82.8</v>
      </c>
    </row>
    <row r="21" spans="1:17">
      <c r="A21" s="5">
        <v>20220825</v>
      </c>
      <c r="B21" s="6">
        <v>92.52</v>
      </c>
      <c r="C21" s="6">
        <v>99.34</v>
      </c>
      <c r="D21" s="6">
        <v>99.83</v>
      </c>
      <c r="E21" s="6">
        <v>739.9</v>
      </c>
      <c r="F21" s="6">
        <v>99.9</v>
      </c>
      <c r="G21" s="6">
        <v>99.98</v>
      </c>
      <c r="H21" s="6">
        <v>100.035</v>
      </c>
      <c r="I21" s="6">
        <v>92.005</v>
      </c>
      <c r="J21" s="6">
        <v>106.75</v>
      </c>
      <c r="K21" s="6">
        <v>105.25</v>
      </c>
      <c r="L21" s="6">
        <v>72.39</v>
      </c>
      <c r="M21" s="6">
        <v>87.01</v>
      </c>
      <c r="N21" s="6">
        <v>98.48</v>
      </c>
      <c r="O21" s="6">
        <v>98.98</v>
      </c>
      <c r="P21" s="6">
        <v>87.15</v>
      </c>
      <c r="Q21" s="14">
        <v>83.33</v>
      </c>
    </row>
    <row r="22" spans="1:17">
      <c r="A22" s="5">
        <v>20220826</v>
      </c>
      <c r="B22" s="21">
        <v>93.06</v>
      </c>
      <c r="C22" s="6">
        <v>100.99</v>
      </c>
      <c r="D22" s="6">
        <v>99.52</v>
      </c>
      <c r="E22" s="6">
        <v>740.3</v>
      </c>
      <c r="F22" s="6">
        <v>99.65</v>
      </c>
      <c r="G22" s="6">
        <v>99.65</v>
      </c>
      <c r="H22" s="6">
        <v>99.455</v>
      </c>
      <c r="I22" s="6">
        <v>90.595</v>
      </c>
      <c r="J22" s="6">
        <v>105.32</v>
      </c>
      <c r="K22" s="6">
        <v>103.72</v>
      </c>
      <c r="L22" s="6">
        <v>71.47</v>
      </c>
      <c r="M22" s="6">
        <v>84.63</v>
      </c>
      <c r="N22" s="6">
        <v>97.22</v>
      </c>
      <c r="O22" s="6">
        <v>97.72</v>
      </c>
      <c r="P22" s="6">
        <v>85.67</v>
      </c>
      <c r="Q22" s="14">
        <v>82.12</v>
      </c>
    </row>
    <row r="23" spans="1:17">
      <c r="A23" s="5">
        <v>20220829</v>
      </c>
      <c r="B23" s="6">
        <v>97.01</v>
      </c>
      <c r="C23" s="6">
        <v>105.09</v>
      </c>
      <c r="D23" s="6">
        <v>100.46</v>
      </c>
      <c r="E23" s="6">
        <v>727.5</v>
      </c>
      <c r="F23" s="6">
        <v>100.16</v>
      </c>
      <c r="G23" s="6">
        <v>100.16</v>
      </c>
      <c r="H23" s="6"/>
      <c r="I23" s="6">
        <v>91.74</v>
      </c>
      <c r="J23" s="6">
        <v>106.19</v>
      </c>
      <c r="K23" s="6">
        <v>104.59</v>
      </c>
      <c r="L23" s="6">
        <v>72.735</v>
      </c>
      <c r="M23" s="6"/>
      <c r="N23" s="6"/>
      <c r="O23" s="6"/>
      <c r="P23" s="6"/>
      <c r="Q23" s="14">
        <v>72.735</v>
      </c>
    </row>
    <row r="24" spans="1:17">
      <c r="A24" s="5">
        <v>20220830</v>
      </c>
      <c r="B24" s="6">
        <v>91.64</v>
      </c>
      <c r="C24" s="6">
        <v>99.31</v>
      </c>
      <c r="D24" s="6">
        <v>103.12</v>
      </c>
      <c r="E24" s="6">
        <v>739.5</v>
      </c>
      <c r="F24" s="6">
        <v>102.8</v>
      </c>
      <c r="G24" s="6">
        <v>102.8</v>
      </c>
      <c r="H24" s="6">
        <v>99.665</v>
      </c>
      <c r="I24" s="6">
        <v>94.45</v>
      </c>
      <c r="J24" s="6">
        <v>108.49</v>
      </c>
      <c r="K24" s="6">
        <v>106.89</v>
      </c>
      <c r="L24" s="6">
        <v>76.16</v>
      </c>
      <c r="M24" s="6">
        <v>85.3</v>
      </c>
      <c r="N24" s="6">
        <v>99.6</v>
      </c>
      <c r="O24" s="6">
        <v>100.1</v>
      </c>
      <c r="P24" s="6">
        <v>88.79</v>
      </c>
      <c r="Q24" s="14">
        <v>84.55</v>
      </c>
    </row>
    <row r="25" spans="1:17">
      <c r="A25" s="5">
        <v>20220831</v>
      </c>
      <c r="B25" s="6">
        <v>89.55</v>
      </c>
      <c r="C25" s="6">
        <v>96.49</v>
      </c>
      <c r="D25" s="6">
        <v>96.23</v>
      </c>
      <c r="E25" s="6">
        <v>717.8</v>
      </c>
      <c r="F25" s="6">
        <v>97.85</v>
      </c>
      <c r="G25" s="6">
        <v>97.85</v>
      </c>
      <c r="H25" s="6">
        <v>96.675</v>
      </c>
      <c r="I25" s="6">
        <v>89</v>
      </c>
      <c r="J25" s="6">
        <v>103.23</v>
      </c>
      <c r="K25" s="6">
        <v>101.53</v>
      </c>
      <c r="L25" s="6">
        <v>70.145</v>
      </c>
      <c r="M25" s="6">
        <v>82.6</v>
      </c>
      <c r="N25" s="6">
        <v>94.05</v>
      </c>
      <c r="O25" s="6">
        <v>94.55</v>
      </c>
      <c r="P25" s="6">
        <v>83.43</v>
      </c>
      <c r="Q25" s="14">
        <v>79.2</v>
      </c>
    </row>
    <row r="26" spans="1:17">
      <c r="A26" s="7" t="s">
        <v>17</v>
      </c>
      <c r="B26" s="8">
        <f>AVERAGE(B23:B25)</f>
        <v>92.7333333333333</v>
      </c>
      <c r="C26" s="8">
        <f t="shared" ref="C26:Q26" si="0">AVERAGE(C23:C25)</f>
        <v>100.296666666667</v>
      </c>
      <c r="D26" s="8">
        <f t="shared" si="0"/>
        <v>99.9366666666667</v>
      </c>
      <c r="E26" s="8">
        <f t="shared" si="0"/>
        <v>728.266666666667</v>
      </c>
      <c r="F26" s="8">
        <f t="shared" si="0"/>
        <v>100.27</v>
      </c>
      <c r="G26" s="8">
        <f t="shared" si="0"/>
        <v>100.27</v>
      </c>
      <c r="H26" s="8">
        <f t="shared" si="0"/>
        <v>98.17</v>
      </c>
      <c r="I26" s="8">
        <f t="shared" si="0"/>
        <v>91.73</v>
      </c>
      <c r="J26" s="8">
        <f t="shared" si="0"/>
        <v>105.97</v>
      </c>
      <c r="K26" s="8">
        <f t="shared" si="0"/>
        <v>104.336666666667</v>
      </c>
      <c r="L26" s="8">
        <f t="shared" si="0"/>
        <v>73.0133333333333</v>
      </c>
      <c r="M26" s="8">
        <f t="shared" si="0"/>
        <v>83.95</v>
      </c>
      <c r="N26" s="8">
        <f t="shared" si="0"/>
        <v>96.825</v>
      </c>
      <c r="O26" s="8">
        <f t="shared" si="0"/>
        <v>97.325</v>
      </c>
      <c r="P26" s="8">
        <f t="shared" si="0"/>
        <v>86.11</v>
      </c>
      <c r="Q26" s="8">
        <f t="shared" si="0"/>
        <v>78.8283333333333</v>
      </c>
    </row>
    <row r="27" ht="22.5" spans="1:17">
      <c r="A27" s="3" t="s">
        <v>30</v>
      </c>
      <c r="B27" s="9">
        <f>AVERAGE(B3:B25)</f>
        <v>91.4826086956522</v>
      </c>
      <c r="C27" s="9">
        <f t="shared" ref="C27:Q27" si="1">AVERAGE(C3:C25)</f>
        <v>97.7408695652174</v>
      </c>
      <c r="D27" s="9">
        <f t="shared" si="1"/>
        <v>97.004347826087</v>
      </c>
      <c r="E27" s="9">
        <f t="shared" si="1"/>
        <v>693.065217391304</v>
      </c>
      <c r="F27" s="9">
        <f t="shared" si="1"/>
        <v>96.6009090909091</v>
      </c>
      <c r="G27" s="9">
        <f t="shared" si="1"/>
        <v>96.9795454545455</v>
      </c>
      <c r="H27" s="9">
        <f t="shared" si="1"/>
        <v>99.9936363636364</v>
      </c>
      <c r="I27" s="9">
        <f t="shared" si="1"/>
        <v>90.4331818181818</v>
      </c>
      <c r="J27" s="9">
        <f t="shared" si="1"/>
        <v>104.433181818182</v>
      </c>
      <c r="K27" s="9">
        <f t="shared" si="1"/>
        <v>104.033181818182</v>
      </c>
      <c r="L27" s="9">
        <f t="shared" si="1"/>
        <v>73.9231818181818</v>
      </c>
      <c r="M27" s="9">
        <f t="shared" si="1"/>
        <v>83.3047619047619</v>
      </c>
      <c r="N27" s="9">
        <f t="shared" si="1"/>
        <v>94.7557142857143</v>
      </c>
      <c r="O27" s="9">
        <f t="shared" si="1"/>
        <v>95.2557142857143</v>
      </c>
      <c r="P27" s="9">
        <f t="shared" si="1"/>
        <v>83.6614285714286</v>
      </c>
      <c r="Q27" s="9">
        <f t="shared" si="1"/>
        <v>78.2593181818182</v>
      </c>
    </row>
    <row r="28" ht="23.25" spans="1:17">
      <c r="A28" s="10" t="s">
        <v>19</v>
      </c>
      <c r="B28" s="18">
        <f t="shared" ref="B28:Q28" si="2">(B27-B2)/B2</f>
        <v>-0.079508286547176</v>
      </c>
      <c r="C28" s="18">
        <f t="shared" si="2"/>
        <v>-0.0702309019434839</v>
      </c>
      <c r="D28" s="18">
        <f t="shared" si="2"/>
        <v>-0.0601394712897124</v>
      </c>
      <c r="E28" s="11">
        <f t="shared" si="2"/>
        <v>0.0327448264883298</v>
      </c>
      <c r="F28" s="18">
        <f t="shared" si="2"/>
        <v>-0.0632480154484165</v>
      </c>
      <c r="G28" s="18">
        <f t="shared" si="2"/>
        <v>-0.0609627118285996</v>
      </c>
      <c r="H28" s="18">
        <f t="shared" si="2"/>
        <v>-0.112709402863442</v>
      </c>
      <c r="I28" s="18">
        <f t="shared" si="2"/>
        <v>-0.100431397568059</v>
      </c>
      <c r="J28" s="18">
        <f t="shared" si="2"/>
        <v>-0.0899624265344877</v>
      </c>
      <c r="K28" s="18">
        <f t="shared" si="2"/>
        <v>-0.0763853634402387</v>
      </c>
      <c r="L28" s="18">
        <f t="shared" si="2"/>
        <v>-0.155571374756968</v>
      </c>
      <c r="M28" s="18">
        <f t="shared" si="2"/>
        <v>-0.0855428315292747</v>
      </c>
      <c r="N28" s="18">
        <f t="shared" si="2"/>
        <v>-0.0485466556979402</v>
      </c>
      <c r="O28" s="18">
        <f t="shared" si="2"/>
        <v>-0.0483041418944427</v>
      </c>
      <c r="P28" s="18">
        <f t="shared" si="2"/>
        <v>-0.0820760069843916</v>
      </c>
      <c r="Q28" s="17">
        <f t="shared" si="2"/>
        <v>0.0221558478875981</v>
      </c>
    </row>
    <row r="29" ht="15"/>
  </sheetData>
  <pageMargins left="0.7" right="0.7" top="0.75" bottom="0.75" header="0.3" footer="0.3"/>
  <pageSetup paperSize="9" orientation="portrait" horizontalDpi="600" verticalDpi="600"/>
  <headerFooter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/>
  <dimension ref="A1:Q31"/>
  <sheetViews>
    <sheetView zoomScaleSheetLayoutView="60" workbookViewId="0">
      <selection activeCell="A1" sqref="A1:Q30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33</v>
      </c>
      <c r="B2" s="9">
        <v>114.338571428571</v>
      </c>
      <c r="C2" s="9">
        <v>117.503181818182</v>
      </c>
      <c r="D2" s="9">
        <v>112.930454545455</v>
      </c>
      <c r="E2" s="9">
        <v>732.866666666667</v>
      </c>
      <c r="F2" s="9">
        <v>113.241818181818</v>
      </c>
      <c r="G2" s="9">
        <v>113.279090909091</v>
      </c>
      <c r="H2" s="9">
        <v>123.70175</v>
      </c>
      <c r="I2" s="9">
        <v>109.084318181818</v>
      </c>
      <c r="J2" s="9">
        <v>126.573636363636</v>
      </c>
      <c r="K2" s="9">
        <v>122.987272727273</v>
      </c>
      <c r="L2" s="9">
        <v>96.2784090909091</v>
      </c>
      <c r="M2" s="6">
        <v>104.6845</v>
      </c>
      <c r="N2" s="6">
        <v>110.5</v>
      </c>
      <c r="O2" s="6">
        <v>111</v>
      </c>
      <c r="P2" s="6">
        <v>104.6865</v>
      </c>
      <c r="Q2" s="16">
        <v>80.2568181818182</v>
      </c>
    </row>
    <row r="3" spans="1:17">
      <c r="A3" s="5">
        <v>20220627</v>
      </c>
      <c r="B3" s="6">
        <v>109.57</v>
      </c>
      <c r="C3" s="6">
        <v>115.09</v>
      </c>
      <c r="D3" s="6">
        <v>110.26</v>
      </c>
      <c r="E3" s="6">
        <v>692.6</v>
      </c>
      <c r="F3" s="6">
        <v>110</v>
      </c>
      <c r="G3" s="6">
        <v>110</v>
      </c>
      <c r="H3" s="6">
        <v>120.65</v>
      </c>
      <c r="I3" s="6">
        <v>105.18</v>
      </c>
      <c r="J3" s="6">
        <v>121.59</v>
      </c>
      <c r="K3" s="6">
        <v>118.24</v>
      </c>
      <c r="L3" s="6">
        <v>90.805</v>
      </c>
      <c r="M3" s="6">
        <v>98.89</v>
      </c>
      <c r="N3" s="6">
        <v>106.38</v>
      </c>
      <c r="O3" s="6">
        <v>106.88</v>
      </c>
      <c r="P3" s="6">
        <v>97.14</v>
      </c>
      <c r="Q3" s="14">
        <v>75.88</v>
      </c>
    </row>
    <row r="4" spans="1:17">
      <c r="A4" s="5">
        <v>20220628</v>
      </c>
      <c r="B4" s="6">
        <v>111.76</v>
      </c>
      <c r="C4" s="6">
        <v>117.98</v>
      </c>
      <c r="D4" s="6">
        <v>113.05</v>
      </c>
      <c r="E4" s="6">
        <v>710.3</v>
      </c>
      <c r="F4" s="6">
        <v>113.16</v>
      </c>
      <c r="G4" s="6">
        <v>113.16</v>
      </c>
      <c r="H4" s="6">
        <v>122.94</v>
      </c>
      <c r="I4" s="6">
        <v>109.18</v>
      </c>
      <c r="J4" s="6">
        <v>125.21</v>
      </c>
      <c r="K4" s="6">
        <v>121.91</v>
      </c>
      <c r="L4" s="6">
        <v>95.65</v>
      </c>
      <c r="M4" s="6">
        <v>101.12</v>
      </c>
      <c r="N4" s="6">
        <v>109.7</v>
      </c>
      <c r="O4" s="6">
        <v>110.2</v>
      </c>
      <c r="P4" s="6">
        <v>100.81</v>
      </c>
      <c r="Q4" s="14">
        <v>75.05</v>
      </c>
    </row>
    <row r="5" spans="1:17">
      <c r="A5" s="5">
        <v>20220629</v>
      </c>
      <c r="B5" s="6">
        <v>109.78</v>
      </c>
      <c r="C5" s="6">
        <v>116.26</v>
      </c>
      <c r="D5" s="6">
        <v>110.92</v>
      </c>
      <c r="E5" s="6">
        <v>728.3</v>
      </c>
      <c r="F5" s="6">
        <v>114.19</v>
      </c>
      <c r="G5" s="6">
        <v>114.19</v>
      </c>
      <c r="H5" s="6">
        <v>124.585</v>
      </c>
      <c r="I5" s="6">
        <v>111.265</v>
      </c>
      <c r="J5" s="6">
        <v>126.34</v>
      </c>
      <c r="K5" s="6">
        <v>123.14</v>
      </c>
      <c r="L5" s="6">
        <v>99.27</v>
      </c>
      <c r="M5" s="6">
        <v>102.78</v>
      </c>
      <c r="N5" s="6">
        <v>110.62</v>
      </c>
      <c r="O5" s="6">
        <v>111.12</v>
      </c>
      <c r="P5" s="6">
        <v>101.99</v>
      </c>
      <c r="Q5" s="14">
        <v>80.17</v>
      </c>
    </row>
    <row r="6" spans="1:17">
      <c r="A6" s="5">
        <v>20220630</v>
      </c>
      <c r="B6" s="6">
        <v>105.76</v>
      </c>
      <c r="C6" s="6">
        <v>114.81</v>
      </c>
      <c r="D6" s="6">
        <v>108.79</v>
      </c>
      <c r="E6" s="6">
        <v>734.6</v>
      </c>
      <c r="F6" s="6">
        <v>113.35</v>
      </c>
      <c r="G6" s="6">
        <v>113.35</v>
      </c>
      <c r="H6" s="6">
        <v>120.485</v>
      </c>
      <c r="I6" s="6">
        <v>111.48</v>
      </c>
      <c r="J6" s="6">
        <v>125.61</v>
      </c>
      <c r="K6" s="6">
        <v>122.71</v>
      </c>
      <c r="L6" s="6">
        <v>99.865</v>
      </c>
      <c r="M6" s="6">
        <v>99.01</v>
      </c>
      <c r="N6" s="6">
        <v>109.54</v>
      </c>
      <c r="O6" s="6">
        <v>110.04</v>
      </c>
      <c r="P6" s="6">
        <v>101.26</v>
      </c>
      <c r="Q6" s="14">
        <v>79.19</v>
      </c>
    </row>
    <row r="7" spans="1:17">
      <c r="A7" s="5">
        <v>20220701</v>
      </c>
      <c r="B7" s="6">
        <v>108.43</v>
      </c>
      <c r="C7" s="6">
        <v>111.63</v>
      </c>
      <c r="D7" s="6">
        <v>106.4</v>
      </c>
      <c r="E7" s="6">
        <v>705.4</v>
      </c>
      <c r="F7" s="6">
        <v>106.31</v>
      </c>
      <c r="G7" s="6">
        <v>106.45</v>
      </c>
      <c r="H7" s="6">
        <v>121.54</v>
      </c>
      <c r="I7" s="6">
        <v>104.115</v>
      </c>
      <c r="J7" s="6">
        <v>122.2</v>
      </c>
      <c r="K7" s="6">
        <v>119.2</v>
      </c>
      <c r="L7" s="6">
        <v>90.815</v>
      </c>
      <c r="M7" s="6">
        <v>99.65</v>
      </c>
      <c r="N7" s="6">
        <v>102.65</v>
      </c>
      <c r="O7" s="6">
        <v>103.15</v>
      </c>
      <c r="P7" s="6">
        <v>97.8</v>
      </c>
      <c r="Q7" s="14">
        <v>73.35</v>
      </c>
    </row>
    <row r="8" spans="1:17">
      <c r="A8" s="5">
        <v>20220704</v>
      </c>
      <c r="B8" s="6"/>
      <c r="C8" s="6">
        <v>113.5</v>
      </c>
      <c r="D8" s="6">
        <v>108.44</v>
      </c>
      <c r="E8" s="6">
        <v>710.8</v>
      </c>
      <c r="F8" s="6">
        <v>108.37</v>
      </c>
      <c r="G8" s="6">
        <v>108.51</v>
      </c>
      <c r="H8" s="6">
        <v>124.785</v>
      </c>
      <c r="I8" s="6">
        <v>106.86</v>
      </c>
      <c r="J8" s="6">
        <v>124.33</v>
      </c>
      <c r="K8" s="6">
        <v>121.28</v>
      </c>
      <c r="L8" s="6">
        <v>94.53</v>
      </c>
      <c r="M8" s="6">
        <v>103.34</v>
      </c>
      <c r="N8" s="6">
        <v>104.08</v>
      </c>
      <c r="O8" s="6">
        <v>104.58</v>
      </c>
      <c r="P8" s="6">
        <v>99.98</v>
      </c>
      <c r="Q8" s="14">
        <v>75.18</v>
      </c>
    </row>
    <row r="9" spans="1:17">
      <c r="A9" s="5">
        <v>20220705</v>
      </c>
      <c r="B9" s="6">
        <v>99.5</v>
      </c>
      <c r="C9" s="6">
        <v>102.77</v>
      </c>
      <c r="D9" s="6">
        <v>111.01</v>
      </c>
      <c r="E9" s="6">
        <v>727</v>
      </c>
      <c r="F9" s="6">
        <v>111.01</v>
      </c>
      <c r="G9" s="6">
        <v>111.1</v>
      </c>
      <c r="H9" s="6">
        <v>113.15</v>
      </c>
      <c r="I9" s="6">
        <v>110.525</v>
      </c>
      <c r="J9" s="6">
        <v>127.52</v>
      </c>
      <c r="K9" s="6">
        <v>125.57</v>
      </c>
      <c r="L9" s="6">
        <v>98.335</v>
      </c>
      <c r="M9" s="6">
        <v>92.1</v>
      </c>
      <c r="N9" s="6">
        <v>106.59</v>
      </c>
      <c r="O9" s="6">
        <v>107.09</v>
      </c>
      <c r="P9" s="6">
        <v>103.22</v>
      </c>
      <c r="Q9" s="14">
        <v>77.99</v>
      </c>
    </row>
    <row r="10" spans="1:17">
      <c r="A10" s="5">
        <v>20220706</v>
      </c>
      <c r="B10" s="6">
        <v>98.53</v>
      </c>
      <c r="C10" s="6">
        <v>100.69</v>
      </c>
      <c r="D10" s="6">
        <v>101.82</v>
      </c>
      <c r="E10" s="6">
        <v>677.8</v>
      </c>
      <c r="F10" s="6">
        <v>101.69</v>
      </c>
      <c r="G10" s="6">
        <v>101.7</v>
      </c>
      <c r="H10" s="6">
        <v>109.945</v>
      </c>
      <c r="I10" s="6">
        <v>101.475</v>
      </c>
      <c r="J10" s="6">
        <v>117.47</v>
      </c>
      <c r="K10" s="6">
        <v>115.72</v>
      </c>
      <c r="L10" s="6">
        <v>89.535</v>
      </c>
      <c r="M10" s="6">
        <v>90.29</v>
      </c>
      <c r="N10" s="6">
        <v>97.51</v>
      </c>
      <c r="O10" s="6">
        <v>98.01</v>
      </c>
      <c r="P10" s="6">
        <v>93.87</v>
      </c>
      <c r="Q10" s="14">
        <v>68.91</v>
      </c>
    </row>
    <row r="11" spans="1:17">
      <c r="A11" s="5">
        <v>20220707</v>
      </c>
      <c r="B11" s="6">
        <v>102.73</v>
      </c>
      <c r="C11" s="6">
        <v>104.65</v>
      </c>
      <c r="D11" s="6">
        <v>98.4</v>
      </c>
      <c r="E11" s="6">
        <v>645.9</v>
      </c>
      <c r="F11" s="6">
        <v>98.2</v>
      </c>
      <c r="G11" s="6">
        <v>98.3</v>
      </c>
      <c r="H11" s="6">
        <v>114.625</v>
      </c>
      <c r="I11" s="6">
        <v>98.04</v>
      </c>
      <c r="J11" s="6">
        <v>113.62</v>
      </c>
      <c r="K11" s="6">
        <v>112.27</v>
      </c>
      <c r="L11" s="6">
        <v>86.73</v>
      </c>
      <c r="M11" s="6">
        <v>95.95</v>
      </c>
      <c r="N11" s="6">
        <v>94.05</v>
      </c>
      <c r="O11" s="6">
        <v>94.55</v>
      </c>
      <c r="P11" s="6">
        <v>91.22</v>
      </c>
      <c r="Q11" s="14">
        <v>67.45</v>
      </c>
    </row>
    <row r="12" spans="1:17">
      <c r="A12" s="5">
        <v>20220708</v>
      </c>
      <c r="B12" s="6">
        <v>104.79</v>
      </c>
      <c r="C12" s="6">
        <v>107.02</v>
      </c>
      <c r="D12" s="6">
        <v>102.12</v>
      </c>
      <c r="E12" s="6">
        <v>674.8</v>
      </c>
      <c r="F12" s="6">
        <v>104.05</v>
      </c>
      <c r="G12" s="6">
        <v>104.05</v>
      </c>
      <c r="H12" s="6">
        <v>115.615</v>
      </c>
      <c r="I12" s="6">
        <v>102.705</v>
      </c>
      <c r="J12" s="6">
        <v>119.23</v>
      </c>
      <c r="K12" s="6">
        <v>117.68</v>
      </c>
      <c r="L12" s="6">
        <v>89.96</v>
      </c>
      <c r="M12" s="6">
        <v>97.34</v>
      </c>
      <c r="N12" s="6">
        <v>99.82</v>
      </c>
      <c r="O12" s="6">
        <v>100.32</v>
      </c>
      <c r="P12" s="6">
        <v>96.68</v>
      </c>
      <c r="Q12" s="14">
        <v>75.27</v>
      </c>
    </row>
    <row r="13" spans="1:17">
      <c r="A13" s="5">
        <v>20220711</v>
      </c>
      <c r="B13" s="6">
        <v>104.09</v>
      </c>
      <c r="C13" s="6">
        <v>107.1</v>
      </c>
      <c r="D13" s="6">
        <v>102.04</v>
      </c>
      <c r="E13" s="6">
        <v>686</v>
      </c>
      <c r="F13" s="6"/>
      <c r="G13" s="6"/>
      <c r="H13" s="6">
        <v>114.605</v>
      </c>
      <c r="I13" s="6"/>
      <c r="J13" s="6"/>
      <c r="K13" s="6"/>
      <c r="L13" s="6"/>
      <c r="M13" s="6"/>
      <c r="N13" s="6"/>
      <c r="O13" s="6"/>
      <c r="P13" s="6"/>
      <c r="Q13" s="14"/>
    </row>
    <row r="14" spans="1:17">
      <c r="A14" s="5">
        <v>20220712</v>
      </c>
      <c r="B14" s="6">
        <v>95.84</v>
      </c>
      <c r="C14" s="6">
        <v>99.49</v>
      </c>
      <c r="D14" s="6">
        <v>102.33</v>
      </c>
      <c r="E14" s="6">
        <v>679.6</v>
      </c>
      <c r="F14" s="6">
        <v>102.1</v>
      </c>
      <c r="G14" s="6">
        <v>102.1</v>
      </c>
      <c r="H14" s="6">
        <v>108.905</v>
      </c>
      <c r="I14" s="6">
        <v>99.08</v>
      </c>
      <c r="J14" s="6">
        <v>113.08</v>
      </c>
      <c r="K14" s="6">
        <v>111.53</v>
      </c>
      <c r="L14" s="6">
        <v>86.22</v>
      </c>
      <c r="M14" s="6">
        <v>86.3</v>
      </c>
      <c r="N14" s="6">
        <v>98.32</v>
      </c>
      <c r="O14" s="6">
        <v>98.82</v>
      </c>
      <c r="P14" s="6">
        <v>90.48</v>
      </c>
      <c r="Q14" s="14">
        <v>74.82</v>
      </c>
    </row>
    <row r="15" spans="1:17">
      <c r="A15" s="5">
        <v>20220713</v>
      </c>
      <c r="B15" s="6">
        <v>96.3</v>
      </c>
      <c r="C15" s="6">
        <v>99.57</v>
      </c>
      <c r="D15" s="6">
        <v>98.95</v>
      </c>
      <c r="E15" s="6">
        <v>652.1</v>
      </c>
      <c r="F15" s="6">
        <v>98.45</v>
      </c>
      <c r="G15" s="6">
        <v>98.9</v>
      </c>
      <c r="H15" s="6">
        <v>108.53</v>
      </c>
      <c r="I15" s="6">
        <v>95.21</v>
      </c>
      <c r="J15" s="6">
        <v>109.47</v>
      </c>
      <c r="K15" s="6">
        <v>107.87</v>
      </c>
      <c r="L15" s="6">
        <v>81.805</v>
      </c>
      <c r="M15" s="6">
        <v>85.95</v>
      </c>
      <c r="N15" s="6">
        <v>95.25</v>
      </c>
      <c r="O15" s="6">
        <v>95.75</v>
      </c>
      <c r="P15" s="6">
        <v>86.87</v>
      </c>
      <c r="Q15" s="14">
        <v>72.75</v>
      </c>
    </row>
    <row r="16" spans="1:17">
      <c r="A16" s="5">
        <v>20220714</v>
      </c>
      <c r="B16" s="6">
        <v>95.78</v>
      </c>
      <c r="C16" s="6">
        <v>99.1</v>
      </c>
      <c r="D16" s="6">
        <v>97.77</v>
      </c>
      <c r="E16" s="6">
        <v>650.6</v>
      </c>
      <c r="F16" s="6">
        <v>97.69</v>
      </c>
      <c r="G16" s="6">
        <v>97.85</v>
      </c>
      <c r="H16" s="6">
        <v>105.93</v>
      </c>
      <c r="I16" s="6">
        <v>93.685</v>
      </c>
      <c r="J16" s="6">
        <v>107.36</v>
      </c>
      <c r="K16" s="6">
        <v>105.76</v>
      </c>
      <c r="L16" s="6">
        <v>80.33</v>
      </c>
      <c r="M16" s="6">
        <v>83.13</v>
      </c>
      <c r="N16" s="6">
        <v>93.67</v>
      </c>
      <c r="O16" s="6">
        <v>94.17</v>
      </c>
      <c r="P16" s="6">
        <v>84.81</v>
      </c>
      <c r="Q16" s="14">
        <v>71.22</v>
      </c>
    </row>
    <row r="17" spans="1:17">
      <c r="A17" s="5">
        <v>20220715</v>
      </c>
      <c r="B17" s="6">
        <v>97.59</v>
      </c>
      <c r="C17" s="6">
        <v>101.16</v>
      </c>
      <c r="D17" s="6">
        <v>98.44</v>
      </c>
      <c r="E17" s="6">
        <v>637.8</v>
      </c>
      <c r="F17" s="6">
        <v>98.32</v>
      </c>
      <c r="G17" s="6">
        <v>98.47</v>
      </c>
      <c r="H17" s="6">
        <v>111.065</v>
      </c>
      <c r="I17" s="6">
        <v>93.6</v>
      </c>
      <c r="J17" s="6">
        <v>106.56</v>
      </c>
      <c r="K17" s="6">
        <v>105.01</v>
      </c>
      <c r="L17" s="6">
        <v>80.02</v>
      </c>
      <c r="M17" s="6">
        <v>87.39</v>
      </c>
      <c r="N17" s="6">
        <v>93.92</v>
      </c>
      <c r="O17" s="6">
        <v>94.42</v>
      </c>
      <c r="P17" s="6">
        <v>84.26</v>
      </c>
      <c r="Q17" s="14">
        <v>71.92</v>
      </c>
    </row>
    <row r="18" spans="1:17">
      <c r="A18" s="5">
        <v>20220718</v>
      </c>
      <c r="B18" s="6">
        <v>102.6</v>
      </c>
      <c r="C18" s="6">
        <v>106.27</v>
      </c>
      <c r="D18" s="6">
        <v>102.68</v>
      </c>
      <c r="E18" s="6">
        <v>666.8</v>
      </c>
      <c r="F18" s="6">
        <v>102.59</v>
      </c>
      <c r="G18" s="6">
        <v>102.82</v>
      </c>
      <c r="H18" s="6">
        <v>115.08</v>
      </c>
      <c r="I18" s="6">
        <v>98.41</v>
      </c>
      <c r="J18" s="6">
        <v>111.29</v>
      </c>
      <c r="K18" s="6">
        <v>109.74</v>
      </c>
      <c r="L18" s="6">
        <v>85.2</v>
      </c>
      <c r="M18" s="6">
        <v>91.43</v>
      </c>
      <c r="N18" s="6">
        <v>98.37</v>
      </c>
      <c r="O18" s="6">
        <v>98.87</v>
      </c>
      <c r="P18" s="6">
        <v>88.99</v>
      </c>
      <c r="Q18" s="14">
        <v>76.37</v>
      </c>
    </row>
    <row r="19" spans="1:17">
      <c r="A19" s="5">
        <v>20220719</v>
      </c>
      <c r="B19" s="6">
        <v>104.22</v>
      </c>
      <c r="C19" s="6">
        <v>107.35</v>
      </c>
      <c r="D19" s="6">
        <v>104.91</v>
      </c>
      <c r="E19" s="6">
        <v>666.5</v>
      </c>
      <c r="F19" s="6">
        <v>104.805</v>
      </c>
      <c r="G19" s="6">
        <v>104.9</v>
      </c>
      <c r="H19" s="6">
        <v>113.46</v>
      </c>
      <c r="I19" s="6">
        <v>101.085</v>
      </c>
      <c r="J19" s="6">
        <v>113.69</v>
      </c>
      <c r="K19" s="6">
        <v>112.09</v>
      </c>
      <c r="L19" s="6">
        <v>88.37</v>
      </c>
      <c r="M19" s="6">
        <v>90.41</v>
      </c>
      <c r="N19" s="6">
        <v>100.52</v>
      </c>
      <c r="O19" s="6">
        <v>101.02</v>
      </c>
      <c r="P19" s="6">
        <v>91.09</v>
      </c>
      <c r="Q19" s="14">
        <v>78.97</v>
      </c>
    </row>
    <row r="20" spans="1:17">
      <c r="A20" s="5">
        <v>20220720</v>
      </c>
      <c r="B20" s="6">
        <v>102.26</v>
      </c>
      <c r="C20" s="6">
        <v>106.92</v>
      </c>
      <c r="D20" s="6">
        <v>104.63</v>
      </c>
      <c r="E20" s="6">
        <v>662.1</v>
      </c>
      <c r="F20" s="6">
        <v>104.44</v>
      </c>
      <c r="G20" s="6">
        <v>104.52</v>
      </c>
      <c r="H20" s="6">
        <v>113.735</v>
      </c>
      <c r="I20" s="6">
        <v>101.08</v>
      </c>
      <c r="J20" s="6">
        <v>113.44</v>
      </c>
      <c r="K20" s="6">
        <v>111.84</v>
      </c>
      <c r="L20" s="6">
        <v>88.57</v>
      </c>
      <c r="M20" s="6">
        <v>91.13</v>
      </c>
      <c r="N20" s="6">
        <v>100.22</v>
      </c>
      <c r="O20" s="6">
        <v>100.72</v>
      </c>
      <c r="P20" s="6">
        <v>90.64</v>
      </c>
      <c r="Q20" s="14">
        <v>79.12</v>
      </c>
    </row>
    <row r="21" spans="1:17">
      <c r="A21" s="5">
        <v>20220721</v>
      </c>
      <c r="B21" s="6">
        <v>96.35</v>
      </c>
      <c r="C21" s="6">
        <v>103.86</v>
      </c>
      <c r="D21" s="6">
        <v>102.16</v>
      </c>
      <c r="E21" s="6">
        <v>662.8</v>
      </c>
      <c r="F21" s="6">
        <v>102</v>
      </c>
      <c r="G21" s="6">
        <v>102</v>
      </c>
      <c r="H21" s="6">
        <v>110.62</v>
      </c>
      <c r="I21" s="6">
        <v>99.505</v>
      </c>
      <c r="J21" s="6">
        <v>111.74</v>
      </c>
      <c r="K21" s="6">
        <v>109.64</v>
      </c>
      <c r="L21" s="6">
        <v>86.42</v>
      </c>
      <c r="M21" s="6">
        <v>88.46</v>
      </c>
      <c r="N21" s="6">
        <v>98.83</v>
      </c>
      <c r="O21" s="6">
        <v>99.33</v>
      </c>
      <c r="P21" s="6">
        <v>88.34</v>
      </c>
      <c r="Q21" s="14">
        <v>77.73</v>
      </c>
    </row>
    <row r="22" spans="1:17">
      <c r="A22" s="5">
        <v>20220722</v>
      </c>
      <c r="B22" s="6">
        <v>94.7</v>
      </c>
      <c r="C22" s="6">
        <v>103.2</v>
      </c>
      <c r="D22" s="6">
        <v>102.86</v>
      </c>
      <c r="E22" s="6">
        <v>651.1</v>
      </c>
      <c r="F22" s="6">
        <v>102.69</v>
      </c>
      <c r="G22" s="6">
        <v>102.69</v>
      </c>
      <c r="H22" s="6">
        <v>110.22</v>
      </c>
      <c r="I22" s="6">
        <v>99.76</v>
      </c>
      <c r="J22" s="6">
        <v>112.63</v>
      </c>
      <c r="K22" s="6">
        <v>109.43</v>
      </c>
      <c r="L22" s="6">
        <v>86.035</v>
      </c>
      <c r="M22" s="6">
        <v>89.12</v>
      </c>
      <c r="N22" s="6">
        <v>99.57</v>
      </c>
      <c r="O22" s="6">
        <v>100.07</v>
      </c>
      <c r="P22" s="6">
        <v>88.23</v>
      </c>
      <c r="Q22" s="14">
        <v>78.82</v>
      </c>
    </row>
    <row r="23" spans="1:17">
      <c r="A23" s="5">
        <v>20220725</v>
      </c>
      <c r="B23" s="6">
        <v>96.7</v>
      </c>
      <c r="C23" s="6">
        <v>105.15</v>
      </c>
      <c r="D23" s="6">
        <v>101.54</v>
      </c>
      <c r="E23" s="6">
        <v>652.1</v>
      </c>
      <c r="F23" s="6">
        <v>101.21</v>
      </c>
      <c r="G23" s="6">
        <v>101.41</v>
      </c>
      <c r="H23" s="6">
        <v>108.605</v>
      </c>
      <c r="I23" s="6">
        <v>98.435</v>
      </c>
      <c r="J23" s="6">
        <v>110.65</v>
      </c>
      <c r="K23" s="6">
        <v>107.45</v>
      </c>
      <c r="L23" s="6">
        <v>85.545</v>
      </c>
      <c r="M23" s="6">
        <v>87.85</v>
      </c>
      <c r="N23" s="6">
        <v>97.96</v>
      </c>
      <c r="O23" s="6">
        <v>98.46</v>
      </c>
      <c r="P23" s="6">
        <v>85.55</v>
      </c>
      <c r="Q23" s="14">
        <v>77.71</v>
      </c>
    </row>
    <row r="24" spans="1:17">
      <c r="A24" s="5">
        <v>20220726</v>
      </c>
      <c r="B24" s="6">
        <v>94.98</v>
      </c>
      <c r="C24" s="6">
        <v>104.4</v>
      </c>
      <c r="D24" s="6">
        <v>105.17</v>
      </c>
      <c r="E24" s="6">
        <v>660.5</v>
      </c>
      <c r="F24" s="6">
        <v>104.9</v>
      </c>
      <c r="G24" s="6">
        <v>105.1</v>
      </c>
      <c r="H24" s="6">
        <v>109.53</v>
      </c>
      <c r="I24" s="6">
        <v>102.205</v>
      </c>
      <c r="J24" s="6">
        <v>114.93</v>
      </c>
      <c r="K24" s="6">
        <v>112.13</v>
      </c>
      <c r="L24" s="6">
        <v>89.29</v>
      </c>
      <c r="M24" s="6">
        <v>88.62</v>
      </c>
      <c r="N24" s="6">
        <v>102.11</v>
      </c>
      <c r="O24" s="6">
        <v>102.61</v>
      </c>
      <c r="P24" s="6">
        <v>89.78</v>
      </c>
      <c r="Q24" s="14">
        <v>82.86</v>
      </c>
    </row>
    <row r="25" spans="1:17">
      <c r="A25" s="5">
        <v>20220727</v>
      </c>
      <c r="B25" s="6">
        <v>97.26</v>
      </c>
      <c r="C25" s="6">
        <v>106.62</v>
      </c>
      <c r="D25" s="6">
        <v>103.71</v>
      </c>
      <c r="E25" s="6">
        <v>666.3</v>
      </c>
      <c r="F25" s="6">
        <v>101.4</v>
      </c>
      <c r="G25" s="6">
        <v>101.9</v>
      </c>
      <c r="H25" s="6">
        <v>110.635</v>
      </c>
      <c r="I25" s="6">
        <v>99.795</v>
      </c>
      <c r="J25" s="6">
        <v>113.8</v>
      </c>
      <c r="K25" s="6">
        <v>111.1</v>
      </c>
      <c r="L25" s="6">
        <v>86.465</v>
      </c>
      <c r="M25" s="6">
        <v>89.64</v>
      </c>
      <c r="N25" s="6">
        <v>100.96</v>
      </c>
      <c r="O25" s="6">
        <v>101.46</v>
      </c>
      <c r="P25" s="6">
        <v>88.7</v>
      </c>
      <c r="Q25" s="14">
        <v>81.76</v>
      </c>
    </row>
    <row r="26" spans="1:17">
      <c r="A26" s="5">
        <v>20220728</v>
      </c>
      <c r="B26" s="6">
        <v>96.42</v>
      </c>
      <c r="C26" s="6">
        <v>107.14</v>
      </c>
      <c r="D26" s="6">
        <v>107.1</v>
      </c>
      <c r="E26" s="6">
        <v>674.7</v>
      </c>
      <c r="F26" s="6">
        <v>105</v>
      </c>
      <c r="G26" s="6">
        <v>105.5</v>
      </c>
      <c r="H26" s="6">
        <v>111.89</v>
      </c>
      <c r="I26" s="6">
        <v>102.36</v>
      </c>
      <c r="J26" s="6">
        <v>116.34</v>
      </c>
      <c r="K26" s="6">
        <v>113.89</v>
      </c>
      <c r="L26" s="6">
        <v>88.215</v>
      </c>
      <c r="M26" s="6">
        <v>90.48</v>
      </c>
      <c r="N26" s="6">
        <v>103.85</v>
      </c>
      <c r="O26" s="6">
        <v>104.35</v>
      </c>
      <c r="P26" s="6">
        <v>91.34</v>
      </c>
      <c r="Q26" s="14">
        <v>84.65</v>
      </c>
    </row>
    <row r="27" spans="1:17">
      <c r="A27" s="5">
        <v>20220729</v>
      </c>
      <c r="B27" s="6">
        <v>98.62</v>
      </c>
      <c r="C27" s="6">
        <v>110.01</v>
      </c>
      <c r="D27" s="6">
        <v>104.96</v>
      </c>
      <c r="E27" s="6">
        <v>682.2</v>
      </c>
      <c r="F27" s="6">
        <v>107.24</v>
      </c>
      <c r="G27" s="6">
        <v>107.24</v>
      </c>
      <c r="H27" s="6">
        <v>114.135</v>
      </c>
      <c r="I27" s="6">
        <v>102.66</v>
      </c>
      <c r="J27" s="6">
        <v>115.79</v>
      </c>
      <c r="K27" s="6">
        <v>113.54</v>
      </c>
      <c r="L27" s="6">
        <v>88.455</v>
      </c>
      <c r="M27" s="6">
        <v>93.37</v>
      </c>
      <c r="N27" s="6">
        <v>103.56</v>
      </c>
      <c r="O27" s="6">
        <v>104.06</v>
      </c>
      <c r="P27" s="6">
        <v>90.99</v>
      </c>
      <c r="Q27" s="14">
        <v>84.41</v>
      </c>
    </row>
    <row r="28" spans="1:17">
      <c r="A28" s="7" t="s">
        <v>17</v>
      </c>
      <c r="B28" s="8">
        <f>AVERAGE(B23:B27)</f>
        <v>96.796</v>
      </c>
      <c r="C28" s="8">
        <f t="shared" ref="C28:Q28" si="0">AVERAGE(C23:C27)</f>
        <v>106.664</v>
      </c>
      <c r="D28" s="8">
        <f t="shared" si="0"/>
        <v>104.496</v>
      </c>
      <c r="E28" s="8">
        <f t="shared" si="0"/>
        <v>667.16</v>
      </c>
      <c r="F28" s="8">
        <f t="shared" si="0"/>
        <v>103.95</v>
      </c>
      <c r="G28" s="8">
        <f t="shared" si="0"/>
        <v>104.23</v>
      </c>
      <c r="H28" s="8">
        <f t="shared" si="0"/>
        <v>110.959</v>
      </c>
      <c r="I28" s="8">
        <f t="shared" si="0"/>
        <v>101.091</v>
      </c>
      <c r="J28" s="8">
        <f t="shared" si="0"/>
        <v>114.302</v>
      </c>
      <c r="K28" s="8">
        <f t="shared" si="0"/>
        <v>111.622</v>
      </c>
      <c r="L28" s="8">
        <f t="shared" si="0"/>
        <v>87.594</v>
      </c>
      <c r="M28" s="8">
        <f t="shared" si="0"/>
        <v>89.992</v>
      </c>
      <c r="N28" s="8">
        <f t="shared" si="0"/>
        <v>101.688</v>
      </c>
      <c r="O28" s="8">
        <f t="shared" si="0"/>
        <v>102.188</v>
      </c>
      <c r="P28" s="8">
        <f t="shared" si="0"/>
        <v>89.272</v>
      </c>
      <c r="Q28" s="8">
        <f t="shared" si="0"/>
        <v>82.278</v>
      </c>
    </row>
    <row r="29" ht="22.5" spans="1:17">
      <c r="A29" s="3" t="s">
        <v>48</v>
      </c>
      <c r="B29" s="9">
        <f>AVERAGE(B7:B27)</f>
        <v>99.3845</v>
      </c>
      <c r="C29" s="9">
        <f t="shared" ref="C29:Q29" si="1">AVERAGE(C7:C27)</f>
        <v>105.12380952381</v>
      </c>
      <c r="D29" s="9">
        <f t="shared" si="1"/>
        <v>103.211428571429</v>
      </c>
      <c r="E29" s="9">
        <f t="shared" si="1"/>
        <v>671.090476190476</v>
      </c>
      <c r="F29" s="9">
        <f t="shared" si="1"/>
        <v>103.12325</v>
      </c>
      <c r="G29" s="9">
        <f t="shared" si="1"/>
        <v>103.2755</v>
      </c>
      <c r="H29" s="9">
        <f t="shared" si="1"/>
        <v>112.695476190476</v>
      </c>
      <c r="I29" s="9">
        <f t="shared" si="1"/>
        <v>100.5295</v>
      </c>
      <c r="J29" s="9">
        <f t="shared" si="1"/>
        <v>114.757</v>
      </c>
      <c r="K29" s="9">
        <f t="shared" si="1"/>
        <v>112.637</v>
      </c>
      <c r="L29" s="9">
        <f t="shared" si="1"/>
        <v>87.54225</v>
      </c>
      <c r="M29" s="9">
        <f t="shared" si="1"/>
        <v>91.0975</v>
      </c>
      <c r="N29" s="9">
        <f t="shared" si="1"/>
        <v>99.5905</v>
      </c>
      <c r="O29" s="9">
        <f t="shared" si="1"/>
        <v>100.0905</v>
      </c>
      <c r="P29" s="9">
        <f t="shared" si="1"/>
        <v>91.142</v>
      </c>
      <c r="Q29" s="9">
        <f t="shared" si="1"/>
        <v>76.563</v>
      </c>
    </row>
    <row r="30" ht="23.25" spans="1:17">
      <c r="A30" s="10" t="s">
        <v>19</v>
      </c>
      <c r="B30" s="18">
        <f t="shared" ref="B30:Q30" si="2">(B29-B2)/B2</f>
        <v>-0.13078763571848</v>
      </c>
      <c r="C30" s="18">
        <f t="shared" si="2"/>
        <v>-0.105353507052494</v>
      </c>
      <c r="D30" s="18">
        <f t="shared" si="2"/>
        <v>-0.0860620460011878</v>
      </c>
      <c r="E30" s="18">
        <f t="shared" si="2"/>
        <v>-0.0842939013138227</v>
      </c>
      <c r="F30" s="18">
        <f t="shared" si="2"/>
        <v>-0.0893536358235793</v>
      </c>
      <c r="G30" s="18">
        <f t="shared" si="2"/>
        <v>-0.0883092442639659</v>
      </c>
      <c r="H30" s="18">
        <f t="shared" si="2"/>
        <v>-0.0889742773204405</v>
      </c>
      <c r="I30" s="18">
        <f t="shared" si="2"/>
        <v>-0.0784239047775802</v>
      </c>
      <c r="J30" s="18">
        <f t="shared" si="2"/>
        <v>-0.0933578010644182</v>
      </c>
      <c r="K30" s="18">
        <f t="shared" si="2"/>
        <v>-0.0841572668273141</v>
      </c>
      <c r="L30" s="18">
        <f t="shared" si="2"/>
        <v>-0.090738506934199</v>
      </c>
      <c r="M30" s="18">
        <f t="shared" si="2"/>
        <v>-0.129789988011597</v>
      </c>
      <c r="N30" s="18">
        <f t="shared" si="2"/>
        <v>-0.0987285067873304</v>
      </c>
      <c r="O30" s="18">
        <f t="shared" si="2"/>
        <v>-0.0982837837837839</v>
      </c>
      <c r="P30" s="18">
        <f t="shared" si="2"/>
        <v>-0.129381534390777</v>
      </c>
      <c r="Q30" s="19">
        <f t="shared" si="2"/>
        <v>-0.0460249766374988</v>
      </c>
    </row>
    <row r="31" ht="15"/>
  </sheetData>
  <pageMargins left="0.7" right="0.7" top="0.75" bottom="0.75" header="0.3" footer="0.3"/>
  <pageSetup paperSize="9" orientation="portrait" horizontalDpi="600" verticalDpi="600"/>
  <headerFooter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9"/>
  <dimension ref="A1:Q30"/>
  <sheetViews>
    <sheetView workbookViewId="0">
      <selection activeCell="B4" sqref="B4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40</v>
      </c>
      <c r="B2" s="9">
        <v>109.259523809524</v>
      </c>
      <c r="C2" s="9">
        <v>111.959545454545</v>
      </c>
      <c r="D2" s="9">
        <v>107.216363636364</v>
      </c>
      <c r="E2" s="9">
        <v>702.021052631579</v>
      </c>
      <c r="F2" s="9">
        <v>108.131842105263</v>
      </c>
      <c r="G2" s="9">
        <v>108.216578947368</v>
      </c>
      <c r="H2" s="9">
        <v>113.251666666667</v>
      </c>
      <c r="I2" s="9">
        <v>102.979210526316</v>
      </c>
      <c r="J2" s="9">
        <v>116.395789473684</v>
      </c>
      <c r="K2" s="9">
        <v>116.124736842105</v>
      </c>
      <c r="L2" s="9">
        <v>92.9705263157895</v>
      </c>
      <c r="M2" s="6">
        <v>105.672631578947</v>
      </c>
      <c r="N2" s="6">
        <v>108.805789473684</v>
      </c>
      <c r="O2" s="6">
        <v>109.305789473684</v>
      </c>
      <c r="P2" s="6">
        <v>105.772105263158</v>
      </c>
      <c r="Q2" s="16">
        <v>78.0047368421053</v>
      </c>
    </row>
    <row r="3" spans="1:17">
      <c r="A3" s="5">
        <v>20220530</v>
      </c>
      <c r="B3" s="6"/>
      <c r="C3" s="6">
        <v>121.67</v>
      </c>
      <c r="D3" s="6">
        <v>110.84</v>
      </c>
      <c r="E3" s="6">
        <v>732.7</v>
      </c>
      <c r="F3" s="6">
        <v>113.79</v>
      </c>
      <c r="G3" s="6">
        <v>113.79</v>
      </c>
      <c r="H3" s="6">
        <v>122.335</v>
      </c>
      <c r="I3" s="6">
        <v>110.36</v>
      </c>
      <c r="J3" s="6">
        <v>124.24</v>
      </c>
      <c r="K3" s="6">
        <v>122.44</v>
      </c>
      <c r="L3" s="6">
        <v>101.085</v>
      </c>
      <c r="M3" s="6">
        <v>111.48</v>
      </c>
      <c r="N3" s="6">
        <v>113.39</v>
      </c>
      <c r="O3" s="6">
        <v>113.89</v>
      </c>
      <c r="P3" s="6">
        <v>111.19</v>
      </c>
      <c r="Q3" s="14">
        <v>81.99</v>
      </c>
    </row>
    <row r="4" spans="1:17">
      <c r="A4" s="5">
        <v>20220531</v>
      </c>
      <c r="B4" s="6">
        <v>114.67</v>
      </c>
      <c r="C4" s="6">
        <v>122.84</v>
      </c>
      <c r="D4" s="6">
        <v>113.76</v>
      </c>
      <c r="E4" s="6">
        <v>745.1</v>
      </c>
      <c r="F4" s="6">
        <v>116.35</v>
      </c>
      <c r="G4" s="6">
        <v>116.35</v>
      </c>
      <c r="H4" s="6">
        <v>124.375</v>
      </c>
      <c r="I4" s="6">
        <v>112.69</v>
      </c>
      <c r="J4" s="6">
        <v>128.03</v>
      </c>
      <c r="K4" s="6">
        <v>125.88</v>
      </c>
      <c r="L4" s="6">
        <v>102.205</v>
      </c>
      <c r="M4" s="6">
        <v>112.31</v>
      </c>
      <c r="N4" s="6">
        <v>116.32</v>
      </c>
      <c r="O4" s="6">
        <v>116.82</v>
      </c>
      <c r="P4" s="6">
        <v>113.98</v>
      </c>
      <c r="Q4" s="14">
        <v>85.02</v>
      </c>
    </row>
    <row r="5" spans="1:17">
      <c r="A5" s="5">
        <v>20220601</v>
      </c>
      <c r="B5" s="6">
        <v>115.26</v>
      </c>
      <c r="C5" s="6">
        <v>116.29</v>
      </c>
      <c r="D5" s="6">
        <v>112.66</v>
      </c>
      <c r="E5" s="6">
        <v>742.4</v>
      </c>
      <c r="F5" s="6">
        <v>112.66</v>
      </c>
      <c r="G5" s="6">
        <v>112.66</v>
      </c>
      <c r="H5" s="6">
        <v>122.96</v>
      </c>
      <c r="I5" s="6">
        <v>109.79</v>
      </c>
      <c r="J5" s="6">
        <v>125.75</v>
      </c>
      <c r="K5" s="6">
        <v>123.5</v>
      </c>
      <c r="L5" s="6">
        <v>98.75</v>
      </c>
      <c r="M5" s="6">
        <v>111.38</v>
      </c>
      <c r="N5" s="6">
        <v>110.33</v>
      </c>
      <c r="O5" s="6">
        <v>110.83</v>
      </c>
      <c r="P5" s="6">
        <v>111</v>
      </c>
      <c r="Q5" s="14">
        <v>80.23</v>
      </c>
    </row>
    <row r="6" spans="1:17">
      <c r="A6" s="5">
        <v>20220602</v>
      </c>
      <c r="B6" s="6">
        <v>116.87</v>
      </c>
      <c r="C6" s="6">
        <v>117.61</v>
      </c>
      <c r="D6" s="6">
        <v>109</v>
      </c>
      <c r="E6" s="6">
        <v>730.1</v>
      </c>
      <c r="F6" s="6">
        <v>108.94</v>
      </c>
      <c r="G6" s="6">
        <v>108.94</v>
      </c>
      <c r="H6" s="6"/>
      <c r="I6" s="6">
        <v>106.33</v>
      </c>
      <c r="J6" s="6">
        <v>123.46</v>
      </c>
      <c r="K6" s="6">
        <v>120.31</v>
      </c>
      <c r="L6" s="6">
        <v>95.225</v>
      </c>
      <c r="M6" s="6"/>
      <c r="N6" s="6">
        <v>106.93</v>
      </c>
      <c r="O6" s="6">
        <v>107.43</v>
      </c>
      <c r="P6" s="6"/>
      <c r="Q6" s="14">
        <v>77.03</v>
      </c>
    </row>
    <row r="7" spans="1:17">
      <c r="A7" s="5">
        <v>20220603</v>
      </c>
      <c r="B7" s="6">
        <v>118.87</v>
      </c>
      <c r="C7" s="6">
        <v>119.72</v>
      </c>
      <c r="D7" s="6">
        <v>112.1</v>
      </c>
      <c r="E7" s="6"/>
      <c r="F7" s="6">
        <v>112.1</v>
      </c>
      <c r="G7" s="6">
        <v>112.2</v>
      </c>
      <c r="H7" s="6"/>
      <c r="I7" s="6">
        <v>109.705</v>
      </c>
      <c r="J7" s="6">
        <v>128.08</v>
      </c>
      <c r="K7" s="6">
        <v>124.03</v>
      </c>
      <c r="L7" s="6">
        <v>98.18</v>
      </c>
      <c r="M7" s="6"/>
      <c r="N7" s="6">
        <v>110.28</v>
      </c>
      <c r="O7" s="6">
        <v>110.78</v>
      </c>
      <c r="P7" s="6"/>
      <c r="Q7" s="14">
        <v>80.38</v>
      </c>
    </row>
    <row r="8" spans="1:17">
      <c r="A8" s="5">
        <v>20220606</v>
      </c>
      <c r="B8" s="6">
        <v>118.5</v>
      </c>
      <c r="C8" s="6">
        <v>119.51</v>
      </c>
      <c r="D8" s="6">
        <v>115.6</v>
      </c>
      <c r="E8" s="6">
        <v>749.6</v>
      </c>
      <c r="F8" s="6">
        <v>115.6</v>
      </c>
      <c r="G8" s="6">
        <v>115.6</v>
      </c>
      <c r="H8" s="6">
        <v>124.68</v>
      </c>
      <c r="I8" s="6">
        <v>112.895</v>
      </c>
      <c r="J8" s="6">
        <v>131.6</v>
      </c>
      <c r="K8" s="6">
        <v>127.25</v>
      </c>
      <c r="L8" s="6">
        <v>101.065</v>
      </c>
      <c r="M8" s="6">
        <v>112.27</v>
      </c>
      <c r="N8" s="6">
        <v>113.02</v>
      </c>
      <c r="O8" s="6">
        <v>113.52</v>
      </c>
      <c r="P8" s="6">
        <v>113.65</v>
      </c>
      <c r="Q8" s="14">
        <v>83.12</v>
      </c>
    </row>
    <row r="9" spans="1:17">
      <c r="A9" s="5">
        <v>20220607</v>
      </c>
      <c r="B9" s="6">
        <v>119.41</v>
      </c>
      <c r="C9" s="6">
        <v>120.57</v>
      </c>
      <c r="D9" s="6">
        <v>115.59</v>
      </c>
      <c r="E9" s="6">
        <v>747.8</v>
      </c>
      <c r="F9" s="6">
        <v>115.56</v>
      </c>
      <c r="G9" s="6">
        <v>115.56</v>
      </c>
      <c r="H9" s="6">
        <v>125.795</v>
      </c>
      <c r="I9" s="6">
        <v>112.73</v>
      </c>
      <c r="J9" s="6">
        <v>131.6</v>
      </c>
      <c r="K9" s="6">
        <v>127.15</v>
      </c>
      <c r="L9" s="6">
        <v>100.625</v>
      </c>
      <c r="M9" s="6">
        <v>113.41</v>
      </c>
      <c r="N9" s="6">
        <v>113.2</v>
      </c>
      <c r="O9" s="6">
        <v>113.7</v>
      </c>
      <c r="P9" s="6">
        <v>113.1</v>
      </c>
      <c r="Q9" s="14">
        <v>83.35</v>
      </c>
    </row>
    <row r="10" spans="1:17">
      <c r="A10" s="5">
        <v>20220608</v>
      </c>
      <c r="B10" s="6">
        <v>122.11</v>
      </c>
      <c r="C10" s="6">
        <v>123.58</v>
      </c>
      <c r="D10" s="6">
        <v>116.46</v>
      </c>
      <c r="E10" s="6">
        <v>753.1</v>
      </c>
      <c r="F10" s="6">
        <v>116.51</v>
      </c>
      <c r="G10" s="6">
        <v>116.51</v>
      </c>
      <c r="H10" s="6">
        <v>128.29</v>
      </c>
      <c r="I10" s="6">
        <v>114.3</v>
      </c>
      <c r="J10" s="6">
        <v>132.25</v>
      </c>
      <c r="K10" s="6">
        <v>128.3</v>
      </c>
      <c r="L10" s="6">
        <v>102.625</v>
      </c>
      <c r="M10" s="6">
        <v>114.99</v>
      </c>
      <c r="N10" s="6">
        <v>113.93</v>
      </c>
      <c r="O10" s="6">
        <v>114.43</v>
      </c>
      <c r="P10" s="6">
        <v>113.25</v>
      </c>
      <c r="Q10" s="14">
        <v>84.28</v>
      </c>
    </row>
    <row r="11" spans="1:17">
      <c r="A11" s="5">
        <v>20220609</v>
      </c>
      <c r="B11" s="6">
        <v>121.51</v>
      </c>
      <c r="C11" s="6">
        <v>123.07</v>
      </c>
      <c r="D11" s="6">
        <v>118.85</v>
      </c>
      <c r="E11" s="6">
        <v>770</v>
      </c>
      <c r="F11" s="6">
        <v>118.79</v>
      </c>
      <c r="G11" s="6">
        <v>118.85</v>
      </c>
      <c r="H11" s="6">
        <v>128.925</v>
      </c>
      <c r="I11" s="6">
        <v>115.09</v>
      </c>
      <c r="J11" s="6">
        <v>131.81</v>
      </c>
      <c r="K11" s="6">
        <v>127.96</v>
      </c>
      <c r="L11" s="6">
        <v>104.015</v>
      </c>
      <c r="M11" s="6">
        <v>112.82</v>
      </c>
      <c r="N11" s="6">
        <v>115.91</v>
      </c>
      <c r="O11" s="6">
        <v>116.41</v>
      </c>
      <c r="P11" s="6">
        <v>112.31</v>
      </c>
      <c r="Q11" s="14">
        <v>86.51</v>
      </c>
    </row>
    <row r="12" spans="1:17">
      <c r="A12" s="5">
        <v>20220610</v>
      </c>
      <c r="B12" s="6">
        <v>120.67</v>
      </c>
      <c r="C12" s="6">
        <v>122.01</v>
      </c>
      <c r="D12" s="6">
        <v>119.1</v>
      </c>
      <c r="E12" s="6">
        <v>770.4</v>
      </c>
      <c r="F12" s="6">
        <v>118.95</v>
      </c>
      <c r="G12" s="6">
        <v>119.05</v>
      </c>
      <c r="H12" s="6">
        <v>127.55</v>
      </c>
      <c r="I12" s="6">
        <v>114.38</v>
      </c>
      <c r="J12" s="6">
        <v>131.68</v>
      </c>
      <c r="K12" s="6">
        <v>127.93</v>
      </c>
      <c r="L12" s="6">
        <v>102.695</v>
      </c>
      <c r="M12" s="6">
        <v>109.31</v>
      </c>
      <c r="N12" s="6">
        <v>115.53</v>
      </c>
      <c r="O12" s="6">
        <v>116.03</v>
      </c>
      <c r="P12" s="6">
        <v>111.18</v>
      </c>
      <c r="Q12" s="14">
        <v>86.43</v>
      </c>
    </row>
    <row r="13" spans="1:17">
      <c r="A13" s="5">
        <v>20220613</v>
      </c>
      <c r="B13" s="6">
        <v>120.93</v>
      </c>
      <c r="C13" s="6">
        <v>122.27</v>
      </c>
      <c r="D13" s="6">
        <v>115.73</v>
      </c>
      <c r="E13" s="6">
        <v>757</v>
      </c>
      <c r="F13" s="6">
        <v>115.66</v>
      </c>
      <c r="G13" s="6">
        <v>115.76</v>
      </c>
      <c r="H13" s="6">
        <v>127.965</v>
      </c>
      <c r="I13" s="6">
        <v>110.84</v>
      </c>
      <c r="J13" s="6">
        <v>128.18</v>
      </c>
      <c r="K13" s="6">
        <v>124.53</v>
      </c>
      <c r="L13" s="6">
        <v>98.515</v>
      </c>
      <c r="M13" s="6">
        <v>108.12</v>
      </c>
      <c r="N13" s="6">
        <v>111.99</v>
      </c>
      <c r="O13" s="6">
        <v>112.49</v>
      </c>
      <c r="P13" s="6">
        <v>107.18</v>
      </c>
      <c r="Q13" s="14">
        <v>82.94</v>
      </c>
    </row>
    <row r="14" spans="1:17">
      <c r="A14" s="5">
        <v>20220614</v>
      </c>
      <c r="B14" s="6">
        <v>118.93</v>
      </c>
      <c r="C14" s="6">
        <v>121.17</v>
      </c>
      <c r="D14" s="6">
        <v>118.74</v>
      </c>
      <c r="E14" s="6">
        <v>764.9</v>
      </c>
      <c r="F14" s="6">
        <v>118.61</v>
      </c>
      <c r="G14" s="6">
        <v>118.76</v>
      </c>
      <c r="H14" s="6">
        <v>132.06</v>
      </c>
      <c r="I14" s="6">
        <v>113.92</v>
      </c>
      <c r="J14" s="6">
        <v>131.36</v>
      </c>
      <c r="K14" s="6">
        <v>127.81</v>
      </c>
      <c r="L14" s="6">
        <v>101.57</v>
      </c>
      <c r="M14" s="6">
        <v>110.94</v>
      </c>
      <c r="N14" s="6">
        <v>115.4</v>
      </c>
      <c r="O14" s="6">
        <v>115.9</v>
      </c>
      <c r="P14" s="6">
        <v>109.81</v>
      </c>
      <c r="Q14" s="14">
        <v>85.95</v>
      </c>
    </row>
    <row r="15" spans="1:17">
      <c r="A15" s="5">
        <v>20220615</v>
      </c>
      <c r="B15" s="6">
        <v>115.31</v>
      </c>
      <c r="C15" s="6">
        <v>118.51</v>
      </c>
      <c r="D15" s="6">
        <v>116.35</v>
      </c>
      <c r="E15" s="6">
        <v>773.4</v>
      </c>
      <c r="F15" s="6">
        <v>116.3</v>
      </c>
      <c r="G15" s="6">
        <v>116.4</v>
      </c>
      <c r="H15" s="6">
        <v>128.16</v>
      </c>
      <c r="I15" s="6">
        <v>111.245</v>
      </c>
      <c r="J15" s="6">
        <v>129.58</v>
      </c>
      <c r="K15" s="6">
        <v>126.03</v>
      </c>
      <c r="L15" s="6">
        <v>98.28</v>
      </c>
      <c r="M15" s="6">
        <v>107.11</v>
      </c>
      <c r="N15" s="6">
        <v>113.45</v>
      </c>
      <c r="O15" s="6">
        <v>113.95</v>
      </c>
      <c r="P15" s="6">
        <v>107.88</v>
      </c>
      <c r="Q15" s="14">
        <v>83.5</v>
      </c>
    </row>
    <row r="16" spans="1:17">
      <c r="A16" s="5">
        <v>20220616</v>
      </c>
      <c r="B16" s="6">
        <v>117.58</v>
      </c>
      <c r="C16" s="6">
        <v>119.81</v>
      </c>
      <c r="D16" s="6">
        <v>115.04</v>
      </c>
      <c r="E16" s="6">
        <v>749.3</v>
      </c>
      <c r="F16" s="6">
        <v>114.94</v>
      </c>
      <c r="G16" s="6">
        <v>114.95</v>
      </c>
      <c r="H16" s="6">
        <v>124.275</v>
      </c>
      <c r="I16" s="6">
        <v>109.08</v>
      </c>
      <c r="J16" s="6">
        <v>128.05</v>
      </c>
      <c r="K16" s="6">
        <v>124.45</v>
      </c>
      <c r="L16" s="6">
        <v>95.485</v>
      </c>
      <c r="M16" s="6">
        <v>104.33</v>
      </c>
      <c r="N16" s="6">
        <v>112.3</v>
      </c>
      <c r="O16" s="6">
        <v>112.8</v>
      </c>
      <c r="P16" s="6">
        <v>105.8</v>
      </c>
      <c r="Q16" s="14">
        <v>82.1</v>
      </c>
    </row>
    <row r="17" spans="1:17">
      <c r="A17" s="5">
        <v>20220617</v>
      </c>
      <c r="B17" s="6">
        <v>109.56</v>
      </c>
      <c r="C17" s="6">
        <v>113.12</v>
      </c>
      <c r="D17" s="6">
        <v>116.33</v>
      </c>
      <c r="E17" s="6">
        <v>730</v>
      </c>
      <c r="F17" s="6">
        <v>116.3</v>
      </c>
      <c r="G17" s="6">
        <v>116.35</v>
      </c>
      <c r="H17" s="6">
        <v>120.575</v>
      </c>
      <c r="I17" s="21">
        <v>109.995</v>
      </c>
      <c r="J17" s="21">
        <v>128.77</v>
      </c>
      <c r="K17" s="21">
        <v>125.17</v>
      </c>
      <c r="L17" s="21">
        <v>96.06</v>
      </c>
      <c r="M17" s="21">
        <v>99.75</v>
      </c>
      <c r="N17" s="21">
        <v>113.93</v>
      </c>
      <c r="O17" s="21">
        <v>114.43</v>
      </c>
      <c r="P17" s="21">
        <v>105.47</v>
      </c>
      <c r="Q17" s="14">
        <v>83.63</v>
      </c>
    </row>
    <row r="18" spans="1:17">
      <c r="A18" s="5">
        <v>20220620</v>
      </c>
      <c r="B18" s="8"/>
      <c r="C18" s="6">
        <v>114.13</v>
      </c>
      <c r="D18" s="6">
        <v>108.51</v>
      </c>
      <c r="E18" s="6">
        <v>704.6</v>
      </c>
      <c r="F18" s="6">
        <v>108.4</v>
      </c>
      <c r="G18" s="6">
        <v>108.55</v>
      </c>
      <c r="H18" s="6">
        <v>119.74</v>
      </c>
      <c r="I18" s="6">
        <v>102.785</v>
      </c>
      <c r="J18" s="6">
        <v>121.72</v>
      </c>
      <c r="K18" s="6">
        <v>117.97</v>
      </c>
      <c r="L18" s="6">
        <v>88.615</v>
      </c>
      <c r="M18" s="6">
        <v>98.81</v>
      </c>
      <c r="N18" s="6">
        <v>106.51</v>
      </c>
      <c r="O18" s="6">
        <v>107.01</v>
      </c>
      <c r="P18" s="6">
        <v>97.67</v>
      </c>
      <c r="Q18" s="14">
        <v>76.11</v>
      </c>
    </row>
    <row r="19" spans="1:17">
      <c r="A19" s="5">
        <v>20220621</v>
      </c>
      <c r="B19" s="6">
        <v>110.65</v>
      </c>
      <c r="C19" s="6">
        <v>114.65</v>
      </c>
      <c r="D19" s="6">
        <v>111.79</v>
      </c>
      <c r="E19" s="6">
        <v>701.6</v>
      </c>
      <c r="F19" s="6">
        <v>111.75</v>
      </c>
      <c r="G19" s="6">
        <v>111.75</v>
      </c>
      <c r="H19" s="6">
        <v>120.54</v>
      </c>
      <c r="I19" s="6">
        <v>105.73</v>
      </c>
      <c r="J19" s="6">
        <v>124.93</v>
      </c>
      <c r="K19" s="6">
        <v>121.03</v>
      </c>
      <c r="L19" s="6">
        <v>91.23</v>
      </c>
      <c r="M19" s="6">
        <v>99.55</v>
      </c>
      <c r="N19" s="6">
        <v>109.72</v>
      </c>
      <c r="O19" s="6">
        <v>110.22</v>
      </c>
      <c r="P19" s="6">
        <v>100.63</v>
      </c>
      <c r="Q19" s="14">
        <v>79.22</v>
      </c>
    </row>
    <row r="20" spans="1:17">
      <c r="A20" s="5">
        <v>20220622</v>
      </c>
      <c r="B20" s="6">
        <v>106.19</v>
      </c>
      <c r="C20" s="6">
        <v>111.74</v>
      </c>
      <c r="D20" s="6">
        <v>106.62</v>
      </c>
      <c r="E20" s="6">
        <v>704.5</v>
      </c>
      <c r="F20" s="6">
        <v>106.6</v>
      </c>
      <c r="G20" s="6">
        <v>106.6</v>
      </c>
      <c r="H20" s="6">
        <v>116.59</v>
      </c>
      <c r="I20" s="6">
        <v>100.715</v>
      </c>
      <c r="J20" s="6">
        <v>119.62</v>
      </c>
      <c r="K20" s="6">
        <v>115.62</v>
      </c>
      <c r="L20" s="6">
        <v>86.075</v>
      </c>
      <c r="M20" s="6">
        <v>95.59</v>
      </c>
      <c r="N20" s="6">
        <v>104.52</v>
      </c>
      <c r="O20" s="6">
        <v>105.02</v>
      </c>
      <c r="P20" s="6">
        <v>95.12</v>
      </c>
      <c r="Q20" s="14">
        <v>73.97</v>
      </c>
    </row>
    <row r="21" spans="1:17">
      <c r="A21" s="5">
        <v>20220623</v>
      </c>
      <c r="B21" s="6">
        <v>104.27</v>
      </c>
      <c r="C21" s="6">
        <v>110.05</v>
      </c>
      <c r="D21" s="6">
        <v>106.47</v>
      </c>
      <c r="E21" s="6">
        <v>687.9</v>
      </c>
      <c r="F21" s="6">
        <v>106.45</v>
      </c>
      <c r="G21" s="6">
        <v>106.45</v>
      </c>
      <c r="H21" s="6">
        <v>117.325</v>
      </c>
      <c r="I21" s="6">
        <v>101.435</v>
      </c>
      <c r="J21" s="6">
        <v>118.55</v>
      </c>
      <c r="K21" s="6">
        <v>115.15</v>
      </c>
      <c r="L21" s="6">
        <v>86.485</v>
      </c>
      <c r="M21" s="6">
        <v>95.58</v>
      </c>
      <c r="N21" s="6">
        <v>103.87</v>
      </c>
      <c r="O21" s="6">
        <v>104.37</v>
      </c>
      <c r="P21" s="6">
        <v>94.05</v>
      </c>
      <c r="Q21" s="14">
        <v>73.32</v>
      </c>
    </row>
    <row r="22" spans="1:17">
      <c r="A22" s="5">
        <v>20220624</v>
      </c>
      <c r="B22" s="6">
        <v>107.62</v>
      </c>
      <c r="C22" s="6">
        <v>113.12</v>
      </c>
      <c r="D22" s="6">
        <v>106.51</v>
      </c>
      <c r="E22" s="6">
        <v>687.8</v>
      </c>
      <c r="F22" s="6">
        <v>106.5</v>
      </c>
      <c r="G22" s="6">
        <v>106.5</v>
      </c>
      <c r="H22" s="6">
        <v>119.945</v>
      </c>
      <c r="I22" s="6">
        <v>101.785</v>
      </c>
      <c r="J22" s="6">
        <v>118.88</v>
      </c>
      <c r="K22" s="6">
        <v>115.53</v>
      </c>
      <c r="L22" s="6">
        <v>87.04</v>
      </c>
      <c r="M22" s="6">
        <v>97.93</v>
      </c>
      <c r="N22" s="6">
        <v>103.94</v>
      </c>
      <c r="O22" s="6">
        <v>104.44</v>
      </c>
      <c r="P22" s="6">
        <v>94.43</v>
      </c>
      <c r="Q22" s="14">
        <v>73.29</v>
      </c>
    </row>
    <row r="23" spans="1:17">
      <c r="A23" s="5">
        <v>20220627</v>
      </c>
      <c r="B23" s="6">
        <v>109.57</v>
      </c>
      <c r="C23" s="6">
        <v>115.09</v>
      </c>
      <c r="D23" s="6">
        <v>110.26</v>
      </c>
      <c r="E23" s="6">
        <v>692.6</v>
      </c>
      <c r="F23" s="6">
        <v>110</v>
      </c>
      <c r="G23" s="6">
        <v>110</v>
      </c>
      <c r="H23" s="6">
        <v>120.65</v>
      </c>
      <c r="I23" s="6">
        <v>105.18</v>
      </c>
      <c r="J23" s="6">
        <v>121.59</v>
      </c>
      <c r="K23" s="6">
        <v>118.24</v>
      </c>
      <c r="L23" s="6">
        <v>90.805</v>
      </c>
      <c r="M23" s="6">
        <v>98.89</v>
      </c>
      <c r="N23" s="6">
        <v>106.38</v>
      </c>
      <c r="O23" s="6">
        <v>106.88</v>
      </c>
      <c r="P23" s="6">
        <v>97.14</v>
      </c>
      <c r="Q23" s="14">
        <v>75.88</v>
      </c>
    </row>
    <row r="24" spans="1:17">
      <c r="A24" s="5">
        <v>20220628</v>
      </c>
      <c r="B24" s="6">
        <v>111.76</v>
      </c>
      <c r="C24" s="6">
        <v>117.98</v>
      </c>
      <c r="D24" s="6">
        <v>113.05</v>
      </c>
      <c r="E24" s="6">
        <v>710.3</v>
      </c>
      <c r="F24" s="6">
        <v>113.16</v>
      </c>
      <c r="G24" s="6">
        <v>113.16</v>
      </c>
      <c r="H24" s="6">
        <v>122.94</v>
      </c>
      <c r="I24" s="6">
        <v>109.18</v>
      </c>
      <c r="J24" s="6">
        <v>125.21</v>
      </c>
      <c r="K24" s="6">
        <v>121.91</v>
      </c>
      <c r="L24" s="6">
        <v>95.65</v>
      </c>
      <c r="M24" s="6">
        <v>101.12</v>
      </c>
      <c r="N24" s="6">
        <v>109.7</v>
      </c>
      <c r="O24" s="6">
        <v>110.2</v>
      </c>
      <c r="P24" s="6">
        <v>100.81</v>
      </c>
      <c r="Q24" s="14">
        <v>75.05</v>
      </c>
    </row>
    <row r="25" spans="1:17">
      <c r="A25" s="5">
        <v>20220629</v>
      </c>
      <c r="B25" s="6">
        <v>109.78</v>
      </c>
      <c r="C25" s="6">
        <v>116.26</v>
      </c>
      <c r="D25" s="6">
        <v>110.92</v>
      </c>
      <c r="E25" s="6">
        <v>728.3</v>
      </c>
      <c r="F25" s="6">
        <v>114.19</v>
      </c>
      <c r="G25" s="6">
        <v>114.19</v>
      </c>
      <c r="H25" s="6">
        <v>124.585</v>
      </c>
      <c r="I25" s="6">
        <v>111.265</v>
      </c>
      <c r="J25" s="6">
        <v>126.34</v>
      </c>
      <c r="K25" s="6">
        <v>123.14</v>
      </c>
      <c r="L25" s="6">
        <v>99.27</v>
      </c>
      <c r="M25" s="6">
        <v>102.78</v>
      </c>
      <c r="N25" s="6">
        <v>110.62</v>
      </c>
      <c r="O25" s="6">
        <v>111.12</v>
      </c>
      <c r="P25" s="6">
        <v>101.99</v>
      </c>
      <c r="Q25" s="14">
        <v>80.17</v>
      </c>
    </row>
    <row r="26" spans="1:17">
      <c r="A26" s="5">
        <v>20220630</v>
      </c>
      <c r="B26" s="6">
        <v>105.76</v>
      </c>
      <c r="C26" s="6">
        <v>114.81</v>
      </c>
      <c r="D26" s="6">
        <v>108.79</v>
      </c>
      <c r="E26" s="6">
        <v>734.6</v>
      </c>
      <c r="F26" s="6">
        <v>113.35</v>
      </c>
      <c r="G26" s="6">
        <v>113.35</v>
      </c>
      <c r="H26" s="6">
        <v>120.485</v>
      </c>
      <c r="I26" s="6">
        <v>111.48</v>
      </c>
      <c r="J26" s="6">
        <v>125.61</v>
      </c>
      <c r="K26" s="6">
        <v>122.71</v>
      </c>
      <c r="L26" s="6">
        <v>99.865</v>
      </c>
      <c r="M26" s="6">
        <v>99.01</v>
      </c>
      <c r="N26" s="6">
        <v>109.54</v>
      </c>
      <c r="O26" s="6">
        <v>110.04</v>
      </c>
      <c r="P26" s="6">
        <v>101.26</v>
      </c>
      <c r="Q26" s="14">
        <v>79.19</v>
      </c>
    </row>
    <row r="27" spans="1:17">
      <c r="A27" s="7" t="s">
        <v>17</v>
      </c>
      <c r="B27" s="8">
        <f>AVERAGE(B23:B26)</f>
        <v>109.2175</v>
      </c>
      <c r="C27" s="8">
        <f t="shared" ref="C27:Q27" si="0">AVERAGE(C23:C26)</f>
        <v>116.035</v>
      </c>
      <c r="D27" s="8">
        <f t="shared" si="0"/>
        <v>110.755</v>
      </c>
      <c r="E27" s="8">
        <f t="shared" si="0"/>
        <v>716.45</v>
      </c>
      <c r="F27" s="8">
        <f t="shared" si="0"/>
        <v>112.675</v>
      </c>
      <c r="G27" s="8">
        <f t="shared" si="0"/>
        <v>112.675</v>
      </c>
      <c r="H27" s="8">
        <f t="shared" si="0"/>
        <v>122.165</v>
      </c>
      <c r="I27" s="8">
        <f t="shared" si="0"/>
        <v>109.27625</v>
      </c>
      <c r="J27" s="8">
        <f t="shared" si="0"/>
        <v>124.6875</v>
      </c>
      <c r="K27" s="8">
        <f t="shared" si="0"/>
        <v>121.5</v>
      </c>
      <c r="L27" s="8">
        <f t="shared" si="0"/>
        <v>96.3975</v>
      </c>
      <c r="M27" s="8">
        <f t="shared" si="0"/>
        <v>100.45</v>
      </c>
      <c r="N27" s="8">
        <f t="shared" si="0"/>
        <v>109.06</v>
      </c>
      <c r="O27" s="8">
        <f t="shared" si="0"/>
        <v>109.56</v>
      </c>
      <c r="P27" s="8">
        <f t="shared" si="0"/>
        <v>100.3</v>
      </c>
      <c r="Q27" s="8">
        <f t="shared" si="0"/>
        <v>77.5725</v>
      </c>
    </row>
    <row r="28" ht="22.5" spans="1:17">
      <c r="A28" s="3" t="s">
        <v>49</v>
      </c>
      <c r="B28" s="9">
        <f>AVERAGE(B5:B26)</f>
        <v>114.338571428571</v>
      </c>
      <c r="C28" s="9">
        <f t="shared" ref="C28:Q28" si="1">AVERAGE(C5:C26)</f>
        <v>117.503181818182</v>
      </c>
      <c r="D28" s="9">
        <f t="shared" si="1"/>
        <v>112.930454545455</v>
      </c>
      <c r="E28" s="9">
        <f t="shared" si="1"/>
        <v>732.866666666667</v>
      </c>
      <c r="F28" s="9">
        <f t="shared" si="1"/>
        <v>113.241818181818</v>
      </c>
      <c r="G28" s="9">
        <f t="shared" si="1"/>
        <v>113.279090909091</v>
      </c>
      <c r="H28" s="9">
        <f t="shared" si="1"/>
        <v>123.70175</v>
      </c>
      <c r="I28" s="9">
        <f t="shared" si="1"/>
        <v>109.084318181818</v>
      </c>
      <c r="J28" s="9">
        <f t="shared" si="1"/>
        <v>126.573636363636</v>
      </c>
      <c r="K28" s="9">
        <f t="shared" si="1"/>
        <v>122.987272727273</v>
      </c>
      <c r="L28" s="9">
        <f t="shared" si="1"/>
        <v>96.2784090909091</v>
      </c>
      <c r="M28" s="9">
        <f t="shared" si="1"/>
        <v>104.6845</v>
      </c>
      <c r="N28" s="9">
        <f t="shared" si="1"/>
        <v>110.5</v>
      </c>
      <c r="O28" s="9">
        <f t="shared" si="1"/>
        <v>111</v>
      </c>
      <c r="P28" s="9">
        <f t="shared" si="1"/>
        <v>104.6865</v>
      </c>
      <c r="Q28" s="9">
        <f t="shared" si="1"/>
        <v>80.2568181818182</v>
      </c>
    </row>
    <row r="29" ht="23.25" spans="1:17">
      <c r="A29" s="10" t="s">
        <v>19</v>
      </c>
      <c r="B29" s="11">
        <f t="shared" ref="B29:Q29" si="2">(B28-B2)/B2</f>
        <v>0.0464860859901066</v>
      </c>
      <c r="C29" s="11">
        <f t="shared" si="2"/>
        <v>0.0495146379983031</v>
      </c>
      <c r="D29" s="11">
        <f t="shared" si="2"/>
        <v>0.0532949515847307</v>
      </c>
      <c r="E29" s="11">
        <f t="shared" si="2"/>
        <v>0.0439383034446908</v>
      </c>
      <c r="F29" s="11">
        <f t="shared" si="2"/>
        <v>0.0472569039523122</v>
      </c>
      <c r="G29" s="11">
        <f t="shared" si="2"/>
        <v>0.0467812973849842</v>
      </c>
      <c r="H29" s="11">
        <f t="shared" si="2"/>
        <v>0.0922731085635237</v>
      </c>
      <c r="I29" s="11">
        <f t="shared" si="2"/>
        <v>0.0592848558879003</v>
      </c>
      <c r="J29" s="11">
        <f t="shared" si="2"/>
        <v>0.0874417101853439</v>
      </c>
      <c r="K29" s="11">
        <f t="shared" si="2"/>
        <v>0.0590962448810406</v>
      </c>
      <c r="L29" s="11">
        <f t="shared" si="2"/>
        <v>0.0355799080225045</v>
      </c>
      <c r="M29" s="18">
        <f t="shared" si="2"/>
        <v>-0.0093508750958771</v>
      </c>
      <c r="N29" s="11">
        <f t="shared" si="2"/>
        <v>0.0155709593626498</v>
      </c>
      <c r="O29" s="11">
        <f t="shared" si="2"/>
        <v>0.0154997327632281</v>
      </c>
      <c r="P29" s="18">
        <f t="shared" si="2"/>
        <v>-0.0102636253713294</v>
      </c>
      <c r="Q29" s="17">
        <f t="shared" si="2"/>
        <v>0.0288710843839073</v>
      </c>
    </row>
    <row r="30" ht="15"/>
  </sheetData>
  <pageMargins left="0.75" right="0.75" top="1" bottom="1" header="0.5" footer="0.5"/>
  <pageSetup paperSize="9" orientation="portrait" horizontalDpi="600" verticalDpi="600"/>
  <headerFooter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0"/>
  <dimension ref="A1:Q28"/>
  <sheetViews>
    <sheetView workbookViewId="0">
      <selection activeCell="B3" sqref="B3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50</v>
      </c>
      <c r="B2" s="9">
        <v>101.6405</v>
      </c>
      <c r="C2" s="9">
        <v>105.917</v>
      </c>
      <c r="D2" s="9">
        <v>102.402</v>
      </c>
      <c r="E2" s="9">
        <v>659.347368421053</v>
      </c>
      <c r="F2" s="9">
        <v>102.78625</v>
      </c>
      <c r="G2" s="9">
        <v>102.7865</v>
      </c>
      <c r="H2" s="9">
        <v>104.388947368421</v>
      </c>
      <c r="I2" s="9">
        <v>97.5445</v>
      </c>
      <c r="J2" s="9">
        <v>109.5745</v>
      </c>
      <c r="K2" s="9">
        <v>110.7275</v>
      </c>
      <c r="L2" s="9">
        <v>88.1565</v>
      </c>
      <c r="M2" s="6">
        <v>100.66</v>
      </c>
      <c r="N2" s="6">
        <v>105.6445</v>
      </c>
      <c r="O2" s="6">
        <v>106.1445</v>
      </c>
      <c r="P2" s="6">
        <v>100.858947368421</v>
      </c>
      <c r="Q2" s="16">
        <v>76.621</v>
      </c>
    </row>
    <row r="3" spans="1:17">
      <c r="A3" s="5">
        <v>20220502</v>
      </c>
      <c r="B3" s="6">
        <v>105.17</v>
      </c>
      <c r="C3" s="6">
        <v>107.58</v>
      </c>
      <c r="D3" s="6">
        <v>100.88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14"/>
    </row>
    <row r="4" spans="1:17">
      <c r="A4" s="5">
        <v>20220503</v>
      </c>
      <c r="B4" s="6">
        <v>102.41</v>
      </c>
      <c r="C4" s="6">
        <v>104.97</v>
      </c>
      <c r="D4" s="6">
        <v>101.68</v>
      </c>
      <c r="E4" s="6"/>
      <c r="F4" s="6"/>
      <c r="G4" s="6"/>
      <c r="H4" s="6">
        <v>106.125</v>
      </c>
      <c r="I4" s="6"/>
      <c r="J4" s="6"/>
      <c r="K4" s="6"/>
      <c r="L4" s="6"/>
      <c r="M4" s="6"/>
      <c r="N4" s="6"/>
      <c r="O4" s="6"/>
      <c r="P4" s="6"/>
      <c r="Q4" s="14"/>
    </row>
    <row r="5" spans="1:17">
      <c r="A5" s="5">
        <v>20220504</v>
      </c>
      <c r="B5" s="6">
        <v>107.81</v>
      </c>
      <c r="C5" s="6">
        <v>110.14</v>
      </c>
      <c r="D5" s="6">
        <v>104.5</v>
      </c>
      <c r="E5" s="6"/>
      <c r="F5" s="6">
        <v>104.66</v>
      </c>
      <c r="G5" s="6">
        <v>104.66</v>
      </c>
      <c r="H5" s="6">
        <v>109.02</v>
      </c>
      <c r="I5" s="6">
        <v>99.11</v>
      </c>
      <c r="J5" s="6">
        <v>113.75</v>
      </c>
      <c r="K5" s="6">
        <v>114.15</v>
      </c>
      <c r="L5" s="6">
        <v>87.785</v>
      </c>
      <c r="M5" s="6">
        <v>104.59</v>
      </c>
      <c r="N5" s="6">
        <v>105.94</v>
      </c>
      <c r="O5" s="6">
        <v>106.44</v>
      </c>
      <c r="P5" s="6">
        <v>104.65</v>
      </c>
      <c r="Q5" s="14">
        <v>78.49</v>
      </c>
    </row>
    <row r="6" spans="1:17">
      <c r="A6" s="5">
        <v>20220505</v>
      </c>
      <c r="B6" s="6">
        <v>108.26</v>
      </c>
      <c r="C6" s="6">
        <v>110.9</v>
      </c>
      <c r="D6" s="6">
        <v>106.63</v>
      </c>
      <c r="E6" s="6">
        <v>692.6</v>
      </c>
      <c r="F6" s="6">
        <v>106.605</v>
      </c>
      <c r="G6" s="6">
        <v>106.605</v>
      </c>
      <c r="H6" s="6">
        <v>112.41</v>
      </c>
      <c r="I6" s="6">
        <v>100.61</v>
      </c>
      <c r="J6" s="6">
        <v>115.59</v>
      </c>
      <c r="K6" s="6">
        <v>115.99</v>
      </c>
      <c r="L6" s="6">
        <v>88.93</v>
      </c>
      <c r="M6" s="6">
        <v>107.02</v>
      </c>
      <c r="N6" s="6">
        <v>107.59</v>
      </c>
      <c r="O6" s="6">
        <v>108.09</v>
      </c>
      <c r="P6" s="6">
        <v>106.19</v>
      </c>
      <c r="Q6" s="14">
        <v>79.52</v>
      </c>
    </row>
    <row r="7" spans="1:17">
      <c r="A7" s="5">
        <v>20220506</v>
      </c>
      <c r="B7" s="6">
        <v>109.77</v>
      </c>
      <c r="C7" s="6">
        <v>112.39</v>
      </c>
      <c r="D7" s="6">
        <v>107.87</v>
      </c>
      <c r="E7" s="6">
        <v>697.2</v>
      </c>
      <c r="F7" s="6">
        <v>107.8</v>
      </c>
      <c r="G7" s="6">
        <v>107.8</v>
      </c>
      <c r="H7" s="6">
        <v>114.325</v>
      </c>
      <c r="I7" s="6">
        <v>102.195</v>
      </c>
      <c r="J7" s="6">
        <v>117.05</v>
      </c>
      <c r="K7" s="6">
        <v>117.35</v>
      </c>
      <c r="L7" s="6">
        <v>90.975</v>
      </c>
      <c r="M7" s="6">
        <v>109.24</v>
      </c>
      <c r="N7" s="6">
        <v>108.48</v>
      </c>
      <c r="O7" s="6">
        <v>108.98</v>
      </c>
      <c r="P7" s="6">
        <v>107.55</v>
      </c>
      <c r="Q7" s="14">
        <v>79.73</v>
      </c>
    </row>
    <row r="8" spans="1:17">
      <c r="A8" s="5">
        <v>20220509</v>
      </c>
      <c r="B8" s="6">
        <v>103.09</v>
      </c>
      <c r="C8" s="6">
        <v>105.94</v>
      </c>
      <c r="D8" s="6">
        <v>107.89</v>
      </c>
      <c r="E8" s="6">
        <v>704.8</v>
      </c>
      <c r="F8" s="6">
        <v>107.95</v>
      </c>
      <c r="G8" s="6">
        <v>107.95</v>
      </c>
      <c r="H8" s="6">
        <v>106.74</v>
      </c>
      <c r="I8" s="6">
        <v>102.08</v>
      </c>
      <c r="J8" s="6">
        <v>115.85</v>
      </c>
      <c r="K8" s="6">
        <v>116.05</v>
      </c>
      <c r="L8" s="6">
        <v>91.34</v>
      </c>
      <c r="M8" s="6">
        <v>100.63</v>
      </c>
      <c r="N8" s="6">
        <v>108.99</v>
      </c>
      <c r="O8" s="6">
        <v>109.49</v>
      </c>
      <c r="P8" s="6">
        <v>106.35</v>
      </c>
      <c r="Q8" s="14">
        <v>79.64</v>
      </c>
    </row>
    <row r="9" spans="1:17">
      <c r="A9" s="5">
        <v>20220510</v>
      </c>
      <c r="B9" s="6">
        <v>99.76</v>
      </c>
      <c r="C9" s="6">
        <v>102.46</v>
      </c>
      <c r="D9" s="6">
        <v>103.13</v>
      </c>
      <c r="E9" s="6">
        <v>672.9</v>
      </c>
      <c r="F9" s="6">
        <v>103.1</v>
      </c>
      <c r="G9" s="6">
        <v>103.1</v>
      </c>
      <c r="H9" s="6">
        <v>103.865</v>
      </c>
      <c r="I9" s="6">
        <v>97.04</v>
      </c>
      <c r="J9" s="6">
        <v>110.61</v>
      </c>
      <c r="K9" s="6">
        <v>110.91</v>
      </c>
      <c r="L9" s="6">
        <v>86.415</v>
      </c>
      <c r="M9" s="6">
        <v>98.23</v>
      </c>
      <c r="N9" s="6">
        <v>104.34</v>
      </c>
      <c r="O9" s="6">
        <v>104.84</v>
      </c>
      <c r="P9" s="6">
        <v>101.11</v>
      </c>
      <c r="Q9" s="14">
        <v>74.29</v>
      </c>
    </row>
    <row r="10" spans="1:17">
      <c r="A10" s="5">
        <v>20220511</v>
      </c>
      <c r="B10" s="6">
        <v>105.71</v>
      </c>
      <c r="C10" s="6">
        <v>107.51</v>
      </c>
      <c r="D10" s="6">
        <v>102.93</v>
      </c>
      <c r="E10" s="6">
        <v>655.7</v>
      </c>
      <c r="F10" s="6">
        <v>102.89</v>
      </c>
      <c r="G10" s="6">
        <v>103</v>
      </c>
      <c r="H10" s="6">
        <v>107.48</v>
      </c>
      <c r="I10" s="6">
        <v>95.94</v>
      </c>
      <c r="J10" s="6">
        <v>109.33</v>
      </c>
      <c r="K10" s="6">
        <v>109.63</v>
      </c>
      <c r="L10" s="6">
        <v>84.67</v>
      </c>
      <c r="M10" s="6">
        <v>101.37</v>
      </c>
      <c r="N10" s="6">
        <v>103.83</v>
      </c>
      <c r="O10" s="6">
        <v>104.33</v>
      </c>
      <c r="P10" s="6">
        <v>99.48</v>
      </c>
      <c r="Q10" s="14">
        <v>73.08</v>
      </c>
    </row>
    <row r="11" spans="1:17">
      <c r="A11" s="5">
        <v>20220512</v>
      </c>
      <c r="B11" s="6">
        <v>106.13</v>
      </c>
      <c r="C11" s="6">
        <v>107.45</v>
      </c>
      <c r="D11" s="6">
        <v>102.94</v>
      </c>
      <c r="E11" s="6">
        <v>679.1</v>
      </c>
      <c r="F11" s="6">
        <v>102.84</v>
      </c>
      <c r="G11" s="6">
        <v>102.9</v>
      </c>
      <c r="H11" s="6">
        <v>108.695</v>
      </c>
      <c r="I11" s="6">
        <v>96.41</v>
      </c>
      <c r="J11" s="6">
        <v>109.42</v>
      </c>
      <c r="K11" s="6">
        <v>109.82</v>
      </c>
      <c r="L11" s="6">
        <v>85.96</v>
      </c>
      <c r="M11" s="6">
        <v>102.08</v>
      </c>
      <c r="N11" s="6">
        <v>103.84</v>
      </c>
      <c r="O11" s="6">
        <v>104.34</v>
      </c>
      <c r="P11" s="6">
        <v>99.57</v>
      </c>
      <c r="Q11" s="14">
        <v>72.69</v>
      </c>
    </row>
    <row r="12" spans="1:17">
      <c r="A12" s="5">
        <v>20220513</v>
      </c>
      <c r="B12" s="6">
        <v>110.49</v>
      </c>
      <c r="C12" s="6">
        <v>111.55</v>
      </c>
      <c r="D12" s="6">
        <v>105.15</v>
      </c>
      <c r="E12" s="6">
        <v>690.2</v>
      </c>
      <c r="F12" s="6">
        <v>106.64</v>
      </c>
      <c r="G12" s="6">
        <v>106.7</v>
      </c>
      <c r="H12" s="6">
        <v>111.35</v>
      </c>
      <c r="I12" s="6">
        <v>100.115</v>
      </c>
      <c r="J12" s="6">
        <v>113.28</v>
      </c>
      <c r="K12" s="6">
        <v>113.48</v>
      </c>
      <c r="L12" s="6">
        <v>89.615</v>
      </c>
      <c r="M12" s="6">
        <v>104.44</v>
      </c>
      <c r="N12" s="6">
        <v>107.95</v>
      </c>
      <c r="O12" s="6">
        <v>108.45</v>
      </c>
      <c r="P12" s="6">
        <v>103.43</v>
      </c>
      <c r="Q12" s="14">
        <v>76.45</v>
      </c>
    </row>
    <row r="13" spans="1:17">
      <c r="A13" s="5">
        <v>20220516</v>
      </c>
      <c r="B13" s="6">
        <v>114.2</v>
      </c>
      <c r="C13" s="6">
        <v>114.24</v>
      </c>
      <c r="D13" s="6">
        <v>106.52</v>
      </c>
      <c r="E13" s="6">
        <v>704.7</v>
      </c>
      <c r="F13" s="6"/>
      <c r="G13" s="6"/>
      <c r="H13" s="6">
        <v>113.135</v>
      </c>
      <c r="I13" s="6"/>
      <c r="J13" s="6"/>
      <c r="K13" s="6"/>
      <c r="L13" s="6"/>
      <c r="M13" s="6"/>
      <c r="N13" s="6"/>
      <c r="O13" s="6"/>
      <c r="P13" s="6"/>
      <c r="Q13" s="14"/>
    </row>
    <row r="14" spans="1:17">
      <c r="A14" s="5">
        <v>20220517</v>
      </c>
      <c r="B14" s="6">
        <v>112.4</v>
      </c>
      <c r="C14" s="6">
        <v>111.93</v>
      </c>
      <c r="D14" s="6">
        <v>111.03</v>
      </c>
      <c r="E14" s="6">
        <v>719.3</v>
      </c>
      <c r="F14" s="6">
        <v>110.805</v>
      </c>
      <c r="G14" s="6">
        <v>110.85</v>
      </c>
      <c r="H14" s="6">
        <v>116.51</v>
      </c>
      <c r="I14" s="6">
        <v>105.16</v>
      </c>
      <c r="J14" s="6">
        <v>117.47</v>
      </c>
      <c r="K14" s="6">
        <v>117.67</v>
      </c>
      <c r="L14" s="6">
        <v>96.125</v>
      </c>
      <c r="M14" s="6">
        <v>108.29</v>
      </c>
      <c r="N14" s="6">
        <v>111.49</v>
      </c>
      <c r="O14" s="6">
        <v>111.99</v>
      </c>
      <c r="P14" s="6">
        <v>107.57</v>
      </c>
      <c r="Q14" s="14">
        <v>79.79</v>
      </c>
    </row>
    <row r="15" spans="1:17">
      <c r="A15" s="5">
        <v>20220518</v>
      </c>
      <c r="B15" s="6">
        <v>109.59</v>
      </c>
      <c r="C15" s="6">
        <v>109.11</v>
      </c>
      <c r="D15" s="6">
        <v>110.16</v>
      </c>
      <c r="E15" s="6">
        <v>723</v>
      </c>
      <c r="F15" s="6">
        <v>109.71</v>
      </c>
      <c r="G15" s="6">
        <v>110.1</v>
      </c>
      <c r="H15" s="6">
        <v>111.325</v>
      </c>
      <c r="I15" s="6">
        <v>104.205</v>
      </c>
      <c r="J15" s="6">
        <v>117.03</v>
      </c>
      <c r="K15" s="6">
        <v>117.23</v>
      </c>
      <c r="L15" s="6">
        <v>94.94</v>
      </c>
      <c r="M15" s="6">
        <v>103.24</v>
      </c>
      <c r="N15" s="6">
        <v>110.47</v>
      </c>
      <c r="O15" s="6">
        <v>110.97</v>
      </c>
      <c r="P15" s="6">
        <v>107.03</v>
      </c>
      <c r="Q15" s="14">
        <v>78.52</v>
      </c>
    </row>
    <row r="16" spans="1:17">
      <c r="A16" s="5">
        <v>20220519</v>
      </c>
      <c r="B16" s="6">
        <v>112.21</v>
      </c>
      <c r="C16" s="6">
        <v>112.04</v>
      </c>
      <c r="D16" s="6">
        <v>105.78</v>
      </c>
      <c r="E16" s="6">
        <v>694.6</v>
      </c>
      <c r="F16" s="6">
        <v>105.58</v>
      </c>
      <c r="G16" s="6">
        <v>106</v>
      </c>
      <c r="H16" s="6">
        <v>111.35</v>
      </c>
      <c r="I16" s="6">
        <v>100.73</v>
      </c>
      <c r="J16" s="6">
        <v>112.53</v>
      </c>
      <c r="K16" s="6">
        <v>112.73</v>
      </c>
      <c r="L16" s="6">
        <v>91.91</v>
      </c>
      <c r="M16" s="6">
        <v>103.38</v>
      </c>
      <c r="N16" s="6">
        <v>106.38</v>
      </c>
      <c r="O16" s="6">
        <v>106.88</v>
      </c>
      <c r="P16" s="6">
        <v>102.48</v>
      </c>
      <c r="Q16" s="14">
        <v>74.28</v>
      </c>
    </row>
    <row r="17" spans="1:17">
      <c r="A17" s="5">
        <v>20220520</v>
      </c>
      <c r="B17" s="6">
        <v>113.23</v>
      </c>
      <c r="C17" s="6">
        <v>112.55</v>
      </c>
      <c r="D17" s="6">
        <v>108.51</v>
      </c>
      <c r="E17" s="6">
        <v>690.4</v>
      </c>
      <c r="F17" s="6">
        <v>108.04</v>
      </c>
      <c r="G17" s="6">
        <v>108.3</v>
      </c>
      <c r="H17" s="6">
        <v>113.815</v>
      </c>
      <c r="I17" s="6">
        <v>102.52</v>
      </c>
      <c r="J17" s="6">
        <v>114.75</v>
      </c>
      <c r="K17" s="6">
        <v>114.95</v>
      </c>
      <c r="L17" s="6">
        <v>93.505</v>
      </c>
      <c r="M17" s="6">
        <v>105.29</v>
      </c>
      <c r="N17" s="6">
        <v>108.49</v>
      </c>
      <c r="O17" s="6">
        <v>108.99</v>
      </c>
      <c r="P17" s="6">
        <v>104.6</v>
      </c>
      <c r="Q17" s="14">
        <v>76.54</v>
      </c>
    </row>
    <row r="18" spans="1:17">
      <c r="A18" s="5">
        <v>20220523</v>
      </c>
      <c r="B18" s="6">
        <v>110.29</v>
      </c>
      <c r="C18" s="6">
        <v>113.42</v>
      </c>
      <c r="D18" s="6">
        <v>109.96</v>
      </c>
      <c r="E18" s="6">
        <v>700.9</v>
      </c>
      <c r="F18" s="6">
        <v>109.39</v>
      </c>
      <c r="G18" s="6">
        <v>109.65</v>
      </c>
      <c r="H18" s="6">
        <v>115.525</v>
      </c>
      <c r="I18" s="6">
        <v>104.555</v>
      </c>
      <c r="J18" s="6">
        <v>116.82</v>
      </c>
      <c r="K18" s="6">
        <v>116.77</v>
      </c>
      <c r="L18" s="6">
        <v>95.395</v>
      </c>
      <c r="M18" s="6">
        <v>106.09</v>
      </c>
      <c r="N18" s="6">
        <v>109.59</v>
      </c>
      <c r="O18" s="6">
        <v>110.09</v>
      </c>
      <c r="P18" s="6">
        <v>106.32</v>
      </c>
      <c r="Q18" s="14">
        <v>77.84</v>
      </c>
    </row>
    <row r="19" spans="1:17">
      <c r="A19" s="5">
        <v>20220524</v>
      </c>
      <c r="B19" s="6">
        <v>109.77</v>
      </c>
      <c r="C19" s="6">
        <v>113.56</v>
      </c>
      <c r="D19" s="6">
        <v>107.97</v>
      </c>
      <c r="E19" s="6">
        <v>693.9</v>
      </c>
      <c r="F19" s="6">
        <v>107.89</v>
      </c>
      <c r="G19" s="6">
        <v>107.89</v>
      </c>
      <c r="H19" s="6">
        <v>115.815</v>
      </c>
      <c r="I19" s="6">
        <v>103.98</v>
      </c>
      <c r="J19" s="6">
        <v>116.76</v>
      </c>
      <c r="K19" s="6">
        <v>116.26</v>
      </c>
      <c r="L19" s="6">
        <v>94.725</v>
      </c>
      <c r="M19" s="6">
        <v>106.04</v>
      </c>
      <c r="N19" s="6">
        <v>108.39</v>
      </c>
      <c r="O19" s="6">
        <v>108.89</v>
      </c>
      <c r="P19" s="6">
        <v>105.66</v>
      </c>
      <c r="Q19" s="14">
        <v>76.89</v>
      </c>
    </row>
    <row r="20" spans="1:17">
      <c r="A20" s="5">
        <v>20220525</v>
      </c>
      <c r="B20" s="6">
        <v>110.33</v>
      </c>
      <c r="C20" s="6">
        <v>114.03</v>
      </c>
      <c r="D20" s="6">
        <v>109.25</v>
      </c>
      <c r="E20" s="6">
        <v>701.6</v>
      </c>
      <c r="F20" s="6">
        <v>109.2</v>
      </c>
      <c r="G20" s="6">
        <v>109.2</v>
      </c>
      <c r="H20" s="6">
        <v>115.74</v>
      </c>
      <c r="I20" s="6">
        <v>105.345</v>
      </c>
      <c r="J20" s="6">
        <v>118.38</v>
      </c>
      <c r="K20" s="6">
        <v>117.43</v>
      </c>
      <c r="L20" s="6">
        <v>95.96</v>
      </c>
      <c r="M20" s="6">
        <v>105.84</v>
      </c>
      <c r="N20" s="6">
        <v>109.88</v>
      </c>
      <c r="O20" s="6">
        <v>110.38</v>
      </c>
      <c r="P20" s="6">
        <v>106.68</v>
      </c>
      <c r="Q20" s="14">
        <v>78.38</v>
      </c>
    </row>
    <row r="21" spans="1:17">
      <c r="A21" s="5">
        <v>20220526</v>
      </c>
      <c r="B21" s="6">
        <v>114.09</v>
      </c>
      <c r="C21" s="6">
        <v>117.4</v>
      </c>
      <c r="D21" s="6">
        <v>109.11</v>
      </c>
      <c r="E21" s="6">
        <v>708.4</v>
      </c>
      <c r="F21" s="6">
        <v>108.91</v>
      </c>
      <c r="G21" s="6">
        <v>108.91</v>
      </c>
      <c r="H21" s="6">
        <v>118.685</v>
      </c>
      <c r="I21" s="6">
        <v>105.09</v>
      </c>
      <c r="J21" s="6">
        <v>118.74</v>
      </c>
      <c r="K21" s="6">
        <v>117.34</v>
      </c>
      <c r="L21" s="6">
        <v>95.775</v>
      </c>
      <c r="M21" s="6">
        <v>108.9</v>
      </c>
      <c r="N21" s="6">
        <v>109.74</v>
      </c>
      <c r="O21" s="6">
        <v>110.24</v>
      </c>
      <c r="P21" s="6">
        <v>106.49</v>
      </c>
      <c r="Q21" s="14">
        <v>78.24</v>
      </c>
    </row>
    <row r="22" spans="1:17">
      <c r="A22" s="5">
        <v>20220527</v>
      </c>
      <c r="B22" s="6">
        <v>115.07</v>
      </c>
      <c r="C22" s="6">
        <v>119.43</v>
      </c>
      <c r="D22" s="6">
        <v>112.27</v>
      </c>
      <c r="E22" s="6">
        <v>731.3</v>
      </c>
      <c r="F22" s="6">
        <v>112.355</v>
      </c>
      <c r="G22" s="6">
        <v>112.36</v>
      </c>
      <c r="H22" s="6">
        <v>119.665</v>
      </c>
      <c r="I22" s="6">
        <v>108.47</v>
      </c>
      <c r="J22" s="6">
        <v>121.89</v>
      </c>
      <c r="K22" s="6">
        <v>120.29</v>
      </c>
      <c r="L22" s="6">
        <v>99.125</v>
      </c>
      <c r="M22" s="6">
        <v>109.32</v>
      </c>
      <c r="N22" s="6">
        <v>112.21</v>
      </c>
      <c r="O22" s="6">
        <v>112.71</v>
      </c>
      <c r="P22" s="6">
        <v>109.34</v>
      </c>
      <c r="Q22" s="14">
        <v>80.71</v>
      </c>
    </row>
    <row r="23" spans="1:17">
      <c r="A23" s="5">
        <v>20220530</v>
      </c>
      <c r="B23" s="6"/>
      <c r="C23" s="6">
        <v>121.67</v>
      </c>
      <c r="D23" s="6">
        <v>110.84</v>
      </c>
      <c r="E23" s="6">
        <v>732.7</v>
      </c>
      <c r="F23" s="6">
        <v>113.79</v>
      </c>
      <c r="G23" s="6">
        <v>113.79</v>
      </c>
      <c r="H23" s="6">
        <v>122.335</v>
      </c>
      <c r="I23" s="6">
        <v>110.36</v>
      </c>
      <c r="J23" s="6">
        <v>124.24</v>
      </c>
      <c r="K23" s="6">
        <v>122.44</v>
      </c>
      <c r="L23" s="6">
        <v>101.085</v>
      </c>
      <c r="M23" s="6">
        <v>111.48</v>
      </c>
      <c r="N23" s="6">
        <v>113.39</v>
      </c>
      <c r="O23" s="6">
        <v>113.89</v>
      </c>
      <c r="P23" s="6">
        <v>111.19</v>
      </c>
      <c r="Q23" s="14">
        <v>81.99</v>
      </c>
    </row>
    <row r="24" spans="1:17">
      <c r="A24" s="5">
        <v>20220531</v>
      </c>
      <c r="B24" s="6">
        <v>114.67</v>
      </c>
      <c r="C24" s="6">
        <v>122.84</v>
      </c>
      <c r="D24" s="6">
        <v>113.76</v>
      </c>
      <c r="E24" s="6">
        <v>745.1</v>
      </c>
      <c r="F24" s="6">
        <v>116.35</v>
      </c>
      <c r="G24" s="6">
        <v>116.35</v>
      </c>
      <c r="H24" s="6">
        <v>124.375</v>
      </c>
      <c r="I24" s="6">
        <v>112.69</v>
      </c>
      <c r="J24" s="6">
        <v>128.03</v>
      </c>
      <c r="K24" s="6">
        <v>125.88</v>
      </c>
      <c r="L24" s="6">
        <v>102.205</v>
      </c>
      <c r="M24" s="6">
        <v>112.31</v>
      </c>
      <c r="N24" s="6">
        <v>116.32</v>
      </c>
      <c r="O24" s="6">
        <v>116.82</v>
      </c>
      <c r="P24" s="6">
        <v>113.98</v>
      </c>
      <c r="Q24" s="6">
        <v>85.02</v>
      </c>
    </row>
    <row r="25" spans="1:17">
      <c r="A25" s="7" t="s">
        <v>17</v>
      </c>
      <c r="B25" s="8">
        <f>AVERAGE(B23:B24)</f>
        <v>114.67</v>
      </c>
      <c r="C25" s="8">
        <f>AVERAGE(C23:C24)</f>
        <v>122.255</v>
      </c>
      <c r="D25" s="8">
        <f t="shared" ref="D25:Q25" si="0">AVERAGE(D23:D24)</f>
        <v>112.3</v>
      </c>
      <c r="E25" s="8">
        <f t="shared" si="0"/>
        <v>738.9</v>
      </c>
      <c r="F25" s="8">
        <f t="shared" si="0"/>
        <v>115.07</v>
      </c>
      <c r="G25" s="8">
        <f t="shared" si="0"/>
        <v>115.07</v>
      </c>
      <c r="H25" s="8">
        <f t="shared" si="0"/>
        <v>123.355</v>
      </c>
      <c r="I25" s="8">
        <f t="shared" si="0"/>
        <v>111.525</v>
      </c>
      <c r="J25" s="8">
        <f t="shared" si="0"/>
        <v>126.135</v>
      </c>
      <c r="K25" s="8">
        <f t="shared" si="0"/>
        <v>124.16</v>
      </c>
      <c r="L25" s="8">
        <f t="shared" si="0"/>
        <v>101.645</v>
      </c>
      <c r="M25" s="8">
        <f t="shared" si="0"/>
        <v>111.895</v>
      </c>
      <c r="N25" s="8">
        <f t="shared" si="0"/>
        <v>114.855</v>
      </c>
      <c r="O25" s="8">
        <f t="shared" si="0"/>
        <v>115.355</v>
      </c>
      <c r="P25" s="8">
        <f t="shared" si="0"/>
        <v>112.585</v>
      </c>
      <c r="Q25" s="8">
        <f t="shared" si="0"/>
        <v>83.505</v>
      </c>
    </row>
    <row r="26" ht="22.5" spans="1:17">
      <c r="A26" s="3" t="s">
        <v>40</v>
      </c>
      <c r="B26" s="9">
        <f>AVERAGE(B3:B24)</f>
        <v>109.259523809524</v>
      </c>
      <c r="C26" s="9">
        <f>AVERAGE(C3:C24)</f>
        <v>111.959545454545</v>
      </c>
      <c r="D26" s="9">
        <f t="shared" ref="D26:Q26" si="1">AVERAGE(D3:D24)</f>
        <v>107.216363636364</v>
      </c>
      <c r="E26" s="9">
        <f t="shared" si="1"/>
        <v>702.021052631579</v>
      </c>
      <c r="F26" s="9">
        <f t="shared" si="1"/>
        <v>108.131842105263</v>
      </c>
      <c r="G26" s="9">
        <f t="shared" si="1"/>
        <v>108.216578947368</v>
      </c>
      <c r="H26" s="9">
        <f t="shared" si="1"/>
        <v>113.251666666667</v>
      </c>
      <c r="I26" s="9">
        <f t="shared" si="1"/>
        <v>102.979210526316</v>
      </c>
      <c r="J26" s="9">
        <f t="shared" si="1"/>
        <v>116.395789473684</v>
      </c>
      <c r="K26" s="9">
        <f t="shared" si="1"/>
        <v>116.124736842105</v>
      </c>
      <c r="L26" s="9">
        <f t="shared" si="1"/>
        <v>92.9705263157895</v>
      </c>
      <c r="M26" s="9">
        <f t="shared" si="1"/>
        <v>105.672631578947</v>
      </c>
      <c r="N26" s="9">
        <f t="shared" si="1"/>
        <v>108.805789473684</v>
      </c>
      <c r="O26" s="9">
        <f t="shared" si="1"/>
        <v>109.305789473684</v>
      </c>
      <c r="P26" s="9">
        <f t="shared" si="1"/>
        <v>105.772105263158</v>
      </c>
      <c r="Q26" s="9">
        <f t="shared" si="1"/>
        <v>78.0047368421053</v>
      </c>
    </row>
    <row r="27" ht="23.25" spans="1:17">
      <c r="A27" s="10" t="s">
        <v>19</v>
      </c>
      <c r="B27" s="11">
        <f t="shared" ref="B27:Q27" si="2">(B26-B2)/B2</f>
        <v>0.0749605109136992</v>
      </c>
      <c r="C27" s="11">
        <f t="shared" si="2"/>
        <v>0.057049816880628</v>
      </c>
      <c r="D27" s="11">
        <f t="shared" si="2"/>
        <v>0.0470143516373085</v>
      </c>
      <c r="E27" s="11">
        <f t="shared" si="2"/>
        <v>0.0647210958204286</v>
      </c>
      <c r="F27" s="11">
        <f t="shared" si="2"/>
        <v>0.0520068793760174</v>
      </c>
      <c r="G27" s="11">
        <f t="shared" si="2"/>
        <v>0.0528287172670383</v>
      </c>
      <c r="H27" s="11">
        <f t="shared" si="2"/>
        <v>0.0849009356035204</v>
      </c>
      <c r="I27" s="11">
        <f t="shared" si="2"/>
        <v>0.0557151917977516</v>
      </c>
      <c r="J27" s="11">
        <f t="shared" si="2"/>
        <v>0.0622525265794891</v>
      </c>
      <c r="K27" s="11">
        <f t="shared" si="2"/>
        <v>0.0487434182303879</v>
      </c>
      <c r="L27" s="11">
        <f t="shared" si="2"/>
        <v>0.0546077296148266</v>
      </c>
      <c r="M27" s="11">
        <f t="shared" si="2"/>
        <v>0.0497976512909532</v>
      </c>
      <c r="N27" s="11">
        <f t="shared" si="2"/>
        <v>0.0299238433963362</v>
      </c>
      <c r="O27" s="11">
        <f t="shared" si="2"/>
        <v>0.0297828853467135</v>
      </c>
      <c r="P27" s="11">
        <f t="shared" si="2"/>
        <v>0.0487131585538951</v>
      </c>
      <c r="Q27" s="17">
        <f t="shared" si="2"/>
        <v>0.0180594985983642</v>
      </c>
    </row>
    <row r="28" ht="15"/>
  </sheetData>
  <pageMargins left="0.75" right="0.75" top="1" bottom="1" header="0.5" footer="0.5"/>
  <pageSetup paperSize="9" orientation="portrait" horizontalDpi="600" verticalDpi="600"/>
  <headerFooter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1"/>
  <dimension ref="A1:Q31"/>
  <sheetViews>
    <sheetView workbookViewId="0">
      <selection activeCell="O18" sqref="O18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21</v>
      </c>
      <c r="B2" s="9">
        <v>108.262173913043</v>
      </c>
      <c r="C2" s="9">
        <v>112.463043478261</v>
      </c>
      <c r="D2" s="9">
        <v>110.959130434783</v>
      </c>
      <c r="E2" s="9">
        <v>690.947826086957</v>
      </c>
      <c r="F2" s="9">
        <v>110.893695652174</v>
      </c>
      <c r="G2" s="9">
        <v>111.029130434783</v>
      </c>
      <c r="H2" s="9">
        <v>118.809565217391</v>
      </c>
      <c r="I2" s="9">
        <v>99.6308695652174</v>
      </c>
      <c r="J2" s="9">
        <v>118.001304347826</v>
      </c>
      <c r="K2" s="9">
        <v>117.027826086957</v>
      </c>
      <c r="L2" s="9">
        <v>93.4569565217391</v>
      </c>
      <c r="M2" s="6">
        <v>109.02652173913</v>
      </c>
      <c r="N2" s="6">
        <v>109.68347826087</v>
      </c>
      <c r="O2" s="6">
        <v>110.18347826087</v>
      </c>
      <c r="P2" s="6">
        <v>109.196086956522</v>
      </c>
      <c r="Q2" s="16">
        <v>91.5521739130435</v>
      </c>
    </row>
    <row r="3" spans="1:17">
      <c r="A3" s="5">
        <v>20220328</v>
      </c>
      <c r="B3" s="6">
        <v>105.96</v>
      </c>
      <c r="C3" s="6">
        <v>112.48</v>
      </c>
      <c r="D3" s="6">
        <v>110.7</v>
      </c>
      <c r="E3" s="6">
        <v>713.7</v>
      </c>
      <c r="F3" s="6">
        <v>110.65</v>
      </c>
      <c r="G3" s="6">
        <v>110.85</v>
      </c>
      <c r="H3" s="6">
        <v>117.56</v>
      </c>
      <c r="I3" s="6">
        <v>98.12</v>
      </c>
      <c r="J3" s="6">
        <v>120.28</v>
      </c>
      <c r="K3" s="6">
        <v>118.03</v>
      </c>
      <c r="L3" s="6">
        <v>90.875</v>
      </c>
      <c r="M3" s="6">
        <v>107.6</v>
      </c>
      <c r="N3" s="6">
        <v>111.99</v>
      </c>
      <c r="O3" s="6">
        <v>112.49</v>
      </c>
      <c r="P3" s="6">
        <v>110.03</v>
      </c>
      <c r="Q3" s="14">
        <v>85.19</v>
      </c>
    </row>
    <row r="4" spans="1:17">
      <c r="A4" s="5">
        <v>20220329</v>
      </c>
      <c r="B4" s="6">
        <v>104.24</v>
      </c>
      <c r="C4" s="6">
        <v>110.23</v>
      </c>
      <c r="D4" s="6">
        <v>108.24</v>
      </c>
      <c r="E4" s="6">
        <v>685.4</v>
      </c>
      <c r="F4" s="6">
        <v>108.59</v>
      </c>
      <c r="G4" s="6">
        <v>108.79</v>
      </c>
      <c r="H4" s="6">
        <v>112.37</v>
      </c>
      <c r="I4" s="6">
        <v>98.635</v>
      </c>
      <c r="J4" s="6">
        <v>117.72</v>
      </c>
      <c r="K4" s="6">
        <v>115.62</v>
      </c>
      <c r="L4" s="6">
        <v>91.73</v>
      </c>
      <c r="M4" s="6">
        <v>104.16</v>
      </c>
      <c r="N4" s="6">
        <v>109.55</v>
      </c>
      <c r="O4" s="6">
        <v>110.05</v>
      </c>
      <c r="P4" s="6">
        <v>107.57</v>
      </c>
      <c r="Q4" s="14">
        <v>81.75</v>
      </c>
    </row>
    <row r="5" spans="1:17">
      <c r="A5" s="5">
        <v>20220330</v>
      </c>
      <c r="B5" s="6">
        <v>107.82</v>
      </c>
      <c r="C5" s="6">
        <v>113.45</v>
      </c>
      <c r="D5" s="6">
        <v>106.88</v>
      </c>
      <c r="E5" s="6">
        <v>662.8</v>
      </c>
      <c r="F5" s="6">
        <v>108.35</v>
      </c>
      <c r="G5" s="6">
        <v>108.55</v>
      </c>
      <c r="H5" s="6">
        <v>115.935</v>
      </c>
      <c r="I5" s="6">
        <v>100.73</v>
      </c>
      <c r="J5" s="6">
        <v>116.37</v>
      </c>
      <c r="K5" s="6">
        <v>114.67</v>
      </c>
      <c r="L5" s="6">
        <v>93.675</v>
      </c>
      <c r="M5" s="6">
        <v>108.34</v>
      </c>
      <c r="N5" s="6">
        <v>109.18</v>
      </c>
      <c r="O5" s="6">
        <v>109.68</v>
      </c>
      <c r="P5" s="6">
        <v>106.62</v>
      </c>
      <c r="Q5" s="14">
        <v>80.96</v>
      </c>
    </row>
    <row r="6" spans="1:17">
      <c r="A6" s="5">
        <v>20220331</v>
      </c>
      <c r="B6" s="6">
        <v>100.28</v>
      </c>
      <c r="C6" s="6">
        <v>107.91</v>
      </c>
      <c r="D6" s="6">
        <v>105.34</v>
      </c>
      <c r="E6" s="6">
        <v>686.5</v>
      </c>
      <c r="F6" s="6">
        <v>107.66</v>
      </c>
      <c r="G6" s="6">
        <v>107.86</v>
      </c>
      <c r="H6" s="6">
        <v>110.085</v>
      </c>
      <c r="I6" s="6">
        <v>102.295</v>
      </c>
      <c r="J6" s="6">
        <v>114.47</v>
      </c>
      <c r="K6" s="6">
        <v>113.07</v>
      </c>
      <c r="L6" s="6">
        <v>95.225</v>
      </c>
      <c r="M6" s="6">
        <v>104.37</v>
      </c>
      <c r="N6" s="6">
        <v>107.96</v>
      </c>
      <c r="O6" s="6">
        <v>108.46</v>
      </c>
      <c r="P6" s="6">
        <v>105.02</v>
      </c>
      <c r="Q6" s="14">
        <v>79.36</v>
      </c>
    </row>
    <row r="7" spans="1:17">
      <c r="A7" s="5">
        <v>20220401</v>
      </c>
      <c r="B7" s="6">
        <v>99.27</v>
      </c>
      <c r="C7" s="6">
        <v>104.39</v>
      </c>
      <c r="D7" s="6">
        <v>101.18</v>
      </c>
      <c r="E7" s="6">
        <v>667.3</v>
      </c>
      <c r="F7" s="6">
        <v>101.6</v>
      </c>
      <c r="G7" s="6">
        <v>101.6</v>
      </c>
      <c r="H7" s="6">
        <v>107.425</v>
      </c>
      <c r="I7" s="6">
        <v>98.435</v>
      </c>
      <c r="J7" s="6">
        <v>109.94</v>
      </c>
      <c r="K7" s="6">
        <v>108.74</v>
      </c>
      <c r="L7" s="6">
        <v>91.575</v>
      </c>
      <c r="M7" s="6">
        <v>101.99</v>
      </c>
      <c r="N7" s="6">
        <v>103.07</v>
      </c>
      <c r="O7" s="6">
        <v>103.57</v>
      </c>
      <c r="P7" s="6">
        <v>100.49</v>
      </c>
      <c r="Q7" s="14">
        <v>73.57</v>
      </c>
    </row>
    <row r="8" spans="1:17">
      <c r="A8" s="5">
        <v>20220404</v>
      </c>
      <c r="B8" s="6">
        <v>103.28</v>
      </c>
      <c r="C8" s="6">
        <v>107.53</v>
      </c>
      <c r="D8" s="6">
        <v>102.03</v>
      </c>
      <c r="E8" s="6"/>
      <c r="F8" s="6">
        <v>101.79</v>
      </c>
      <c r="G8" s="6">
        <v>101.79</v>
      </c>
      <c r="H8" s="6">
        <v>108.725</v>
      </c>
      <c r="I8" s="6">
        <v>98.61</v>
      </c>
      <c r="J8" s="6">
        <v>110.33</v>
      </c>
      <c r="K8" s="6">
        <v>111.13</v>
      </c>
      <c r="L8" s="6">
        <v>91.125</v>
      </c>
      <c r="M8" s="6">
        <v>104.23</v>
      </c>
      <c r="N8" s="6">
        <v>105.1</v>
      </c>
      <c r="O8" s="6">
        <v>105.6</v>
      </c>
      <c r="P8" s="6">
        <v>101.78</v>
      </c>
      <c r="Q8" s="14">
        <v>75.7</v>
      </c>
    </row>
    <row r="9" spans="1:17">
      <c r="A9" s="5">
        <v>20220405</v>
      </c>
      <c r="B9" s="6">
        <v>101.96</v>
      </c>
      <c r="C9" s="6">
        <v>106.64</v>
      </c>
      <c r="D9" s="6">
        <v>105.24</v>
      </c>
      <c r="E9" s="6"/>
      <c r="F9" s="6">
        <v>105.3</v>
      </c>
      <c r="G9" s="6">
        <v>105.3</v>
      </c>
      <c r="H9" s="6">
        <v>107.675</v>
      </c>
      <c r="I9" s="6">
        <v>101.5</v>
      </c>
      <c r="J9" s="6">
        <v>112.82</v>
      </c>
      <c r="K9" s="6">
        <v>114.12</v>
      </c>
      <c r="L9" s="6">
        <v>94.09</v>
      </c>
      <c r="M9" s="6">
        <v>102.89</v>
      </c>
      <c r="N9" s="6">
        <v>107.76</v>
      </c>
      <c r="O9" s="6">
        <v>108.26</v>
      </c>
      <c r="P9" s="6">
        <v>104.27</v>
      </c>
      <c r="Q9" s="14">
        <v>78.26</v>
      </c>
    </row>
    <row r="10" spans="1:17">
      <c r="A10" s="5">
        <v>20220406</v>
      </c>
      <c r="B10" s="6">
        <v>96.23</v>
      </c>
      <c r="C10" s="6">
        <v>101.07</v>
      </c>
      <c r="D10" s="6">
        <v>103.7</v>
      </c>
      <c r="E10" s="6">
        <v>673.9</v>
      </c>
      <c r="F10" s="6">
        <v>103.75</v>
      </c>
      <c r="G10" s="6">
        <v>103.75</v>
      </c>
      <c r="H10" s="6">
        <v>104.515</v>
      </c>
      <c r="I10" s="6">
        <v>99.95</v>
      </c>
      <c r="J10" s="6">
        <v>111.78</v>
      </c>
      <c r="K10" s="6">
        <v>113.28</v>
      </c>
      <c r="L10" s="6">
        <v>92.055</v>
      </c>
      <c r="M10" s="6">
        <v>99.92</v>
      </c>
      <c r="N10" s="6">
        <v>106.77</v>
      </c>
      <c r="O10" s="6">
        <v>107.27</v>
      </c>
      <c r="P10" s="6">
        <v>103.28</v>
      </c>
      <c r="Q10" s="14">
        <v>77.17</v>
      </c>
    </row>
    <row r="11" spans="1:17">
      <c r="A11" s="5">
        <v>20220407</v>
      </c>
      <c r="B11" s="6">
        <v>96.03</v>
      </c>
      <c r="C11" s="6">
        <v>100.58</v>
      </c>
      <c r="D11" s="6">
        <v>97.15</v>
      </c>
      <c r="E11" s="6">
        <v>646.8</v>
      </c>
      <c r="F11" s="6">
        <v>97.37</v>
      </c>
      <c r="G11" s="6">
        <v>97.37</v>
      </c>
      <c r="H11" s="6">
        <v>98.275</v>
      </c>
      <c r="I11" s="6">
        <v>93.83</v>
      </c>
      <c r="J11" s="6">
        <v>105.53</v>
      </c>
      <c r="K11" s="6">
        <v>107.23</v>
      </c>
      <c r="L11" s="6">
        <v>85.985</v>
      </c>
      <c r="M11" s="6">
        <v>94.9</v>
      </c>
      <c r="N11" s="6">
        <v>101.48</v>
      </c>
      <c r="O11" s="6">
        <v>101.98</v>
      </c>
      <c r="P11" s="6">
        <v>97.03</v>
      </c>
      <c r="Q11" s="14">
        <v>71.43</v>
      </c>
    </row>
    <row r="12" spans="1:17">
      <c r="A12" s="5">
        <v>20220408</v>
      </c>
      <c r="B12" s="6">
        <v>98.26</v>
      </c>
      <c r="C12" s="6">
        <v>102.78</v>
      </c>
      <c r="D12" s="6">
        <v>97.82</v>
      </c>
      <c r="E12" s="6">
        <v>617.5</v>
      </c>
      <c r="F12" s="6">
        <v>98.11</v>
      </c>
      <c r="G12" s="6">
        <v>98.11</v>
      </c>
      <c r="H12" s="6">
        <v>100.43</v>
      </c>
      <c r="I12" s="6">
        <v>94.29</v>
      </c>
      <c r="J12" s="6">
        <v>105.39</v>
      </c>
      <c r="K12" s="6">
        <v>107.09</v>
      </c>
      <c r="L12" s="6">
        <v>86.545</v>
      </c>
      <c r="M12" s="6">
        <v>96.33</v>
      </c>
      <c r="N12" s="6">
        <v>102.37</v>
      </c>
      <c r="O12" s="6">
        <v>102.87</v>
      </c>
      <c r="P12" s="6">
        <v>96.89</v>
      </c>
      <c r="Q12" s="14">
        <v>72.32</v>
      </c>
    </row>
    <row r="13" spans="1:17">
      <c r="A13" s="5">
        <v>20220411</v>
      </c>
      <c r="B13" s="6">
        <v>94.29</v>
      </c>
      <c r="C13" s="6">
        <v>98.48</v>
      </c>
      <c r="D13" s="6">
        <v>97.42</v>
      </c>
      <c r="E13" s="6">
        <v>626.2</v>
      </c>
      <c r="F13" s="6">
        <v>97.6</v>
      </c>
      <c r="G13" s="6">
        <v>97.6</v>
      </c>
      <c r="H13" s="6">
        <v>98.495</v>
      </c>
      <c r="I13" s="6">
        <v>93.135</v>
      </c>
      <c r="J13" s="6">
        <v>103.84</v>
      </c>
      <c r="K13" s="6">
        <v>105.74</v>
      </c>
      <c r="L13" s="6">
        <v>85.26</v>
      </c>
      <c r="M13" s="6">
        <v>94.27</v>
      </c>
      <c r="N13" s="6">
        <v>101.77</v>
      </c>
      <c r="O13" s="6">
        <v>102.27</v>
      </c>
      <c r="P13" s="6">
        <v>95.54</v>
      </c>
      <c r="Q13" s="14">
        <v>71.67</v>
      </c>
    </row>
    <row r="14" spans="1:17">
      <c r="A14" s="5">
        <v>20220412</v>
      </c>
      <c r="B14" s="6">
        <v>100.6</v>
      </c>
      <c r="C14" s="6">
        <v>104.64</v>
      </c>
      <c r="D14" s="6">
        <v>97.77</v>
      </c>
      <c r="E14" s="6">
        <v>617.4</v>
      </c>
      <c r="F14" s="6">
        <v>98.1</v>
      </c>
      <c r="G14" s="6">
        <v>98.1</v>
      </c>
      <c r="H14" s="6">
        <v>105.325</v>
      </c>
      <c r="I14" s="6">
        <v>93.315</v>
      </c>
      <c r="J14" s="6">
        <v>104.15</v>
      </c>
      <c r="K14" s="6">
        <v>106</v>
      </c>
      <c r="L14" s="6">
        <v>84.78</v>
      </c>
      <c r="M14" s="6">
        <v>100.1</v>
      </c>
      <c r="N14" s="6">
        <v>102.83</v>
      </c>
      <c r="O14" s="6">
        <v>103.33</v>
      </c>
      <c r="P14" s="6">
        <v>96.05</v>
      </c>
      <c r="Q14" s="14">
        <v>73.18</v>
      </c>
    </row>
    <row r="15" spans="1:17">
      <c r="A15" s="5">
        <v>20220413</v>
      </c>
      <c r="B15" s="6">
        <v>104.25</v>
      </c>
      <c r="C15" s="6">
        <v>108.78</v>
      </c>
      <c r="D15" s="6">
        <v>102.35</v>
      </c>
      <c r="E15" s="6">
        <v>648.9</v>
      </c>
      <c r="F15" s="6">
        <v>102.41</v>
      </c>
      <c r="G15" s="6">
        <v>102.41</v>
      </c>
      <c r="H15" s="6">
        <v>106.635</v>
      </c>
      <c r="I15" s="6">
        <v>97.095</v>
      </c>
      <c r="J15" s="6">
        <v>108.04</v>
      </c>
      <c r="K15" s="6">
        <v>109.79</v>
      </c>
      <c r="L15" s="6">
        <v>88.545</v>
      </c>
      <c r="M15" s="6">
        <v>102</v>
      </c>
      <c r="N15" s="6">
        <v>106.64</v>
      </c>
      <c r="O15" s="6">
        <v>107.14</v>
      </c>
      <c r="P15" s="6">
        <v>99.99</v>
      </c>
      <c r="Q15" s="14">
        <v>76.94</v>
      </c>
    </row>
    <row r="16" spans="1:17">
      <c r="A16" s="5">
        <v>20220414</v>
      </c>
      <c r="B16" s="6">
        <v>106.95</v>
      </c>
      <c r="C16" s="6">
        <v>111.7</v>
      </c>
      <c r="D16" s="6">
        <v>105.36</v>
      </c>
      <c r="E16" s="6">
        <v>664.5</v>
      </c>
      <c r="F16" s="6">
        <v>105.85</v>
      </c>
      <c r="G16" s="6">
        <v>105.85</v>
      </c>
      <c r="H16" s="6">
        <v>106.57</v>
      </c>
      <c r="I16" s="6">
        <v>99.905</v>
      </c>
      <c r="J16" s="6">
        <v>111.55</v>
      </c>
      <c r="K16" s="6">
        <v>113.1</v>
      </c>
      <c r="L16" s="6">
        <v>90.53</v>
      </c>
      <c r="M16" s="6">
        <v>102.35</v>
      </c>
      <c r="N16" s="6">
        <v>109.25</v>
      </c>
      <c r="O16" s="6">
        <v>109.75</v>
      </c>
      <c r="P16" s="6">
        <v>103.4</v>
      </c>
      <c r="Q16" s="14">
        <v>79.7</v>
      </c>
    </row>
    <row r="17" spans="1:17">
      <c r="A17" s="5">
        <v>20220415</v>
      </c>
      <c r="B17" s="6"/>
      <c r="C17" s="6"/>
      <c r="D17" s="6"/>
      <c r="E17" s="6">
        <v>676.2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14"/>
    </row>
    <row r="18" spans="1:17">
      <c r="A18" s="5">
        <v>20220418</v>
      </c>
      <c r="B18" s="6">
        <v>108.21</v>
      </c>
      <c r="C18" s="6">
        <v>113.16</v>
      </c>
      <c r="D18" s="6">
        <v>108.08</v>
      </c>
      <c r="E18" s="6">
        <v>695</v>
      </c>
      <c r="F18" s="6">
        <v>108.09</v>
      </c>
      <c r="G18" s="6">
        <v>108.09</v>
      </c>
      <c r="H18" s="6"/>
      <c r="I18" s="6">
        <v>102.325</v>
      </c>
      <c r="J18" s="6">
        <v>113.87</v>
      </c>
      <c r="K18" s="6">
        <v>115.42</v>
      </c>
      <c r="L18" s="6">
        <v>93.025</v>
      </c>
      <c r="M18" s="6"/>
      <c r="N18" s="6">
        <v>111.08</v>
      </c>
      <c r="O18" s="6">
        <v>111.58</v>
      </c>
      <c r="P18" s="6"/>
      <c r="Q18" s="14">
        <v>81.78</v>
      </c>
    </row>
    <row r="19" spans="1:17">
      <c r="A19" s="5">
        <v>20220419</v>
      </c>
      <c r="B19" s="6">
        <v>102.56</v>
      </c>
      <c r="C19" s="6">
        <v>107.25</v>
      </c>
      <c r="D19" s="6">
        <v>108.57</v>
      </c>
      <c r="E19" s="6">
        <v>702.1</v>
      </c>
      <c r="F19" s="6">
        <v>108.65</v>
      </c>
      <c r="G19" s="6">
        <v>108.65</v>
      </c>
      <c r="H19" s="6">
        <v>105.65</v>
      </c>
      <c r="I19" s="6">
        <v>102.875</v>
      </c>
      <c r="J19" s="6">
        <v>114.7</v>
      </c>
      <c r="K19" s="6">
        <v>116.25</v>
      </c>
      <c r="L19" s="6">
        <v>93.22</v>
      </c>
      <c r="M19" s="6">
        <v>102.63</v>
      </c>
      <c r="N19" s="6">
        <v>110.82</v>
      </c>
      <c r="O19" s="6">
        <v>111.32</v>
      </c>
      <c r="P19" s="6">
        <v>106.75</v>
      </c>
      <c r="Q19" s="14">
        <v>82.94</v>
      </c>
    </row>
    <row r="20" spans="1:17">
      <c r="A20" s="5">
        <v>20220420</v>
      </c>
      <c r="B20" s="6">
        <v>102.75</v>
      </c>
      <c r="C20" s="6">
        <v>106.8</v>
      </c>
      <c r="D20" s="6">
        <v>105.54</v>
      </c>
      <c r="E20" s="6">
        <v>675</v>
      </c>
      <c r="F20" s="6">
        <v>105.51</v>
      </c>
      <c r="G20" s="6">
        <v>105.51</v>
      </c>
      <c r="H20" s="6">
        <v>105.51</v>
      </c>
      <c r="I20" s="6">
        <v>99.1</v>
      </c>
      <c r="J20" s="6">
        <v>111.77</v>
      </c>
      <c r="K20" s="6">
        <v>113.27</v>
      </c>
      <c r="L20" s="6">
        <v>88.57</v>
      </c>
      <c r="M20" s="6">
        <v>102.76</v>
      </c>
      <c r="N20" s="6">
        <v>107.42</v>
      </c>
      <c r="O20" s="6">
        <v>107.92</v>
      </c>
      <c r="P20" s="6">
        <v>103.77</v>
      </c>
      <c r="Q20" s="14">
        <v>79.62</v>
      </c>
    </row>
    <row r="21" spans="1:17">
      <c r="A21" s="5">
        <v>20220421</v>
      </c>
      <c r="B21" s="6">
        <v>103.79</v>
      </c>
      <c r="C21" s="6">
        <v>108.33</v>
      </c>
      <c r="D21" s="6">
        <v>106.12</v>
      </c>
      <c r="E21" s="6">
        <v>674.1</v>
      </c>
      <c r="F21" s="6">
        <v>106.11</v>
      </c>
      <c r="G21" s="6">
        <v>106.11</v>
      </c>
      <c r="H21" s="6">
        <v>106.23</v>
      </c>
      <c r="I21" s="6">
        <v>100.225</v>
      </c>
      <c r="J21" s="6">
        <v>112.3</v>
      </c>
      <c r="K21" s="6">
        <v>113.4</v>
      </c>
      <c r="L21" s="6">
        <v>89.515</v>
      </c>
      <c r="M21" s="6">
        <v>104.06</v>
      </c>
      <c r="N21" s="6">
        <v>107.9</v>
      </c>
      <c r="O21" s="6">
        <v>108.4</v>
      </c>
      <c r="P21" s="6">
        <v>103.95</v>
      </c>
      <c r="Q21" s="14">
        <v>80.3</v>
      </c>
    </row>
    <row r="22" spans="1:17">
      <c r="A22" s="5">
        <v>20220422</v>
      </c>
      <c r="B22" s="6">
        <v>102.07</v>
      </c>
      <c r="C22" s="6">
        <v>106.65</v>
      </c>
      <c r="D22" s="6">
        <v>104.97</v>
      </c>
      <c r="E22" s="6">
        <v>680.9</v>
      </c>
      <c r="F22" s="6">
        <v>105.05</v>
      </c>
      <c r="G22" s="6">
        <v>105.05</v>
      </c>
      <c r="H22" s="6">
        <v>105.365</v>
      </c>
      <c r="I22" s="6">
        <v>99.265</v>
      </c>
      <c r="J22" s="6">
        <v>111.32</v>
      </c>
      <c r="K22" s="6">
        <v>112.37</v>
      </c>
      <c r="L22" s="6">
        <v>88.74</v>
      </c>
      <c r="M22" s="6">
        <v>102.39</v>
      </c>
      <c r="N22" s="6">
        <v>106.81</v>
      </c>
      <c r="O22" s="6">
        <v>107.31</v>
      </c>
      <c r="P22" s="6">
        <v>102.92</v>
      </c>
      <c r="Q22" s="14">
        <v>79.21</v>
      </c>
    </row>
    <row r="23" spans="1:17">
      <c r="A23" s="5">
        <v>20220425</v>
      </c>
      <c r="B23" s="6">
        <v>98.54</v>
      </c>
      <c r="C23" s="6">
        <v>102.32</v>
      </c>
      <c r="D23" s="6">
        <v>99.52</v>
      </c>
      <c r="E23" s="6">
        <v>658.5</v>
      </c>
      <c r="F23" s="6">
        <v>99.69</v>
      </c>
      <c r="G23" s="6">
        <v>99.69</v>
      </c>
      <c r="H23" s="6">
        <v>97.545</v>
      </c>
      <c r="I23" s="6">
        <v>93.74</v>
      </c>
      <c r="J23" s="6">
        <v>106.13</v>
      </c>
      <c r="K23" s="6">
        <v>107.08</v>
      </c>
      <c r="L23" s="6">
        <v>82.795</v>
      </c>
      <c r="M23" s="6">
        <v>95.5</v>
      </c>
      <c r="N23" s="6">
        <v>101.66</v>
      </c>
      <c r="O23" s="6">
        <v>102.16</v>
      </c>
      <c r="P23" s="6">
        <v>97.58</v>
      </c>
      <c r="Q23" s="14">
        <v>73.61</v>
      </c>
    </row>
    <row r="24" spans="1:17">
      <c r="A24" s="5">
        <v>20220426</v>
      </c>
      <c r="B24" s="6">
        <v>101.7</v>
      </c>
      <c r="C24" s="6">
        <v>104.99</v>
      </c>
      <c r="D24" s="6">
        <v>99.23</v>
      </c>
      <c r="E24" s="6">
        <v>629.8</v>
      </c>
      <c r="F24" s="6">
        <v>99.55</v>
      </c>
      <c r="G24" s="6">
        <v>99.55</v>
      </c>
      <c r="H24" s="6">
        <v>102.23</v>
      </c>
      <c r="I24" s="6">
        <v>93.875</v>
      </c>
      <c r="J24" s="6">
        <v>106.5</v>
      </c>
      <c r="K24" s="6">
        <v>107.35</v>
      </c>
      <c r="L24" s="6">
        <v>83.535</v>
      </c>
      <c r="M24" s="6">
        <v>99.65</v>
      </c>
      <c r="N24" s="6">
        <v>102.24</v>
      </c>
      <c r="O24" s="6">
        <v>102.74</v>
      </c>
      <c r="P24" s="6">
        <v>97.8</v>
      </c>
      <c r="Q24" s="14">
        <v>73.64</v>
      </c>
    </row>
    <row r="25" spans="1:17">
      <c r="A25" s="5">
        <v>20220427</v>
      </c>
      <c r="B25" s="6">
        <v>102.02</v>
      </c>
      <c r="C25" s="6">
        <v>105.32</v>
      </c>
      <c r="D25" s="6">
        <v>102.55</v>
      </c>
      <c r="E25" s="6">
        <v>655.9</v>
      </c>
      <c r="F25" s="6">
        <v>103</v>
      </c>
      <c r="G25" s="6">
        <v>103</v>
      </c>
      <c r="H25" s="6">
        <v>102.9</v>
      </c>
      <c r="I25" s="6">
        <v>95.63</v>
      </c>
      <c r="J25" s="6">
        <v>109.6</v>
      </c>
      <c r="K25" s="6">
        <v>110.4</v>
      </c>
      <c r="L25" s="6">
        <v>83.68</v>
      </c>
      <c r="M25" s="6">
        <v>99.79</v>
      </c>
      <c r="N25" s="6">
        <v>105.31</v>
      </c>
      <c r="O25" s="6">
        <v>105.81</v>
      </c>
      <c r="P25" s="6">
        <v>100.8</v>
      </c>
      <c r="Q25" s="14">
        <v>76.56</v>
      </c>
    </row>
    <row r="26" spans="1:17">
      <c r="A26" s="5">
        <v>20220428</v>
      </c>
      <c r="B26" s="6">
        <v>105.36</v>
      </c>
      <c r="C26" s="6">
        <v>107.59</v>
      </c>
      <c r="D26" s="6">
        <v>100.36</v>
      </c>
      <c r="E26" s="6">
        <v>650.7</v>
      </c>
      <c r="F26" s="6">
        <v>102.795</v>
      </c>
      <c r="G26" s="6">
        <v>102.8</v>
      </c>
      <c r="H26" s="6">
        <v>105.73</v>
      </c>
      <c r="I26" s="6">
        <v>95.29</v>
      </c>
      <c r="J26" s="6">
        <v>109.22</v>
      </c>
      <c r="K26" s="6">
        <v>109.7</v>
      </c>
      <c r="L26" s="6">
        <v>83.32</v>
      </c>
      <c r="M26" s="6">
        <v>102.25</v>
      </c>
      <c r="N26" s="6">
        <v>104.9</v>
      </c>
      <c r="O26" s="6">
        <v>105.4</v>
      </c>
      <c r="P26" s="6">
        <v>100.32</v>
      </c>
      <c r="Q26" s="14">
        <v>76.08</v>
      </c>
    </row>
    <row r="27" spans="1:17">
      <c r="A27" s="5">
        <v>20220429</v>
      </c>
      <c r="B27" s="6">
        <v>104.69</v>
      </c>
      <c r="C27" s="6">
        <v>109.34</v>
      </c>
      <c r="D27" s="6">
        <v>103.08</v>
      </c>
      <c r="E27" s="6">
        <v>666.9</v>
      </c>
      <c r="F27" s="6">
        <v>105.4</v>
      </c>
      <c r="G27" s="6">
        <v>105.4</v>
      </c>
      <c r="H27" s="6">
        <v>108.16</v>
      </c>
      <c r="I27" s="6">
        <v>98.5</v>
      </c>
      <c r="J27" s="6">
        <v>112.71</v>
      </c>
      <c r="K27" s="6">
        <v>113.09</v>
      </c>
      <c r="L27" s="6">
        <v>86.24</v>
      </c>
      <c r="M27" s="6">
        <v>104.53</v>
      </c>
      <c r="N27" s="6">
        <v>107.71</v>
      </c>
      <c r="O27" s="6">
        <v>108.21</v>
      </c>
      <c r="P27" s="6">
        <v>103.71</v>
      </c>
      <c r="Q27" s="14">
        <v>78.74</v>
      </c>
    </row>
    <row r="28" spans="1:17">
      <c r="A28" s="7" t="s">
        <v>17</v>
      </c>
      <c r="B28" s="8">
        <f>AVERAGE(B23:B27)</f>
        <v>102.462</v>
      </c>
      <c r="C28" s="8">
        <f t="shared" ref="C28:Q28" si="0">AVERAGE(C23:C27)</f>
        <v>105.912</v>
      </c>
      <c r="D28" s="8">
        <f t="shared" si="0"/>
        <v>100.948</v>
      </c>
      <c r="E28" s="8">
        <f t="shared" si="0"/>
        <v>652.36</v>
      </c>
      <c r="F28" s="8">
        <f t="shared" si="0"/>
        <v>102.087</v>
      </c>
      <c r="G28" s="8">
        <f t="shared" si="0"/>
        <v>102.088</v>
      </c>
      <c r="H28" s="8">
        <f t="shared" si="0"/>
        <v>103.313</v>
      </c>
      <c r="I28" s="8">
        <f t="shared" si="0"/>
        <v>95.407</v>
      </c>
      <c r="J28" s="8">
        <f t="shared" si="0"/>
        <v>108.832</v>
      </c>
      <c r="K28" s="8">
        <f t="shared" si="0"/>
        <v>109.524</v>
      </c>
      <c r="L28" s="8">
        <f t="shared" si="0"/>
        <v>83.914</v>
      </c>
      <c r="M28" s="8">
        <f t="shared" si="0"/>
        <v>100.344</v>
      </c>
      <c r="N28" s="8">
        <f t="shared" si="0"/>
        <v>104.364</v>
      </c>
      <c r="O28" s="8">
        <f t="shared" si="0"/>
        <v>104.864</v>
      </c>
      <c r="P28" s="8">
        <f t="shared" si="0"/>
        <v>100.042</v>
      </c>
      <c r="Q28" s="15">
        <f t="shared" si="0"/>
        <v>75.726</v>
      </c>
    </row>
    <row r="29" ht="22.5" spans="1:17">
      <c r="A29" s="3" t="s">
        <v>50</v>
      </c>
      <c r="B29" s="9">
        <f>AVERAGE(B7:B27)</f>
        <v>101.6405</v>
      </c>
      <c r="C29" s="9">
        <f t="shared" ref="C29:Q29" si="1">AVERAGE(C7:C27)</f>
        <v>105.917</v>
      </c>
      <c r="D29" s="9">
        <f t="shared" si="1"/>
        <v>102.402</v>
      </c>
      <c r="E29" s="9">
        <f t="shared" si="1"/>
        <v>659.347368421053</v>
      </c>
      <c r="F29" s="9">
        <f t="shared" si="1"/>
        <v>102.78625</v>
      </c>
      <c r="G29" s="9">
        <f t="shared" si="1"/>
        <v>102.7865</v>
      </c>
      <c r="H29" s="9">
        <f t="shared" si="1"/>
        <v>104.388947368421</v>
      </c>
      <c r="I29" s="9">
        <f t="shared" si="1"/>
        <v>97.5445</v>
      </c>
      <c r="J29" s="9">
        <f t="shared" si="1"/>
        <v>109.5745</v>
      </c>
      <c r="K29" s="9">
        <f t="shared" si="1"/>
        <v>110.7275</v>
      </c>
      <c r="L29" s="9">
        <f t="shared" si="1"/>
        <v>88.1565</v>
      </c>
      <c r="M29" s="9">
        <f t="shared" si="1"/>
        <v>100.66</v>
      </c>
      <c r="N29" s="9">
        <f t="shared" si="1"/>
        <v>105.6445</v>
      </c>
      <c r="O29" s="9">
        <f t="shared" si="1"/>
        <v>106.1445</v>
      </c>
      <c r="P29" s="9">
        <f t="shared" si="1"/>
        <v>100.858947368421</v>
      </c>
      <c r="Q29" s="16">
        <f t="shared" si="1"/>
        <v>76.621</v>
      </c>
    </row>
    <row r="30" ht="23.25" spans="1:17">
      <c r="A30" s="10" t="s">
        <v>19</v>
      </c>
      <c r="B30" s="18">
        <f t="shared" ref="B30:Q30" si="2">(B29-B2)/B2</f>
        <v>-0.0611633193174381</v>
      </c>
      <c r="C30" s="18">
        <f t="shared" si="2"/>
        <v>-0.0582061740088533</v>
      </c>
      <c r="D30" s="18">
        <f t="shared" si="2"/>
        <v>-0.0771196601960769</v>
      </c>
      <c r="E30" s="18">
        <f t="shared" si="2"/>
        <v>-0.0457349404293907</v>
      </c>
      <c r="F30" s="18">
        <f t="shared" si="2"/>
        <v>-0.0731100682008428</v>
      </c>
      <c r="G30" s="18">
        <f t="shared" si="2"/>
        <v>-0.0742384489773543</v>
      </c>
      <c r="H30" s="18">
        <f t="shared" si="2"/>
        <v>-0.121375899512671</v>
      </c>
      <c r="I30" s="18">
        <f t="shared" si="2"/>
        <v>-0.0209409952389473</v>
      </c>
      <c r="J30" s="18">
        <f t="shared" si="2"/>
        <v>-0.0714128067854815</v>
      </c>
      <c r="K30" s="18">
        <f t="shared" si="2"/>
        <v>-0.0538361370762807</v>
      </c>
      <c r="L30" s="18">
        <f t="shared" si="2"/>
        <v>-0.0567154839940266</v>
      </c>
      <c r="M30" s="18">
        <f t="shared" si="2"/>
        <v>-0.0767384082851797</v>
      </c>
      <c r="N30" s="18">
        <f t="shared" si="2"/>
        <v>-0.0368239439969558</v>
      </c>
      <c r="O30" s="18">
        <f t="shared" si="2"/>
        <v>-0.0366568411582264</v>
      </c>
      <c r="P30" s="18">
        <f t="shared" si="2"/>
        <v>-0.0763501680368848</v>
      </c>
      <c r="Q30" s="19">
        <f t="shared" si="2"/>
        <v>-0.163089233983948</v>
      </c>
    </row>
    <row r="31" ht="15"/>
  </sheetData>
  <pageMargins left="0.75" right="0.75" top="1" bottom="1" header="0.5" footer="0.5"/>
  <pageSetup paperSize="9" orientation="portrait"/>
  <headerFooter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2"/>
  <dimension ref="A1:Q30"/>
  <sheetViews>
    <sheetView workbookViewId="0">
      <selection activeCell="A1" sqref="A1:Q29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35</v>
      </c>
      <c r="B2" s="9">
        <v>91.628947368421</v>
      </c>
      <c r="C2" s="9">
        <v>94.1015</v>
      </c>
      <c r="D2" s="9">
        <v>91.955</v>
      </c>
      <c r="E2" s="9">
        <v>572.9375</v>
      </c>
      <c r="F2" s="9">
        <v>92.34</v>
      </c>
      <c r="G2" s="9">
        <v>92.7402777777778</v>
      </c>
      <c r="H2" s="9">
        <v>98.18525</v>
      </c>
      <c r="I2" s="9">
        <v>91.7452777777778</v>
      </c>
      <c r="J2" s="9">
        <v>98.2355555555555</v>
      </c>
      <c r="K2" s="9">
        <v>98.2283333333334</v>
      </c>
      <c r="L2" s="9">
        <v>87.9019444444444</v>
      </c>
      <c r="M2" s="6">
        <v>94.6672222222222</v>
      </c>
      <c r="N2" s="6">
        <v>93.0833333333333</v>
      </c>
      <c r="O2" s="6">
        <v>93.5833333333333</v>
      </c>
      <c r="P2" s="6">
        <v>94.6577777777778</v>
      </c>
      <c r="Q2" s="16">
        <v>94.7638888888889</v>
      </c>
    </row>
    <row r="3" spans="1:17">
      <c r="A3" s="5">
        <v>20220228</v>
      </c>
      <c r="B3" s="6">
        <v>95.72</v>
      </c>
      <c r="C3" s="6">
        <v>100.99</v>
      </c>
      <c r="D3" s="6">
        <v>95.87</v>
      </c>
      <c r="E3" s="6">
        <v>599.2</v>
      </c>
      <c r="F3" s="6">
        <v>96.795</v>
      </c>
      <c r="G3" s="6">
        <v>96.795</v>
      </c>
      <c r="H3" s="6">
        <v>103.2</v>
      </c>
      <c r="I3" s="6">
        <v>95.885</v>
      </c>
      <c r="J3" s="6">
        <v>103.84</v>
      </c>
      <c r="K3" s="6">
        <v>103.64</v>
      </c>
      <c r="L3" s="6">
        <v>91.79</v>
      </c>
      <c r="M3" s="6">
        <v>98.96</v>
      </c>
      <c r="N3" s="6">
        <v>97.39</v>
      </c>
      <c r="O3" s="6">
        <v>97.89</v>
      </c>
      <c r="P3" s="6">
        <v>99.39</v>
      </c>
      <c r="Q3" s="14">
        <v>98.19</v>
      </c>
    </row>
    <row r="4" spans="1:17">
      <c r="A4" s="5">
        <v>20220301</v>
      </c>
      <c r="B4" s="6">
        <v>103.41</v>
      </c>
      <c r="C4" s="6">
        <v>104.97</v>
      </c>
      <c r="D4" s="6">
        <v>100.85</v>
      </c>
      <c r="E4" s="6">
        <v>614.8</v>
      </c>
      <c r="F4" s="6">
        <v>98.66</v>
      </c>
      <c r="G4" s="6">
        <v>98.71</v>
      </c>
      <c r="H4" s="6">
        <v>112.92</v>
      </c>
      <c r="I4" s="6">
        <v>95.785</v>
      </c>
      <c r="J4" s="6">
        <v>105.74</v>
      </c>
      <c r="K4" s="6">
        <v>105.49</v>
      </c>
      <c r="L4" s="6">
        <v>90.92</v>
      </c>
      <c r="M4" s="6">
        <v>107.43</v>
      </c>
      <c r="N4" s="6">
        <v>97.29</v>
      </c>
      <c r="O4" s="6">
        <v>97.79</v>
      </c>
      <c r="P4" s="6">
        <v>101.14</v>
      </c>
      <c r="Q4" s="14">
        <v>96.89</v>
      </c>
    </row>
    <row r="5" spans="1:17">
      <c r="A5" s="5">
        <v>20220302</v>
      </c>
      <c r="B5" s="6">
        <v>110.6</v>
      </c>
      <c r="C5" s="6">
        <v>112.93</v>
      </c>
      <c r="D5" s="6">
        <v>110.81</v>
      </c>
      <c r="E5" s="6">
        <v>648.6</v>
      </c>
      <c r="F5" s="6">
        <v>110.01</v>
      </c>
      <c r="G5" s="6">
        <v>110.55</v>
      </c>
      <c r="H5" s="6">
        <v>117.3</v>
      </c>
      <c r="I5" s="6">
        <v>103.39</v>
      </c>
      <c r="J5" s="6">
        <v>116.42</v>
      </c>
      <c r="K5" s="6">
        <v>116.42</v>
      </c>
      <c r="L5" s="6">
        <v>98.6</v>
      </c>
      <c r="M5" s="6">
        <v>111.6</v>
      </c>
      <c r="N5" s="6">
        <v>104.45</v>
      </c>
      <c r="O5" s="6">
        <v>104.95</v>
      </c>
      <c r="P5" s="6">
        <v>111.72</v>
      </c>
      <c r="Q5" s="14">
        <v>101.05</v>
      </c>
    </row>
    <row r="6" spans="1:17">
      <c r="A6" s="5">
        <v>20220303</v>
      </c>
      <c r="B6" s="6">
        <v>107.67</v>
      </c>
      <c r="C6" s="6">
        <v>110.46</v>
      </c>
      <c r="D6" s="6">
        <v>116.73</v>
      </c>
      <c r="E6" s="6">
        <v>686.8</v>
      </c>
      <c r="F6" s="6">
        <v>116.59</v>
      </c>
      <c r="G6" s="6">
        <v>116.64</v>
      </c>
      <c r="H6" s="6">
        <v>119.805</v>
      </c>
      <c r="I6" s="6">
        <v>107.86</v>
      </c>
      <c r="J6" s="6">
        <v>124.18</v>
      </c>
      <c r="K6" s="6">
        <v>124.48</v>
      </c>
      <c r="L6" s="6">
        <v>104.08</v>
      </c>
      <c r="M6" s="6">
        <v>115.04</v>
      </c>
      <c r="N6" s="6">
        <v>109.39</v>
      </c>
      <c r="O6" s="6">
        <v>109.89</v>
      </c>
      <c r="P6" s="6">
        <v>119.53</v>
      </c>
      <c r="Q6" s="14">
        <v>102.49</v>
      </c>
    </row>
    <row r="7" spans="1:17">
      <c r="A7" s="5">
        <v>20220304</v>
      </c>
      <c r="B7" s="6">
        <v>115.68</v>
      </c>
      <c r="C7" s="6">
        <v>118.11</v>
      </c>
      <c r="D7" s="6">
        <v>108.87</v>
      </c>
      <c r="E7" s="6">
        <v>705</v>
      </c>
      <c r="F7" s="6">
        <v>108.8</v>
      </c>
      <c r="G7" s="6">
        <v>108.85</v>
      </c>
      <c r="H7" s="6">
        <v>120.23</v>
      </c>
      <c r="I7" s="6">
        <v>101.37</v>
      </c>
      <c r="J7" s="6">
        <v>118.17</v>
      </c>
      <c r="K7" s="6">
        <v>118.27</v>
      </c>
      <c r="L7" s="6">
        <v>96.29</v>
      </c>
      <c r="M7" s="6">
        <v>116.09</v>
      </c>
      <c r="N7" s="6">
        <v>106.24</v>
      </c>
      <c r="O7" s="6">
        <v>106.74</v>
      </c>
      <c r="P7" s="6">
        <v>113.32</v>
      </c>
      <c r="Q7" s="14">
        <v>97.34</v>
      </c>
    </row>
    <row r="8" spans="1:17">
      <c r="A8" s="5">
        <v>20220307</v>
      </c>
      <c r="B8" s="6">
        <v>119.4</v>
      </c>
      <c r="C8" s="6">
        <v>123.21</v>
      </c>
      <c r="D8" s="6">
        <v>125.16</v>
      </c>
      <c r="E8" s="6">
        <v>712.3</v>
      </c>
      <c r="F8" s="6">
        <v>125.15</v>
      </c>
      <c r="G8" s="6">
        <v>125.2</v>
      </c>
      <c r="H8" s="6">
        <v>130.045</v>
      </c>
      <c r="I8" s="6">
        <v>114.81</v>
      </c>
      <c r="J8" s="6">
        <v>132.79</v>
      </c>
      <c r="K8" s="6">
        <v>132.79</v>
      </c>
      <c r="L8" s="6">
        <v>108.665</v>
      </c>
      <c r="M8" s="6">
        <v>123.54</v>
      </c>
      <c r="N8" s="6">
        <v>120.42</v>
      </c>
      <c r="O8" s="6">
        <v>120.92</v>
      </c>
      <c r="P8" s="6">
        <v>125.54</v>
      </c>
      <c r="Q8" s="14">
        <v>109.92</v>
      </c>
    </row>
    <row r="9" spans="1:17">
      <c r="A9" s="5">
        <v>20220308</v>
      </c>
      <c r="B9" s="6">
        <v>123.7</v>
      </c>
      <c r="C9" s="6">
        <v>127.98</v>
      </c>
      <c r="D9" s="6">
        <v>122.93</v>
      </c>
      <c r="E9" s="6">
        <v>763.9</v>
      </c>
      <c r="F9" s="6">
        <v>122.95</v>
      </c>
      <c r="G9" s="6">
        <v>123</v>
      </c>
      <c r="H9" s="6">
        <v>137.64</v>
      </c>
      <c r="I9" s="6">
        <v>114.375</v>
      </c>
      <c r="J9" s="6">
        <v>132.65</v>
      </c>
      <c r="K9" s="6">
        <v>132.55</v>
      </c>
      <c r="L9" s="6">
        <v>108.35</v>
      </c>
      <c r="M9" s="6">
        <v>129.37</v>
      </c>
      <c r="N9" s="6">
        <v>120.51</v>
      </c>
      <c r="O9" s="6">
        <v>121.01</v>
      </c>
      <c r="P9" s="6">
        <v>123.95</v>
      </c>
      <c r="Q9" s="14">
        <v>109.76</v>
      </c>
    </row>
    <row r="10" spans="1:17">
      <c r="A10" s="5">
        <v>20220309</v>
      </c>
      <c r="B10" s="6">
        <v>108.7</v>
      </c>
      <c r="C10" s="6">
        <v>111.14</v>
      </c>
      <c r="D10" s="6">
        <v>127.71</v>
      </c>
      <c r="E10" s="6">
        <v>805</v>
      </c>
      <c r="F10" s="6">
        <v>127.81</v>
      </c>
      <c r="G10" s="6">
        <v>127.86</v>
      </c>
      <c r="H10" s="6">
        <v>129.515</v>
      </c>
      <c r="I10" s="6">
        <v>116.28</v>
      </c>
      <c r="J10" s="6">
        <v>133.54</v>
      </c>
      <c r="K10" s="6">
        <v>133.29</v>
      </c>
      <c r="L10" s="6">
        <v>109.255</v>
      </c>
      <c r="M10" s="6">
        <v>115.58</v>
      </c>
      <c r="N10" s="6">
        <v>125.28</v>
      </c>
      <c r="O10" s="6">
        <v>125.78</v>
      </c>
      <c r="P10" s="6">
        <v>124.39</v>
      </c>
      <c r="Q10" s="14">
        <v>111.03</v>
      </c>
    </row>
    <row r="11" spans="1:17">
      <c r="A11" s="5">
        <v>20220310</v>
      </c>
      <c r="B11" s="6">
        <v>106.02</v>
      </c>
      <c r="C11" s="6">
        <v>109.33</v>
      </c>
      <c r="D11" s="6">
        <v>115.37</v>
      </c>
      <c r="E11" s="6">
        <v>742.1</v>
      </c>
      <c r="F11" s="6">
        <v>115.3</v>
      </c>
      <c r="G11" s="6">
        <v>115.35</v>
      </c>
      <c r="H11" s="6">
        <v>121.105</v>
      </c>
      <c r="I11" s="6">
        <v>102.495</v>
      </c>
      <c r="J11" s="6">
        <v>120.47</v>
      </c>
      <c r="K11" s="6">
        <v>120.22</v>
      </c>
      <c r="L11" s="6">
        <v>96.15</v>
      </c>
      <c r="M11" s="6">
        <v>107.46</v>
      </c>
      <c r="N11" s="6">
        <v>113.06</v>
      </c>
      <c r="O11" s="6">
        <v>113.56</v>
      </c>
      <c r="P11" s="6">
        <v>111.12</v>
      </c>
      <c r="Q11" s="14">
        <v>96.31</v>
      </c>
    </row>
    <row r="12" spans="1:17">
      <c r="A12" s="5">
        <v>20220311</v>
      </c>
      <c r="B12" s="6">
        <v>109.33</v>
      </c>
      <c r="C12" s="6">
        <v>112.67</v>
      </c>
      <c r="D12" s="6">
        <v>110.56</v>
      </c>
      <c r="E12" s="6">
        <v>695.2</v>
      </c>
      <c r="F12" s="6">
        <v>110.505</v>
      </c>
      <c r="G12" s="6">
        <v>110.55</v>
      </c>
      <c r="H12" s="6">
        <v>118.975</v>
      </c>
      <c r="I12" s="6">
        <v>97.3</v>
      </c>
      <c r="J12" s="6">
        <v>115.63</v>
      </c>
      <c r="K12" s="6">
        <v>115.43</v>
      </c>
      <c r="L12" s="6">
        <v>92.47</v>
      </c>
      <c r="M12" s="6">
        <v>106.15</v>
      </c>
      <c r="N12" s="6">
        <v>108.4</v>
      </c>
      <c r="O12" s="6">
        <v>108.9</v>
      </c>
      <c r="P12" s="6">
        <v>106.38</v>
      </c>
      <c r="Q12" s="14">
        <v>90.15</v>
      </c>
    </row>
    <row r="13" spans="1:17">
      <c r="A13" s="5">
        <v>20220314</v>
      </c>
      <c r="B13" s="6">
        <v>103.01</v>
      </c>
      <c r="C13" s="6">
        <v>106.9</v>
      </c>
      <c r="D13" s="6">
        <v>109.91</v>
      </c>
      <c r="E13" s="6">
        <v>682.9</v>
      </c>
      <c r="F13" s="6">
        <v>109.845</v>
      </c>
      <c r="G13" s="6">
        <v>109.9</v>
      </c>
      <c r="H13" s="6">
        <v>111.625</v>
      </c>
      <c r="I13" s="6">
        <v>96.395</v>
      </c>
      <c r="J13" s="6">
        <v>114.06</v>
      </c>
      <c r="K13" s="6">
        <v>113.74</v>
      </c>
      <c r="L13" s="6">
        <v>91.335</v>
      </c>
      <c r="M13" s="6">
        <v>99.44</v>
      </c>
      <c r="N13" s="6">
        <v>107.03</v>
      </c>
      <c r="O13" s="6">
        <v>107.53</v>
      </c>
      <c r="P13" s="6">
        <v>104.24</v>
      </c>
      <c r="Q13" s="14">
        <v>89.78</v>
      </c>
    </row>
    <row r="14" spans="1:17">
      <c r="A14" s="5">
        <v>20220315</v>
      </c>
      <c r="B14" s="6">
        <v>96.44</v>
      </c>
      <c r="C14" s="6">
        <v>99.91</v>
      </c>
      <c r="D14" s="6">
        <v>100</v>
      </c>
      <c r="E14" s="6">
        <v>646.2</v>
      </c>
      <c r="F14" s="6">
        <v>99.73</v>
      </c>
      <c r="G14" s="6">
        <v>99.92</v>
      </c>
      <c r="H14" s="6">
        <v>107.955</v>
      </c>
      <c r="I14" s="6">
        <v>87.335</v>
      </c>
      <c r="J14" s="6">
        <v>105.17</v>
      </c>
      <c r="K14" s="6">
        <v>104.57</v>
      </c>
      <c r="L14" s="6">
        <v>82.095</v>
      </c>
      <c r="M14" s="6">
        <v>95.57</v>
      </c>
      <c r="N14" s="6">
        <v>99.17</v>
      </c>
      <c r="O14" s="6">
        <v>99.67</v>
      </c>
      <c r="P14" s="6">
        <v>94.97</v>
      </c>
      <c r="Q14" s="14">
        <v>80.92</v>
      </c>
    </row>
    <row r="15" spans="1:17">
      <c r="A15" s="5">
        <v>20220316</v>
      </c>
      <c r="B15" s="6">
        <v>95.04</v>
      </c>
      <c r="C15" s="6">
        <v>98.02</v>
      </c>
      <c r="D15" s="6">
        <v>102.54</v>
      </c>
      <c r="E15" s="6">
        <v>646.2</v>
      </c>
      <c r="F15" s="6">
        <v>102.45</v>
      </c>
      <c r="G15" s="6">
        <v>102.64</v>
      </c>
      <c r="H15" s="6">
        <v>106.48</v>
      </c>
      <c r="I15" s="6">
        <v>89.335</v>
      </c>
      <c r="J15" s="6">
        <v>107.73</v>
      </c>
      <c r="K15" s="6">
        <v>106.58</v>
      </c>
      <c r="L15" s="6">
        <v>83.315</v>
      </c>
      <c r="M15" s="6">
        <v>94.57</v>
      </c>
      <c r="N15" s="6">
        <v>102.62</v>
      </c>
      <c r="O15" s="6">
        <v>103.12</v>
      </c>
      <c r="P15" s="6">
        <v>97.68</v>
      </c>
      <c r="Q15" s="14">
        <v>83.47</v>
      </c>
    </row>
    <row r="16" spans="1:17">
      <c r="A16" s="5">
        <v>20220317</v>
      </c>
      <c r="B16" s="6">
        <v>102.98</v>
      </c>
      <c r="C16" s="6">
        <v>106.64</v>
      </c>
      <c r="D16" s="6">
        <v>100.94</v>
      </c>
      <c r="E16" s="6">
        <v>617.4</v>
      </c>
      <c r="F16" s="6">
        <v>100.8</v>
      </c>
      <c r="G16" s="6">
        <v>100.85</v>
      </c>
      <c r="H16" s="6">
        <v>113.71</v>
      </c>
      <c r="I16" s="6">
        <v>87.04</v>
      </c>
      <c r="J16" s="6">
        <v>105.88</v>
      </c>
      <c r="K16" s="6">
        <v>104.43</v>
      </c>
      <c r="L16" s="6">
        <v>80.705</v>
      </c>
      <c r="M16" s="6">
        <v>100.99</v>
      </c>
      <c r="N16" s="6">
        <v>100.96</v>
      </c>
      <c r="O16" s="6">
        <v>101.46</v>
      </c>
      <c r="P16" s="6">
        <v>96.03</v>
      </c>
      <c r="Q16" s="14">
        <v>80.86</v>
      </c>
    </row>
    <row r="17" spans="1:17">
      <c r="A17" s="5">
        <v>20220318</v>
      </c>
      <c r="B17" s="6">
        <v>104.7</v>
      </c>
      <c r="C17" s="6">
        <v>107.93</v>
      </c>
      <c r="D17" s="6">
        <v>106.65</v>
      </c>
      <c r="E17" s="6">
        <v>654.4</v>
      </c>
      <c r="F17" s="6">
        <v>106.605</v>
      </c>
      <c r="G17" s="6">
        <v>106.65</v>
      </c>
      <c r="H17" s="6">
        <v>113.275</v>
      </c>
      <c r="I17" s="6">
        <v>92.52</v>
      </c>
      <c r="J17" s="6">
        <v>112.48</v>
      </c>
      <c r="K17" s="6">
        <v>110.96</v>
      </c>
      <c r="L17" s="6">
        <v>86.09</v>
      </c>
      <c r="M17" s="6">
        <v>101.68</v>
      </c>
      <c r="N17" s="6">
        <v>106.53</v>
      </c>
      <c r="O17" s="6">
        <v>107.03</v>
      </c>
      <c r="P17" s="6">
        <v>102.53</v>
      </c>
      <c r="Q17" s="14">
        <v>85.53</v>
      </c>
    </row>
    <row r="18" spans="1:17">
      <c r="A18" s="5">
        <v>20220321</v>
      </c>
      <c r="B18" s="6">
        <v>112.12</v>
      </c>
      <c r="C18" s="6">
        <v>115.62</v>
      </c>
      <c r="D18" s="6">
        <v>110.36</v>
      </c>
      <c r="E18" s="6">
        <v>666.9</v>
      </c>
      <c r="F18" s="6">
        <v>109.75</v>
      </c>
      <c r="G18" s="6">
        <v>109.8</v>
      </c>
      <c r="H18" s="6">
        <v>120.875</v>
      </c>
      <c r="I18" s="6">
        <v>95.45</v>
      </c>
      <c r="J18" s="6">
        <v>116.03</v>
      </c>
      <c r="K18" s="6">
        <v>114.53</v>
      </c>
      <c r="L18" s="6">
        <v>88.39</v>
      </c>
      <c r="M18" s="6">
        <v>108.63</v>
      </c>
      <c r="N18" s="6">
        <v>110.05</v>
      </c>
      <c r="O18" s="6">
        <v>110.55</v>
      </c>
      <c r="P18" s="6">
        <v>105.98</v>
      </c>
      <c r="Q18" s="14">
        <v>88.1</v>
      </c>
    </row>
    <row r="19" spans="1:17">
      <c r="A19" s="5">
        <v>20220322</v>
      </c>
      <c r="B19" s="6">
        <v>111.76</v>
      </c>
      <c r="C19" s="6">
        <v>115.48</v>
      </c>
      <c r="D19" s="6">
        <v>111.23</v>
      </c>
      <c r="E19" s="6">
        <v>701.1</v>
      </c>
      <c r="F19" s="6">
        <v>111.15</v>
      </c>
      <c r="G19" s="6">
        <v>111.2</v>
      </c>
      <c r="H19" s="6">
        <v>120.33</v>
      </c>
      <c r="I19" s="6">
        <v>96.41</v>
      </c>
      <c r="J19" s="6">
        <v>118.07</v>
      </c>
      <c r="K19" s="6">
        <v>116.57</v>
      </c>
      <c r="L19" s="6">
        <v>89.65</v>
      </c>
      <c r="M19" s="6">
        <v>108.18</v>
      </c>
      <c r="N19" s="6">
        <v>111.45</v>
      </c>
      <c r="O19" s="6">
        <v>111.95</v>
      </c>
      <c r="P19" s="6">
        <v>107.97</v>
      </c>
      <c r="Q19" s="14">
        <v>88.55</v>
      </c>
    </row>
    <row r="20" spans="1:17">
      <c r="A20" s="5">
        <v>20220323</v>
      </c>
      <c r="B20" s="6">
        <v>114.93</v>
      </c>
      <c r="C20" s="6">
        <v>121.6</v>
      </c>
      <c r="D20" s="6">
        <v>112.29</v>
      </c>
      <c r="E20" s="6">
        <v>700</v>
      </c>
      <c r="F20" s="6">
        <v>111.75</v>
      </c>
      <c r="G20" s="6">
        <v>112</v>
      </c>
      <c r="H20" s="6">
        <v>126.495</v>
      </c>
      <c r="I20" s="6">
        <v>97.095</v>
      </c>
      <c r="J20" s="6">
        <v>120.1</v>
      </c>
      <c r="K20" s="6">
        <v>118.35</v>
      </c>
      <c r="L20" s="6">
        <v>89.875</v>
      </c>
      <c r="M20" s="6">
        <v>114.49</v>
      </c>
      <c r="N20" s="6">
        <v>112.65</v>
      </c>
      <c r="O20" s="6">
        <v>113.15</v>
      </c>
      <c r="P20" s="6">
        <v>109.7</v>
      </c>
      <c r="Q20" s="14">
        <v>88.75</v>
      </c>
    </row>
    <row r="21" spans="1:17">
      <c r="A21" s="5">
        <v>20220324</v>
      </c>
      <c r="B21" s="6">
        <v>112.34</v>
      </c>
      <c r="C21" s="6">
        <v>119.03</v>
      </c>
      <c r="D21" s="6">
        <v>115.7</v>
      </c>
      <c r="E21" s="6">
        <v>731.5</v>
      </c>
      <c r="F21" s="6">
        <v>115.55</v>
      </c>
      <c r="G21" s="6">
        <v>115.8</v>
      </c>
      <c r="H21" s="6">
        <v>124.04</v>
      </c>
      <c r="I21" s="6">
        <v>100.485</v>
      </c>
      <c r="J21" s="6">
        <v>125.5</v>
      </c>
      <c r="K21" s="6">
        <v>123.25</v>
      </c>
      <c r="L21" s="6">
        <v>92.95</v>
      </c>
      <c r="M21" s="6">
        <v>113.26</v>
      </c>
      <c r="N21" s="6">
        <v>116.23</v>
      </c>
      <c r="O21" s="6">
        <v>116.73</v>
      </c>
      <c r="P21" s="6">
        <v>115.5</v>
      </c>
      <c r="Q21" s="14">
        <v>91.23</v>
      </c>
    </row>
    <row r="22" spans="1:17">
      <c r="A22" s="5">
        <v>20220325</v>
      </c>
      <c r="B22" s="6">
        <v>113.9</v>
      </c>
      <c r="C22" s="6">
        <v>120.65</v>
      </c>
      <c r="D22" s="6">
        <v>112.29</v>
      </c>
      <c r="E22" s="6">
        <v>723.1</v>
      </c>
      <c r="F22" s="6">
        <v>111.9</v>
      </c>
      <c r="G22" s="6">
        <v>112.15</v>
      </c>
      <c r="H22" s="6">
        <v>124.35</v>
      </c>
      <c r="I22" s="6">
        <v>96</v>
      </c>
      <c r="J22" s="6">
        <v>120.58</v>
      </c>
      <c r="K22" s="6">
        <v>118.33</v>
      </c>
      <c r="L22" s="6">
        <v>88.82</v>
      </c>
      <c r="M22" s="6">
        <v>114.07</v>
      </c>
      <c r="N22" s="6">
        <v>112.31</v>
      </c>
      <c r="O22" s="6">
        <v>112.81</v>
      </c>
      <c r="P22" s="6">
        <v>110.58</v>
      </c>
      <c r="Q22" s="14">
        <v>86.31</v>
      </c>
    </row>
    <row r="23" spans="1:17">
      <c r="A23" s="5">
        <v>20220328</v>
      </c>
      <c r="B23" s="6">
        <v>105.96</v>
      </c>
      <c r="C23" s="6">
        <v>112.48</v>
      </c>
      <c r="D23" s="6">
        <v>110.7</v>
      </c>
      <c r="E23" s="6">
        <v>713.7</v>
      </c>
      <c r="F23" s="6">
        <v>110.65</v>
      </c>
      <c r="G23" s="6">
        <v>110.85</v>
      </c>
      <c r="H23" s="6">
        <v>117.56</v>
      </c>
      <c r="I23" s="6">
        <v>98.12</v>
      </c>
      <c r="J23" s="6">
        <v>120.28</v>
      </c>
      <c r="K23" s="6">
        <v>118.03</v>
      </c>
      <c r="L23" s="6">
        <v>90.875</v>
      </c>
      <c r="M23" s="6">
        <v>107.6</v>
      </c>
      <c r="N23" s="6">
        <v>111.99</v>
      </c>
      <c r="O23" s="6">
        <v>112.49</v>
      </c>
      <c r="P23" s="6">
        <v>110.03</v>
      </c>
      <c r="Q23" s="14">
        <v>85.19</v>
      </c>
    </row>
    <row r="24" spans="1:17">
      <c r="A24" s="5">
        <v>20220329</v>
      </c>
      <c r="B24" s="6">
        <v>104.24</v>
      </c>
      <c r="C24" s="6">
        <v>110.23</v>
      </c>
      <c r="D24" s="6">
        <v>108.24</v>
      </c>
      <c r="E24" s="6">
        <v>685.4</v>
      </c>
      <c r="F24" s="6">
        <v>108.59</v>
      </c>
      <c r="G24" s="6">
        <v>108.79</v>
      </c>
      <c r="H24" s="6">
        <v>112.37</v>
      </c>
      <c r="I24" s="6">
        <v>98.635</v>
      </c>
      <c r="J24" s="6">
        <v>117.72</v>
      </c>
      <c r="K24" s="6">
        <v>115.62</v>
      </c>
      <c r="L24" s="6">
        <v>91.73</v>
      </c>
      <c r="M24" s="6">
        <v>104.16</v>
      </c>
      <c r="N24" s="6">
        <v>109.55</v>
      </c>
      <c r="O24" s="6">
        <v>110.05</v>
      </c>
      <c r="P24" s="6">
        <v>107.57</v>
      </c>
      <c r="Q24" s="14">
        <v>81.75</v>
      </c>
    </row>
    <row r="25" spans="1:17">
      <c r="A25" s="5">
        <v>20220330</v>
      </c>
      <c r="B25" s="6">
        <v>107.82</v>
      </c>
      <c r="C25" s="6">
        <v>113.45</v>
      </c>
      <c r="D25" s="6">
        <v>106.88</v>
      </c>
      <c r="E25" s="6">
        <v>662.8</v>
      </c>
      <c r="F25" s="6">
        <v>108.35</v>
      </c>
      <c r="G25" s="6">
        <v>108.55</v>
      </c>
      <c r="H25" s="6">
        <v>115.935</v>
      </c>
      <c r="I25" s="6">
        <v>100.73</v>
      </c>
      <c r="J25" s="6">
        <v>116.37</v>
      </c>
      <c r="K25" s="6">
        <v>114.67</v>
      </c>
      <c r="L25" s="6">
        <v>93.675</v>
      </c>
      <c r="M25" s="6">
        <v>108.34</v>
      </c>
      <c r="N25" s="6">
        <v>109.18</v>
      </c>
      <c r="O25" s="6">
        <v>109.68</v>
      </c>
      <c r="P25" s="6">
        <v>106.62</v>
      </c>
      <c r="Q25" s="14">
        <v>80.96</v>
      </c>
    </row>
    <row r="26" spans="1:17">
      <c r="A26" s="5">
        <v>20220331</v>
      </c>
      <c r="B26" s="6">
        <v>100.28</v>
      </c>
      <c r="C26" s="6">
        <v>107.91</v>
      </c>
      <c r="D26" s="6">
        <v>105.34</v>
      </c>
      <c r="E26" s="6">
        <v>686.5</v>
      </c>
      <c r="F26" s="6">
        <v>107.66</v>
      </c>
      <c r="G26" s="6">
        <v>107.86</v>
      </c>
      <c r="H26" s="6">
        <v>110.085</v>
      </c>
      <c r="I26" s="6">
        <v>102.295</v>
      </c>
      <c r="J26" s="6">
        <v>114.47</v>
      </c>
      <c r="K26" s="6">
        <v>113.07</v>
      </c>
      <c r="L26" s="6">
        <v>95.225</v>
      </c>
      <c r="M26" s="6">
        <v>104.37</v>
      </c>
      <c r="N26" s="6">
        <v>107.96</v>
      </c>
      <c r="O26" s="6">
        <v>108.46</v>
      </c>
      <c r="P26" s="6">
        <v>105.02</v>
      </c>
      <c r="Q26" s="14">
        <v>79.36</v>
      </c>
    </row>
    <row r="27" spans="1:17">
      <c r="A27" s="7" t="s">
        <v>17</v>
      </c>
      <c r="B27" s="8">
        <f>AVERAGE(B23:B26)</f>
        <v>104.575</v>
      </c>
      <c r="C27" s="8">
        <f t="shared" ref="C27:Q27" si="0">AVERAGE(C23:C26)</f>
        <v>111.0175</v>
      </c>
      <c r="D27" s="8">
        <f t="shared" si="0"/>
        <v>107.79</v>
      </c>
      <c r="E27" s="8">
        <f t="shared" si="0"/>
        <v>687.1</v>
      </c>
      <c r="F27" s="8">
        <f t="shared" si="0"/>
        <v>108.8125</v>
      </c>
      <c r="G27" s="8">
        <f t="shared" si="0"/>
        <v>109.0125</v>
      </c>
      <c r="H27" s="8">
        <f t="shared" si="0"/>
        <v>113.9875</v>
      </c>
      <c r="I27" s="8">
        <f t="shared" si="0"/>
        <v>99.945</v>
      </c>
      <c r="J27" s="8">
        <f t="shared" si="0"/>
        <v>117.21</v>
      </c>
      <c r="K27" s="8">
        <f t="shared" si="0"/>
        <v>115.3475</v>
      </c>
      <c r="L27" s="8">
        <f t="shared" si="0"/>
        <v>92.87625</v>
      </c>
      <c r="M27" s="8">
        <f t="shared" si="0"/>
        <v>106.1175</v>
      </c>
      <c r="N27" s="8">
        <f t="shared" si="0"/>
        <v>109.67</v>
      </c>
      <c r="O27" s="8">
        <f t="shared" si="0"/>
        <v>110.17</v>
      </c>
      <c r="P27" s="8">
        <f t="shared" si="0"/>
        <v>107.31</v>
      </c>
      <c r="Q27" s="15">
        <f t="shared" si="0"/>
        <v>81.815</v>
      </c>
    </row>
    <row r="28" ht="22.5" spans="1:17">
      <c r="A28" s="3" t="s">
        <v>21</v>
      </c>
      <c r="B28" s="9">
        <f>AVERAGE(B4:B26)</f>
        <v>108.262173913043</v>
      </c>
      <c r="C28" s="9">
        <f t="shared" ref="C28:Q28" si="1">AVERAGE(C4:C26)</f>
        <v>112.463043478261</v>
      </c>
      <c r="D28" s="9">
        <f t="shared" si="1"/>
        <v>110.959130434783</v>
      </c>
      <c r="E28" s="9">
        <f t="shared" si="1"/>
        <v>690.947826086957</v>
      </c>
      <c r="F28" s="9">
        <f t="shared" si="1"/>
        <v>110.893695652174</v>
      </c>
      <c r="G28" s="9">
        <f t="shared" si="1"/>
        <v>111.029130434783</v>
      </c>
      <c r="H28" s="9">
        <f t="shared" si="1"/>
        <v>118.809565217391</v>
      </c>
      <c r="I28" s="9">
        <f t="shared" si="1"/>
        <v>99.6308695652174</v>
      </c>
      <c r="J28" s="9">
        <f t="shared" si="1"/>
        <v>118.001304347826</v>
      </c>
      <c r="K28" s="9">
        <f t="shared" si="1"/>
        <v>117.027826086957</v>
      </c>
      <c r="L28" s="9">
        <f t="shared" si="1"/>
        <v>93.4569565217391</v>
      </c>
      <c r="M28" s="9">
        <f t="shared" si="1"/>
        <v>109.02652173913</v>
      </c>
      <c r="N28" s="9">
        <f t="shared" si="1"/>
        <v>109.68347826087</v>
      </c>
      <c r="O28" s="9">
        <f t="shared" si="1"/>
        <v>110.18347826087</v>
      </c>
      <c r="P28" s="9">
        <f t="shared" si="1"/>
        <v>109.196086956522</v>
      </c>
      <c r="Q28" s="16">
        <f t="shared" si="1"/>
        <v>91.5521739130435</v>
      </c>
    </row>
    <row r="29" ht="23.25" spans="1:17">
      <c r="A29" s="10" t="s">
        <v>19</v>
      </c>
      <c r="B29" s="11">
        <f t="shared" ref="B29:Q29" si="2">(B28-B2)/B2</f>
        <v>0.181528076250223</v>
      </c>
      <c r="C29" s="11">
        <f t="shared" si="2"/>
        <v>0.195124875567987</v>
      </c>
      <c r="D29" s="11">
        <f t="shared" si="2"/>
        <v>0.206667722633708</v>
      </c>
      <c r="E29" s="11">
        <f t="shared" si="2"/>
        <v>0.205974170109229</v>
      </c>
      <c r="F29" s="11">
        <f t="shared" si="2"/>
        <v>0.200928044749555</v>
      </c>
      <c r="G29" s="11">
        <f t="shared" si="2"/>
        <v>0.197205066614403</v>
      </c>
      <c r="H29" s="11">
        <f t="shared" si="2"/>
        <v>0.210055127602071</v>
      </c>
      <c r="I29" s="11">
        <f t="shared" si="2"/>
        <v>0.0859509282487523</v>
      </c>
      <c r="J29" s="11">
        <f t="shared" si="2"/>
        <v>0.201207685755819</v>
      </c>
      <c r="K29" s="11">
        <f t="shared" si="2"/>
        <v>0.19138564318126</v>
      </c>
      <c r="L29" s="11">
        <f t="shared" si="2"/>
        <v>0.0631955540051286</v>
      </c>
      <c r="M29" s="11">
        <f t="shared" si="2"/>
        <v>0.151681851224082</v>
      </c>
      <c r="N29" s="11">
        <f t="shared" si="2"/>
        <v>0.178336382390721</v>
      </c>
      <c r="O29" s="11">
        <f t="shared" si="2"/>
        <v>0.177383561113477</v>
      </c>
      <c r="P29" s="11">
        <f t="shared" si="2"/>
        <v>0.153588109926631</v>
      </c>
      <c r="Q29" s="19">
        <f t="shared" si="2"/>
        <v>-0.0338917599678836</v>
      </c>
    </row>
    <row r="30" ht="15"/>
  </sheetData>
  <pageMargins left="0.75" right="0.75" top="1" bottom="1" header="0.5" footer="0.5"/>
  <pageSetup paperSize="9" orientation="portrait" horizontalDpi="600" verticalDpi="600"/>
  <headerFooter/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3"/>
  <dimension ref="A1:Q27"/>
  <sheetViews>
    <sheetView workbookViewId="0">
      <selection activeCell="A25" sqref="A25:Q25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36</v>
      </c>
      <c r="B2" s="9">
        <v>82.979</v>
      </c>
      <c r="C2" s="9">
        <v>85.572380952381</v>
      </c>
      <c r="D2" s="9">
        <v>83.6233333333333</v>
      </c>
      <c r="E2" s="9">
        <v>525.773684210526</v>
      </c>
      <c r="F2" s="9">
        <v>83.4552380952381</v>
      </c>
      <c r="G2" s="9">
        <v>83.57</v>
      </c>
      <c r="H2" s="9">
        <v>87.21925</v>
      </c>
      <c r="I2" s="9">
        <v>82.1904761904762</v>
      </c>
      <c r="J2" s="9">
        <v>88.8814285714286</v>
      </c>
      <c r="K2" s="9">
        <v>89.1171428571429</v>
      </c>
      <c r="L2" s="9">
        <v>77.8471428571428</v>
      </c>
      <c r="M2" s="6">
        <v>86.568</v>
      </c>
      <c r="N2" s="6">
        <v>84.8733333333333</v>
      </c>
      <c r="O2" s="6">
        <v>85.3733333333333</v>
      </c>
      <c r="P2" s="6">
        <v>86.0855</v>
      </c>
      <c r="Q2" s="16">
        <v>85.4495238095238</v>
      </c>
    </row>
    <row r="3" spans="1:17">
      <c r="A3" s="5">
        <v>20220131</v>
      </c>
      <c r="B3" s="6">
        <v>88.15</v>
      </c>
      <c r="C3" s="6">
        <v>91.21</v>
      </c>
      <c r="D3" s="6">
        <v>88.48</v>
      </c>
      <c r="E3" s="6"/>
      <c r="F3" s="6">
        <v>88.37</v>
      </c>
      <c r="G3" s="6">
        <v>88.45</v>
      </c>
      <c r="H3" s="6">
        <v>92.52</v>
      </c>
      <c r="I3" s="6">
        <v>87.535</v>
      </c>
      <c r="J3" s="6">
        <v>94.4</v>
      </c>
      <c r="K3" s="6">
        <v>94.4</v>
      </c>
      <c r="L3" s="6">
        <v>83.225</v>
      </c>
      <c r="M3" s="6">
        <v>90.76</v>
      </c>
      <c r="N3" s="6">
        <v>90.05</v>
      </c>
      <c r="O3" s="6">
        <v>90.55</v>
      </c>
      <c r="P3" s="6">
        <v>91.3</v>
      </c>
      <c r="Q3" s="14">
        <v>90.95</v>
      </c>
    </row>
    <row r="4" spans="1:17">
      <c r="A4" s="5">
        <v>20220201</v>
      </c>
      <c r="B4" s="6">
        <v>88.2</v>
      </c>
      <c r="C4" s="6">
        <v>89.16</v>
      </c>
      <c r="D4" s="6">
        <v>87.66</v>
      </c>
      <c r="E4" s="6"/>
      <c r="F4" s="6"/>
      <c r="G4" s="6"/>
      <c r="H4" s="6">
        <v>93.265</v>
      </c>
      <c r="I4" s="6"/>
      <c r="J4" s="6"/>
      <c r="K4" s="6"/>
      <c r="L4" s="6"/>
      <c r="M4" s="6"/>
      <c r="N4" s="6"/>
      <c r="O4" s="6"/>
      <c r="P4" s="6"/>
      <c r="Q4" s="14"/>
    </row>
    <row r="5" spans="1:17">
      <c r="A5" s="5">
        <v>20220202</v>
      </c>
      <c r="B5" s="6">
        <v>88.26</v>
      </c>
      <c r="C5" s="6">
        <v>89.47</v>
      </c>
      <c r="D5" s="6">
        <v>87.71</v>
      </c>
      <c r="E5" s="6"/>
      <c r="F5" s="6"/>
      <c r="G5" s="6"/>
      <c r="H5" s="6">
        <v>91.935</v>
      </c>
      <c r="I5" s="6"/>
      <c r="J5" s="6"/>
      <c r="K5" s="6"/>
      <c r="L5" s="6"/>
      <c r="M5" s="6"/>
      <c r="N5" s="6"/>
      <c r="O5" s="6"/>
      <c r="P5" s="6"/>
      <c r="Q5" s="14"/>
    </row>
    <row r="6" spans="1:17">
      <c r="A6" s="5">
        <v>20220203</v>
      </c>
      <c r="B6" s="6">
        <v>90.27</v>
      </c>
      <c r="C6" s="6">
        <v>91.11</v>
      </c>
      <c r="D6" s="6">
        <v>88</v>
      </c>
      <c r="E6" s="6"/>
      <c r="F6" s="6">
        <v>87.445</v>
      </c>
      <c r="G6" s="6">
        <v>87.99</v>
      </c>
      <c r="H6" s="6">
        <v>93.46</v>
      </c>
      <c r="I6" s="6">
        <v>86.895</v>
      </c>
      <c r="J6" s="6">
        <v>94.34</v>
      </c>
      <c r="K6" s="6">
        <v>94.39</v>
      </c>
      <c r="L6" s="6">
        <v>82.97</v>
      </c>
      <c r="M6" s="6">
        <v>91.75</v>
      </c>
      <c r="N6" s="6">
        <v>88.63</v>
      </c>
      <c r="O6" s="6">
        <v>89.13</v>
      </c>
      <c r="P6" s="6">
        <v>91.29</v>
      </c>
      <c r="Q6" s="14">
        <v>89.43</v>
      </c>
    </row>
    <row r="7" spans="1:17">
      <c r="A7" s="5">
        <v>20220204</v>
      </c>
      <c r="B7" s="6">
        <v>92.31</v>
      </c>
      <c r="C7" s="6">
        <v>93.27</v>
      </c>
      <c r="D7" s="6">
        <v>90.65</v>
      </c>
      <c r="E7" s="6"/>
      <c r="F7" s="6">
        <v>90.25</v>
      </c>
      <c r="G7" s="6">
        <v>90.79</v>
      </c>
      <c r="H7" s="6">
        <v>97.66</v>
      </c>
      <c r="I7" s="6">
        <v>89.555</v>
      </c>
      <c r="J7" s="6">
        <v>96.77</v>
      </c>
      <c r="K7" s="6">
        <v>96.87</v>
      </c>
      <c r="L7" s="6">
        <v>85.575</v>
      </c>
      <c r="M7" s="6">
        <v>95.65</v>
      </c>
      <c r="N7" s="6">
        <v>90.82</v>
      </c>
      <c r="O7" s="6">
        <v>91.32</v>
      </c>
      <c r="P7" s="6">
        <v>93.62</v>
      </c>
      <c r="Q7" s="14">
        <v>92.12</v>
      </c>
    </row>
    <row r="8" spans="1:17">
      <c r="A8" s="5">
        <v>20220207</v>
      </c>
      <c r="B8" s="6">
        <v>91.32</v>
      </c>
      <c r="C8" s="6">
        <v>92.69</v>
      </c>
      <c r="D8" s="6">
        <v>91.38</v>
      </c>
      <c r="E8" s="6">
        <v>566.9</v>
      </c>
      <c r="F8" s="6">
        <v>90.94</v>
      </c>
      <c r="G8" s="6">
        <v>91.44</v>
      </c>
      <c r="H8" s="6">
        <v>98.2</v>
      </c>
      <c r="I8" s="6">
        <v>90.395</v>
      </c>
      <c r="J8" s="6">
        <v>98.06</v>
      </c>
      <c r="K8" s="6">
        <v>98.16</v>
      </c>
      <c r="L8" s="6">
        <v>86.365</v>
      </c>
      <c r="M8" s="6">
        <v>95.27</v>
      </c>
      <c r="N8" s="6">
        <v>91.64</v>
      </c>
      <c r="O8" s="6">
        <v>92.14</v>
      </c>
      <c r="P8" s="6">
        <v>94.81</v>
      </c>
      <c r="Q8" s="14">
        <v>92.89</v>
      </c>
    </row>
    <row r="9" spans="1:17">
      <c r="A9" s="5">
        <v>20220208</v>
      </c>
      <c r="B9" s="6">
        <v>89.36</v>
      </c>
      <c r="C9" s="6">
        <v>90.78</v>
      </c>
      <c r="D9" s="6">
        <v>90.86</v>
      </c>
      <c r="E9" s="6">
        <v>558.7</v>
      </c>
      <c r="F9" s="6">
        <v>90.405</v>
      </c>
      <c r="G9" s="6">
        <v>90.89</v>
      </c>
      <c r="H9" s="6">
        <v>95.34</v>
      </c>
      <c r="I9" s="6">
        <v>89.615</v>
      </c>
      <c r="J9" s="6">
        <v>97.38</v>
      </c>
      <c r="K9" s="6">
        <v>97.48</v>
      </c>
      <c r="L9" s="6">
        <v>85.52</v>
      </c>
      <c r="M9" s="6">
        <v>92.37</v>
      </c>
      <c r="N9" s="6">
        <v>90.97</v>
      </c>
      <c r="O9" s="6">
        <v>91.47</v>
      </c>
      <c r="P9" s="6">
        <v>94.08</v>
      </c>
      <c r="Q9" s="14">
        <v>92.27</v>
      </c>
    </row>
    <row r="10" spans="1:17">
      <c r="A10" s="5">
        <v>20220209</v>
      </c>
      <c r="B10" s="6">
        <v>89.66</v>
      </c>
      <c r="C10" s="6">
        <v>91.55</v>
      </c>
      <c r="D10" s="6">
        <v>90.01</v>
      </c>
      <c r="E10" s="6">
        <v>547.7</v>
      </c>
      <c r="F10" s="6">
        <v>89.36</v>
      </c>
      <c r="G10" s="6">
        <v>89.94</v>
      </c>
      <c r="H10" s="6">
        <v>96.745</v>
      </c>
      <c r="I10" s="6">
        <v>88.195</v>
      </c>
      <c r="J10" s="6">
        <v>94.3</v>
      </c>
      <c r="K10" s="6">
        <v>94.5</v>
      </c>
      <c r="L10" s="6">
        <v>84.29</v>
      </c>
      <c r="M10" s="6">
        <v>92.1</v>
      </c>
      <c r="N10" s="6">
        <v>90.17</v>
      </c>
      <c r="O10" s="6">
        <v>90.67</v>
      </c>
      <c r="P10" s="6">
        <v>91.05</v>
      </c>
      <c r="Q10" s="14">
        <v>91.37</v>
      </c>
    </row>
    <row r="11" spans="1:17">
      <c r="A11" s="5">
        <v>20220210</v>
      </c>
      <c r="B11" s="6">
        <v>89.88</v>
      </c>
      <c r="C11" s="6">
        <v>91.41</v>
      </c>
      <c r="D11" s="6">
        <v>90.95</v>
      </c>
      <c r="E11" s="6">
        <v>548.9</v>
      </c>
      <c r="F11" s="6">
        <v>90.555</v>
      </c>
      <c r="G11" s="6">
        <v>91.04</v>
      </c>
      <c r="H11" s="6">
        <v>97.425</v>
      </c>
      <c r="I11" s="6">
        <v>89.47</v>
      </c>
      <c r="J11" s="6">
        <v>95.35</v>
      </c>
      <c r="K11" s="6">
        <v>95.6</v>
      </c>
      <c r="L11" s="6">
        <v>85.595</v>
      </c>
      <c r="M11" s="6">
        <v>92.87</v>
      </c>
      <c r="N11" s="6">
        <v>91.35</v>
      </c>
      <c r="O11" s="6">
        <v>91.85</v>
      </c>
      <c r="P11" s="6">
        <v>92.1</v>
      </c>
      <c r="Q11" s="14">
        <v>92.7</v>
      </c>
    </row>
    <row r="12" spans="1:17">
      <c r="A12" s="5">
        <v>20220211</v>
      </c>
      <c r="B12" s="6">
        <v>93.1</v>
      </c>
      <c r="C12" s="6">
        <v>94.44</v>
      </c>
      <c r="D12" s="6">
        <v>90.47</v>
      </c>
      <c r="E12" s="6">
        <v>553.8</v>
      </c>
      <c r="F12" s="6">
        <v>90.205</v>
      </c>
      <c r="G12" s="6">
        <v>90.44</v>
      </c>
      <c r="H12" s="6">
        <v>97.835</v>
      </c>
      <c r="I12" s="6">
        <v>89.225</v>
      </c>
      <c r="J12" s="6">
        <v>94.85</v>
      </c>
      <c r="K12" s="6">
        <v>95.1</v>
      </c>
      <c r="L12" s="6">
        <v>85.465</v>
      </c>
      <c r="M12" s="6">
        <v>93.14</v>
      </c>
      <c r="N12" s="6">
        <v>91.18</v>
      </c>
      <c r="O12" s="6">
        <v>91.68</v>
      </c>
      <c r="P12" s="6">
        <v>91.6</v>
      </c>
      <c r="Q12" s="14">
        <v>92.58</v>
      </c>
    </row>
    <row r="13" spans="1:17">
      <c r="A13" s="5">
        <v>20220214</v>
      </c>
      <c r="B13" s="6">
        <v>95.46</v>
      </c>
      <c r="C13" s="6">
        <v>96.48</v>
      </c>
      <c r="D13" s="6">
        <v>92.93</v>
      </c>
      <c r="E13" s="6">
        <v>566.7</v>
      </c>
      <c r="F13" s="6">
        <v>92.75</v>
      </c>
      <c r="G13" s="6">
        <v>92.99</v>
      </c>
      <c r="H13" s="6">
        <v>99.715</v>
      </c>
      <c r="I13" s="6">
        <v>91.955</v>
      </c>
      <c r="J13" s="6">
        <v>97.36</v>
      </c>
      <c r="K13" s="6">
        <v>97.61</v>
      </c>
      <c r="L13" s="6">
        <v>88.175</v>
      </c>
      <c r="M13" s="6">
        <v>94.66</v>
      </c>
      <c r="N13" s="6">
        <v>93.56</v>
      </c>
      <c r="O13" s="6">
        <v>94.06</v>
      </c>
      <c r="P13" s="6">
        <v>94.11</v>
      </c>
      <c r="Q13" s="14">
        <v>95.36</v>
      </c>
    </row>
    <row r="14" spans="1:17">
      <c r="A14" s="5">
        <v>20220215</v>
      </c>
      <c r="B14" s="6">
        <v>92.07</v>
      </c>
      <c r="C14" s="6">
        <v>93.28</v>
      </c>
      <c r="D14" s="6">
        <v>93.39</v>
      </c>
      <c r="E14" s="6">
        <v>570.3</v>
      </c>
      <c r="F14" s="6">
        <v>93.03</v>
      </c>
      <c r="G14" s="6">
        <v>93.34</v>
      </c>
      <c r="H14" s="6">
        <v>97.655</v>
      </c>
      <c r="I14" s="6">
        <v>92.245</v>
      </c>
      <c r="J14" s="6">
        <v>97.68</v>
      </c>
      <c r="K14" s="6">
        <v>97.93</v>
      </c>
      <c r="L14" s="6">
        <v>88.285</v>
      </c>
      <c r="M14" s="6">
        <v>92.57</v>
      </c>
      <c r="N14" s="6">
        <v>93.65</v>
      </c>
      <c r="O14" s="6">
        <v>94.15</v>
      </c>
      <c r="P14" s="6">
        <v>94.48</v>
      </c>
      <c r="Q14" s="14">
        <v>95.85</v>
      </c>
    </row>
    <row r="15" spans="1:17">
      <c r="A15" s="5">
        <v>20220216</v>
      </c>
      <c r="B15" s="6">
        <v>93.66</v>
      </c>
      <c r="C15" s="6">
        <v>94.81</v>
      </c>
      <c r="D15" s="6">
        <v>93.05</v>
      </c>
      <c r="E15" s="6">
        <v>560</v>
      </c>
      <c r="F15" s="6">
        <v>92.56</v>
      </c>
      <c r="G15" s="6">
        <v>92.87</v>
      </c>
      <c r="H15" s="6">
        <v>100.795</v>
      </c>
      <c r="I15" s="6">
        <v>91.85</v>
      </c>
      <c r="J15" s="6">
        <v>97.13</v>
      </c>
      <c r="K15" s="6">
        <v>97.33</v>
      </c>
      <c r="L15" s="6">
        <v>87.855</v>
      </c>
      <c r="M15" s="6">
        <v>95.41</v>
      </c>
      <c r="N15" s="6">
        <v>93.25</v>
      </c>
      <c r="O15" s="6">
        <v>93.75</v>
      </c>
      <c r="P15" s="6">
        <v>93.88</v>
      </c>
      <c r="Q15" s="14">
        <v>95.5</v>
      </c>
    </row>
    <row r="16" spans="1:17">
      <c r="A16" s="5">
        <v>20220217</v>
      </c>
      <c r="B16" s="6">
        <v>91.76</v>
      </c>
      <c r="C16" s="6">
        <v>92.97</v>
      </c>
      <c r="D16" s="6">
        <v>92.53</v>
      </c>
      <c r="E16" s="6">
        <v>566.1</v>
      </c>
      <c r="F16" s="6">
        <v>91.87</v>
      </c>
      <c r="G16" s="6">
        <v>92.39</v>
      </c>
      <c r="H16" s="6">
        <v>97.305</v>
      </c>
      <c r="I16" s="6">
        <v>91.805</v>
      </c>
      <c r="J16" s="6">
        <v>97.6</v>
      </c>
      <c r="K16" s="6">
        <v>97.8</v>
      </c>
      <c r="L16" s="6">
        <v>87.985</v>
      </c>
      <c r="M16" s="6">
        <v>92.6</v>
      </c>
      <c r="N16" s="6">
        <v>92.87</v>
      </c>
      <c r="O16" s="6">
        <v>93.37</v>
      </c>
      <c r="P16" s="6">
        <v>94.35</v>
      </c>
      <c r="Q16" s="14">
        <v>95.17</v>
      </c>
    </row>
    <row r="17" spans="1:17">
      <c r="A17" s="5">
        <v>20220218</v>
      </c>
      <c r="B17" s="6">
        <v>91.07</v>
      </c>
      <c r="C17" s="6">
        <v>93.54</v>
      </c>
      <c r="D17" s="6">
        <v>90.89</v>
      </c>
      <c r="E17" s="6">
        <v>564.6</v>
      </c>
      <c r="F17" s="6">
        <v>90.29</v>
      </c>
      <c r="G17" s="6">
        <v>90.44</v>
      </c>
      <c r="H17" s="6">
        <v>97.35</v>
      </c>
      <c r="I17" s="6">
        <v>89.81</v>
      </c>
      <c r="J17" s="6">
        <v>95.5</v>
      </c>
      <c r="K17" s="6">
        <v>95.65</v>
      </c>
      <c r="L17" s="6">
        <v>86.14</v>
      </c>
      <c r="M17" s="6">
        <v>93.02</v>
      </c>
      <c r="N17" s="6">
        <v>91.02</v>
      </c>
      <c r="O17" s="6">
        <v>91.52</v>
      </c>
      <c r="P17" s="6">
        <v>92.2</v>
      </c>
      <c r="Q17" s="14">
        <v>93.07</v>
      </c>
    </row>
    <row r="18" spans="1:17">
      <c r="A18" s="5">
        <v>20220221</v>
      </c>
      <c r="B18" s="6"/>
      <c r="C18" s="6">
        <v>95.39</v>
      </c>
      <c r="D18" s="6">
        <v>92.24</v>
      </c>
      <c r="E18" s="6">
        <v>565.3</v>
      </c>
      <c r="F18" s="6">
        <v>91.69</v>
      </c>
      <c r="G18" s="6">
        <v>92.07</v>
      </c>
      <c r="H18" s="6">
        <v>98.98</v>
      </c>
      <c r="I18" s="6">
        <v>91.15</v>
      </c>
      <c r="J18" s="6">
        <v>97.24</v>
      </c>
      <c r="K18" s="6">
        <v>96.76</v>
      </c>
      <c r="L18" s="6">
        <v>87.47</v>
      </c>
      <c r="M18" s="6">
        <v>94.71</v>
      </c>
      <c r="N18" s="6">
        <v>92.22</v>
      </c>
      <c r="O18" s="6">
        <v>92.72</v>
      </c>
      <c r="P18" s="6">
        <v>93.24</v>
      </c>
      <c r="Q18" s="14">
        <v>94.37</v>
      </c>
    </row>
    <row r="19" spans="1:17">
      <c r="A19" s="5">
        <v>20220222</v>
      </c>
      <c r="B19" s="6">
        <v>92.35</v>
      </c>
      <c r="C19" s="6">
        <v>96.84</v>
      </c>
      <c r="D19" s="6">
        <v>96.51</v>
      </c>
      <c r="E19" s="6">
        <v>585</v>
      </c>
      <c r="F19" s="6">
        <v>95.96</v>
      </c>
      <c r="G19" s="6">
        <v>96.44</v>
      </c>
      <c r="H19" s="6">
        <v>100.335</v>
      </c>
      <c r="I19" s="6">
        <v>95.675</v>
      </c>
      <c r="J19" s="6">
        <v>101.96</v>
      </c>
      <c r="K19" s="6">
        <v>101.31</v>
      </c>
      <c r="L19" s="6">
        <v>92.02</v>
      </c>
      <c r="M19" s="6">
        <v>95.86</v>
      </c>
      <c r="N19" s="6">
        <v>96.5</v>
      </c>
      <c r="O19" s="6">
        <v>97</v>
      </c>
      <c r="P19" s="6">
        <v>97.71</v>
      </c>
      <c r="Q19" s="20">
        <v>98.65</v>
      </c>
    </row>
    <row r="20" spans="1:17">
      <c r="A20" s="5">
        <v>20220223</v>
      </c>
      <c r="B20" s="6">
        <v>92.1</v>
      </c>
      <c r="C20" s="6">
        <v>96.84</v>
      </c>
      <c r="D20" s="6">
        <v>93.63</v>
      </c>
      <c r="E20" s="6">
        <v>590.1</v>
      </c>
      <c r="F20" s="6">
        <v>93.605</v>
      </c>
      <c r="G20" s="6">
        <v>94.09</v>
      </c>
      <c r="H20" s="6">
        <v>100.485</v>
      </c>
      <c r="I20" s="6">
        <v>93.445</v>
      </c>
      <c r="J20" s="6">
        <v>100.03</v>
      </c>
      <c r="K20" s="6">
        <v>99.73</v>
      </c>
      <c r="L20" s="6">
        <v>89.875</v>
      </c>
      <c r="M20" s="6">
        <v>96.26</v>
      </c>
      <c r="N20" s="6">
        <v>94.26</v>
      </c>
      <c r="O20" s="6">
        <v>94.76</v>
      </c>
      <c r="P20" s="6">
        <v>95.78</v>
      </c>
      <c r="Q20" s="14">
        <v>96.41</v>
      </c>
    </row>
    <row r="21" spans="1:17">
      <c r="A21" s="5">
        <v>20220224</v>
      </c>
      <c r="B21" s="6">
        <v>92.81</v>
      </c>
      <c r="C21" s="6">
        <v>99.08</v>
      </c>
      <c r="D21" s="6">
        <v>97.69</v>
      </c>
      <c r="E21" s="6">
        <v>601.9</v>
      </c>
      <c r="F21" s="6">
        <v>98.6</v>
      </c>
      <c r="G21" s="6">
        <v>99.08</v>
      </c>
      <c r="H21" s="6">
        <v>106.52</v>
      </c>
      <c r="I21" s="6">
        <v>98.35</v>
      </c>
      <c r="J21" s="6">
        <v>105.04</v>
      </c>
      <c r="K21" s="6">
        <v>104.74</v>
      </c>
      <c r="L21" s="6">
        <v>94.78</v>
      </c>
      <c r="M21" s="6">
        <v>101.19</v>
      </c>
      <c r="N21" s="6">
        <v>99.35</v>
      </c>
      <c r="O21" s="6">
        <v>99.85</v>
      </c>
      <c r="P21" s="6">
        <v>100.74</v>
      </c>
      <c r="Q21" s="14">
        <v>101.3</v>
      </c>
    </row>
    <row r="22" spans="1:17">
      <c r="A22" s="5">
        <v>20220225</v>
      </c>
      <c r="B22" s="6">
        <v>91.59</v>
      </c>
      <c r="C22" s="6">
        <v>97.93</v>
      </c>
      <c r="D22" s="6">
        <v>92.68</v>
      </c>
      <c r="E22" s="6">
        <v>621.8</v>
      </c>
      <c r="F22" s="6">
        <v>95.81</v>
      </c>
      <c r="G22" s="6">
        <v>96.29</v>
      </c>
      <c r="H22" s="6">
        <v>99.5</v>
      </c>
      <c r="I22" s="6">
        <v>95.895</v>
      </c>
      <c r="J22" s="6">
        <v>103.81</v>
      </c>
      <c r="K22" s="6">
        <v>103.51</v>
      </c>
      <c r="L22" s="6">
        <v>92.08</v>
      </c>
      <c r="M22" s="6">
        <v>95.62</v>
      </c>
      <c r="N22" s="6">
        <v>96.67</v>
      </c>
      <c r="O22" s="6">
        <v>97.17</v>
      </c>
      <c r="P22" s="6">
        <v>99.41</v>
      </c>
      <c r="Q22" s="14">
        <v>98.52</v>
      </c>
    </row>
    <row r="23" spans="1:17">
      <c r="A23" s="5">
        <v>20220228</v>
      </c>
      <c r="B23" s="6">
        <v>95.72</v>
      </c>
      <c r="C23" s="6">
        <v>100.99</v>
      </c>
      <c r="D23" s="6">
        <v>95.87</v>
      </c>
      <c r="E23" s="6">
        <v>599.2</v>
      </c>
      <c r="F23" s="6">
        <v>96.795</v>
      </c>
      <c r="G23" s="6">
        <v>96.795</v>
      </c>
      <c r="H23" s="6">
        <v>103.2</v>
      </c>
      <c r="I23" s="6">
        <v>95.885</v>
      </c>
      <c r="J23" s="6">
        <v>103.84</v>
      </c>
      <c r="K23" s="6">
        <v>103.64</v>
      </c>
      <c r="L23" s="6">
        <v>91.79</v>
      </c>
      <c r="M23" s="6">
        <v>98.96</v>
      </c>
      <c r="N23" s="6">
        <v>97.39</v>
      </c>
      <c r="O23" s="6">
        <v>97.89</v>
      </c>
      <c r="P23" s="6">
        <v>99.39</v>
      </c>
      <c r="Q23" s="14">
        <v>98.19</v>
      </c>
    </row>
    <row r="24" spans="1:17">
      <c r="A24" s="7" t="s">
        <v>17</v>
      </c>
      <c r="B24" s="8">
        <f>AVERAGE(B23)</f>
        <v>95.72</v>
      </c>
      <c r="C24" s="8">
        <f t="shared" ref="C24:Q24" si="0">AVERAGE(C23)</f>
        <v>100.99</v>
      </c>
      <c r="D24" s="8">
        <f t="shared" si="0"/>
        <v>95.87</v>
      </c>
      <c r="E24" s="8">
        <f t="shared" si="0"/>
        <v>599.2</v>
      </c>
      <c r="F24" s="8">
        <f t="shared" si="0"/>
        <v>96.795</v>
      </c>
      <c r="G24" s="8">
        <f t="shared" si="0"/>
        <v>96.795</v>
      </c>
      <c r="H24" s="8">
        <f t="shared" si="0"/>
        <v>103.2</v>
      </c>
      <c r="I24" s="8">
        <f t="shared" si="0"/>
        <v>95.885</v>
      </c>
      <c r="J24" s="8">
        <f t="shared" si="0"/>
        <v>103.84</v>
      </c>
      <c r="K24" s="8">
        <f t="shared" si="0"/>
        <v>103.64</v>
      </c>
      <c r="L24" s="8">
        <f t="shared" si="0"/>
        <v>91.79</v>
      </c>
      <c r="M24" s="8">
        <f t="shared" si="0"/>
        <v>98.96</v>
      </c>
      <c r="N24" s="8">
        <f t="shared" si="0"/>
        <v>97.39</v>
      </c>
      <c r="O24" s="8">
        <f t="shared" si="0"/>
        <v>97.89</v>
      </c>
      <c r="P24" s="8">
        <f t="shared" si="0"/>
        <v>99.39</v>
      </c>
      <c r="Q24" s="15">
        <f t="shared" si="0"/>
        <v>98.19</v>
      </c>
    </row>
    <row r="25" ht="22.5" spans="1:17">
      <c r="A25" s="3" t="s">
        <v>35</v>
      </c>
      <c r="B25" s="9">
        <f>AVERAGE(B4:B23)</f>
        <v>91.628947368421</v>
      </c>
      <c r="C25" s="9">
        <f t="shared" ref="C25:Q25" si="1">AVERAGE(C4:C23)</f>
        <v>94.1015</v>
      </c>
      <c r="D25" s="9">
        <f t="shared" si="1"/>
        <v>91.955</v>
      </c>
      <c r="E25" s="9">
        <f t="shared" si="1"/>
        <v>572.9375</v>
      </c>
      <c r="F25" s="9">
        <f t="shared" si="1"/>
        <v>92.34</v>
      </c>
      <c r="G25" s="9">
        <f t="shared" si="1"/>
        <v>92.7402777777778</v>
      </c>
      <c r="H25" s="9">
        <f t="shared" si="1"/>
        <v>98.18525</v>
      </c>
      <c r="I25" s="9">
        <f t="shared" si="1"/>
        <v>91.7452777777778</v>
      </c>
      <c r="J25" s="9">
        <f t="shared" si="1"/>
        <v>98.2355555555555</v>
      </c>
      <c r="K25" s="9">
        <f t="shared" si="1"/>
        <v>98.2283333333334</v>
      </c>
      <c r="L25" s="9">
        <f t="shared" si="1"/>
        <v>87.9019444444444</v>
      </c>
      <c r="M25" s="9">
        <f t="shared" si="1"/>
        <v>94.6672222222222</v>
      </c>
      <c r="N25" s="9">
        <f t="shared" si="1"/>
        <v>93.0833333333333</v>
      </c>
      <c r="O25" s="9">
        <f t="shared" si="1"/>
        <v>93.5833333333333</v>
      </c>
      <c r="P25" s="9">
        <f t="shared" si="1"/>
        <v>94.6577777777778</v>
      </c>
      <c r="Q25" s="16">
        <f t="shared" si="1"/>
        <v>94.7638888888889</v>
      </c>
    </row>
    <row r="26" ht="23.25" spans="1:17">
      <c r="A26" s="10" t="s">
        <v>19</v>
      </c>
      <c r="B26" s="11">
        <f t="shared" ref="B26:Q26" si="2">(B25-B2)/B2</f>
        <v>0.104242607990227</v>
      </c>
      <c r="C26" s="11">
        <f t="shared" si="2"/>
        <v>0.0996714004295999</v>
      </c>
      <c r="D26" s="11">
        <f t="shared" si="2"/>
        <v>0.0996332761988282</v>
      </c>
      <c r="E26" s="11">
        <f t="shared" si="2"/>
        <v>0.0897036447540969</v>
      </c>
      <c r="F26" s="11">
        <f t="shared" si="2"/>
        <v>0.106461405030356</v>
      </c>
      <c r="G26" s="11">
        <f t="shared" si="2"/>
        <v>0.109731695318628</v>
      </c>
      <c r="H26" s="11">
        <f t="shared" si="2"/>
        <v>0.125729125164456</v>
      </c>
      <c r="I26" s="11">
        <f t="shared" si="2"/>
        <v>0.116251931247586</v>
      </c>
      <c r="J26" s="11">
        <f t="shared" si="2"/>
        <v>0.10524276144605</v>
      </c>
      <c r="K26" s="11">
        <f t="shared" si="2"/>
        <v>0.102238359355797</v>
      </c>
      <c r="L26" s="11">
        <f t="shared" si="2"/>
        <v>0.129160830035255</v>
      </c>
      <c r="M26" s="11">
        <f t="shared" si="2"/>
        <v>0.0935590775138875</v>
      </c>
      <c r="N26" s="11">
        <f t="shared" si="2"/>
        <v>0.0967323855156703</v>
      </c>
      <c r="O26" s="11">
        <f t="shared" si="2"/>
        <v>0.0961658597532406</v>
      </c>
      <c r="P26" s="11">
        <f t="shared" si="2"/>
        <v>0.0995786488755691</v>
      </c>
      <c r="Q26" s="17">
        <f t="shared" si="2"/>
        <v>0.109004294747479</v>
      </c>
    </row>
    <row r="27" ht="15"/>
  </sheetData>
  <pageMargins left="0.75" right="0.75" top="1" bottom="1" header="0.5" footer="0.5"/>
  <pageSetup paperSize="9" orientation="portrait" horizontalDpi="600" verticalDpi="600"/>
  <headerFooter/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4"/>
  <dimension ref="A1:Q27"/>
  <sheetViews>
    <sheetView workbookViewId="0">
      <selection activeCell="F28" sqref="F28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24</v>
      </c>
      <c r="B2" s="9">
        <v>71.69</v>
      </c>
      <c r="C2" s="9">
        <v>74.8039130434783</v>
      </c>
      <c r="D2" s="9">
        <v>73.1363636363636</v>
      </c>
      <c r="E2" s="9">
        <v>467.521739130435</v>
      </c>
      <c r="F2" s="9">
        <v>73.1854545454545</v>
      </c>
      <c r="G2" s="9">
        <v>73.2081818181818</v>
      </c>
      <c r="H2" s="9">
        <v>74.0957142857143</v>
      </c>
      <c r="I2" s="9">
        <v>71.5956818181818</v>
      </c>
      <c r="J2" s="9">
        <v>77.9545454545455</v>
      </c>
      <c r="K2" s="9">
        <v>77.7845454545455</v>
      </c>
      <c r="L2" s="9">
        <v>67.4527272727273</v>
      </c>
      <c r="M2" s="6">
        <v>75.7304761904762</v>
      </c>
      <c r="N2" s="6">
        <v>75.4913636363636</v>
      </c>
      <c r="O2" s="6">
        <v>75.9913636363636</v>
      </c>
      <c r="P2" s="6">
        <v>75.7180952380952</v>
      </c>
      <c r="Q2" s="16">
        <v>74.4777272727273</v>
      </c>
    </row>
    <row r="3" spans="1:17">
      <c r="A3" s="5">
        <v>20220103</v>
      </c>
      <c r="B3" s="6">
        <v>76.08</v>
      </c>
      <c r="C3" s="6">
        <v>78.98</v>
      </c>
      <c r="D3" s="6">
        <v>76.95</v>
      </c>
      <c r="E3" s="6"/>
      <c r="F3" s="6">
        <v>76.85</v>
      </c>
      <c r="G3" s="6">
        <v>76.95</v>
      </c>
      <c r="H3" s="6"/>
      <c r="I3" s="6">
        <v>75.15</v>
      </c>
      <c r="J3" s="6">
        <v>82.65</v>
      </c>
      <c r="K3" s="6">
        <v>83.05</v>
      </c>
      <c r="L3" s="6">
        <v>70.75</v>
      </c>
      <c r="M3" s="6"/>
      <c r="N3" s="6">
        <v>79</v>
      </c>
      <c r="O3" s="6">
        <v>79.5</v>
      </c>
      <c r="P3" s="6"/>
      <c r="Q3" s="14">
        <v>78.4</v>
      </c>
    </row>
    <row r="4" spans="1:17">
      <c r="A4" s="5">
        <v>20220104</v>
      </c>
      <c r="B4" s="6">
        <v>76.99</v>
      </c>
      <c r="C4" s="6">
        <v>80</v>
      </c>
      <c r="D4" s="6">
        <v>77.59</v>
      </c>
      <c r="E4" s="6">
        <v>494.1</v>
      </c>
      <c r="F4" s="6">
        <v>77.49</v>
      </c>
      <c r="G4" s="6">
        <v>77.59</v>
      </c>
      <c r="H4" s="6">
        <v>78.99</v>
      </c>
      <c r="I4" s="6">
        <v>75.68</v>
      </c>
      <c r="J4" s="6">
        <v>82.85</v>
      </c>
      <c r="K4" s="6">
        <v>83.25</v>
      </c>
      <c r="L4" s="6">
        <v>71.355</v>
      </c>
      <c r="M4" s="6">
        <v>81.25</v>
      </c>
      <c r="N4" s="6">
        <v>79.32</v>
      </c>
      <c r="O4" s="6">
        <v>79.82</v>
      </c>
      <c r="P4" s="6">
        <v>80.3</v>
      </c>
      <c r="Q4" s="14">
        <v>78.92</v>
      </c>
    </row>
    <row r="5" spans="1:17">
      <c r="A5" s="5">
        <v>20220105</v>
      </c>
      <c r="B5" s="6">
        <v>77.85</v>
      </c>
      <c r="C5" s="6">
        <v>80.8</v>
      </c>
      <c r="D5" s="6">
        <v>78.42</v>
      </c>
      <c r="E5" s="6">
        <v>500.9</v>
      </c>
      <c r="F5" s="6">
        <v>78.395</v>
      </c>
      <c r="G5" s="6">
        <v>78.44</v>
      </c>
      <c r="H5" s="6">
        <v>80.9</v>
      </c>
      <c r="I5" s="6">
        <v>76.535</v>
      </c>
      <c r="J5" s="6">
        <v>83.89</v>
      </c>
      <c r="K5" s="6">
        <v>84.19</v>
      </c>
      <c r="L5" s="6">
        <v>72.085</v>
      </c>
      <c r="M5" s="6">
        <v>82.6</v>
      </c>
      <c r="N5" s="6">
        <v>80.05</v>
      </c>
      <c r="O5" s="6">
        <v>80.55</v>
      </c>
      <c r="P5" s="6">
        <v>81.24</v>
      </c>
      <c r="Q5" s="14">
        <v>79.75</v>
      </c>
    </row>
    <row r="6" spans="1:17">
      <c r="A6" s="5">
        <v>20220106</v>
      </c>
      <c r="B6" s="6">
        <v>79.46</v>
      </c>
      <c r="C6" s="6">
        <v>81.99</v>
      </c>
      <c r="D6" s="6">
        <v>78.86</v>
      </c>
      <c r="E6" s="6">
        <v>504.9</v>
      </c>
      <c r="F6" s="6">
        <v>78.81</v>
      </c>
      <c r="G6" s="6">
        <v>78.85</v>
      </c>
      <c r="H6" s="6">
        <v>82.305</v>
      </c>
      <c r="I6" s="6">
        <v>77.08</v>
      </c>
      <c r="J6" s="6">
        <v>84.45</v>
      </c>
      <c r="K6" s="6">
        <v>84.7</v>
      </c>
      <c r="L6" s="6">
        <v>72.615</v>
      </c>
      <c r="M6" s="6">
        <v>83.61</v>
      </c>
      <c r="N6" s="6">
        <v>80.3</v>
      </c>
      <c r="O6" s="6">
        <v>80.8</v>
      </c>
      <c r="P6" s="6">
        <v>81.7</v>
      </c>
      <c r="Q6" s="14">
        <v>80.2</v>
      </c>
    </row>
    <row r="7" spans="1:17">
      <c r="A7" s="5">
        <v>20220107</v>
      </c>
      <c r="B7" s="6">
        <v>78.9</v>
      </c>
      <c r="C7" s="6">
        <v>81.75</v>
      </c>
      <c r="D7" s="6">
        <v>80.71</v>
      </c>
      <c r="E7" s="6">
        <v>515.7</v>
      </c>
      <c r="F7" s="6">
        <v>80.585</v>
      </c>
      <c r="G7" s="6">
        <v>80.69</v>
      </c>
      <c r="H7" s="6">
        <v>82.48</v>
      </c>
      <c r="I7" s="6">
        <v>78.98</v>
      </c>
      <c r="J7" s="6">
        <v>86.39</v>
      </c>
      <c r="K7" s="6">
        <v>86.59</v>
      </c>
      <c r="L7" s="6">
        <v>74.645</v>
      </c>
      <c r="M7" s="6">
        <v>83.27</v>
      </c>
      <c r="N7" s="6">
        <v>81.9</v>
      </c>
      <c r="O7" s="6">
        <v>82.4</v>
      </c>
      <c r="P7" s="6">
        <v>83.59</v>
      </c>
      <c r="Q7" s="14">
        <v>81.95</v>
      </c>
    </row>
    <row r="8" spans="1:17">
      <c r="A8" s="5">
        <v>20220110</v>
      </c>
      <c r="B8" s="6">
        <v>78.23</v>
      </c>
      <c r="C8" s="6">
        <v>80.87</v>
      </c>
      <c r="D8" s="6">
        <v>80.38</v>
      </c>
      <c r="E8" s="6">
        <v>511.6</v>
      </c>
      <c r="F8" s="6">
        <v>80.34</v>
      </c>
      <c r="G8" s="6">
        <v>80.39</v>
      </c>
      <c r="H8" s="6">
        <v>82.245</v>
      </c>
      <c r="I8" s="6">
        <v>78.685</v>
      </c>
      <c r="J8" s="6">
        <v>85.59</v>
      </c>
      <c r="K8" s="6">
        <v>85.99</v>
      </c>
      <c r="L8" s="6">
        <v>74.35</v>
      </c>
      <c r="M8" s="6">
        <v>81.92</v>
      </c>
      <c r="N8" s="6">
        <v>81.7</v>
      </c>
      <c r="O8" s="6">
        <v>82.2</v>
      </c>
      <c r="P8" s="6">
        <v>82.69</v>
      </c>
      <c r="Q8" s="14">
        <v>81.75</v>
      </c>
    </row>
    <row r="9" spans="1:17">
      <c r="A9" s="5">
        <v>20220111</v>
      </c>
      <c r="B9" s="6">
        <v>81.22</v>
      </c>
      <c r="C9" s="6">
        <v>83.72</v>
      </c>
      <c r="D9" s="6">
        <v>79.97</v>
      </c>
      <c r="E9" s="6">
        <v>509.1</v>
      </c>
      <c r="F9" s="6">
        <v>79.98</v>
      </c>
      <c r="G9" s="6">
        <v>79.99</v>
      </c>
      <c r="H9" s="6">
        <v>84.65</v>
      </c>
      <c r="I9" s="6">
        <v>78.57</v>
      </c>
      <c r="J9" s="6">
        <v>85.22</v>
      </c>
      <c r="K9" s="6">
        <v>85.62</v>
      </c>
      <c r="L9" s="6">
        <v>74.45</v>
      </c>
      <c r="M9" s="6">
        <v>83.93</v>
      </c>
      <c r="N9" s="6">
        <v>81.31</v>
      </c>
      <c r="O9" s="6">
        <v>81.81</v>
      </c>
      <c r="P9" s="6">
        <v>82.27</v>
      </c>
      <c r="Q9" s="14">
        <v>81.41</v>
      </c>
    </row>
    <row r="10" spans="1:17">
      <c r="A10" s="5">
        <v>20220112</v>
      </c>
      <c r="B10" s="6">
        <v>82.64</v>
      </c>
      <c r="C10" s="6">
        <v>84.67</v>
      </c>
      <c r="D10" s="6">
        <v>82.27</v>
      </c>
      <c r="E10" s="6">
        <v>514.7</v>
      </c>
      <c r="F10" s="6">
        <v>82.21</v>
      </c>
      <c r="G10" s="6">
        <v>82.25</v>
      </c>
      <c r="H10" s="6">
        <v>86.53</v>
      </c>
      <c r="I10" s="6">
        <v>80.795</v>
      </c>
      <c r="J10" s="6">
        <v>87.6</v>
      </c>
      <c r="K10" s="6">
        <v>87.95</v>
      </c>
      <c r="L10" s="6">
        <v>76.63</v>
      </c>
      <c r="M10" s="6">
        <v>85.21</v>
      </c>
      <c r="N10" s="6">
        <v>83.5</v>
      </c>
      <c r="O10" s="6">
        <v>84</v>
      </c>
      <c r="P10" s="6">
        <v>84.5</v>
      </c>
      <c r="Q10" s="14">
        <v>83.65</v>
      </c>
    </row>
    <row r="11" spans="1:17">
      <c r="A11" s="5">
        <v>20220113</v>
      </c>
      <c r="B11" s="6">
        <v>82.12</v>
      </c>
      <c r="C11" s="6">
        <v>84.47</v>
      </c>
      <c r="D11" s="6">
        <v>82.94</v>
      </c>
      <c r="E11" s="6">
        <v>523.8</v>
      </c>
      <c r="F11" s="6">
        <v>82.945</v>
      </c>
      <c r="G11" s="6">
        <v>82.98</v>
      </c>
      <c r="H11" s="6">
        <v>86.195</v>
      </c>
      <c r="I11" s="6">
        <v>81.475</v>
      </c>
      <c r="J11" s="6">
        <v>88.22</v>
      </c>
      <c r="K11" s="6">
        <v>88.57</v>
      </c>
      <c r="L11" s="6">
        <v>77.27</v>
      </c>
      <c r="M11" s="6">
        <v>85.01</v>
      </c>
      <c r="N11" s="6">
        <v>84.03</v>
      </c>
      <c r="O11" s="6">
        <v>84.53</v>
      </c>
      <c r="P11" s="6">
        <v>85.12</v>
      </c>
      <c r="Q11" s="14">
        <v>84.43</v>
      </c>
    </row>
    <row r="12" spans="1:17">
      <c r="A12" s="5">
        <v>20220114</v>
      </c>
      <c r="B12" s="6">
        <v>83.82</v>
      </c>
      <c r="C12" s="6">
        <v>86.06</v>
      </c>
      <c r="D12" s="6">
        <v>83.78</v>
      </c>
      <c r="E12" s="6">
        <v>525.1</v>
      </c>
      <c r="F12" s="6">
        <v>83.74</v>
      </c>
      <c r="G12" s="6">
        <v>83.77</v>
      </c>
      <c r="H12" s="6">
        <v>86.965</v>
      </c>
      <c r="I12" s="6">
        <v>82.045</v>
      </c>
      <c r="J12" s="6">
        <v>88.6</v>
      </c>
      <c r="K12" s="6">
        <v>88.9</v>
      </c>
      <c r="L12" s="6">
        <v>77.685</v>
      </c>
      <c r="M12" s="6">
        <v>85.97</v>
      </c>
      <c r="N12" s="6">
        <v>84.49</v>
      </c>
      <c r="O12" s="6">
        <v>84.99</v>
      </c>
      <c r="P12" s="6">
        <v>85.45</v>
      </c>
      <c r="Q12" s="14">
        <v>85.09</v>
      </c>
    </row>
    <row r="13" spans="1:17">
      <c r="A13" s="5">
        <v>20220117</v>
      </c>
      <c r="B13" s="6"/>
      <c r="C13" s="6">
        <v>86.48</v>
      </c>
      <c r="D13" s="6">
        <v>84.94</v>
      </c>
      <c r="E13" s="6">
        <v>530.4</v>
      </c>
      <c r="F13" s="6">
        <v>84.9</v>
      </c>
      <c r="G13" s="6">
        <v>84.93</v>
      </c>
      <c r="H13" s="6">
        <v>87.72</v>
      </c>
      <c r="I13" s="6">
        <v>83.255</v>
      </c>
      <c r="J13" s="6">
        <v>89.66</v>
      </c>
      <c r="K13" s="6">
        <v>89.96</v>
      </c>
      <c r="L13" s="6">
        <v>78.86</v>
      </c>
      <c r="M13" s="6">
        <v>86.72</v>
      </c>
      <c r="N13" s="6">
        <v>85.54</v>
      </c>
      <c r="O13" s="6">
        <v>86.04</v>
      </c>
      <c r="P13" s="6">
        <v>86.41</v>
      </c>
      <c r="Q13" s="14">
        <v>86.24</v>
      </c>
    </row>
    <row r="14" spans="1:17">
      <c r="A14" s="5">
        <v>20220118</v>
      </c>
      <c r="B14" s="6">
        <v>85.43</v>
      </c>
      <c r="C14" s="6">
        <v>87.51</v>
      </c>
      <c r="D14" s="6">
        <v>86.7</v>
      </c>
      <c r="E14" s="6">
        <v>536.3</v>
      </c>
      <c r="F14" s="6">
        <v>86.55</v>
      </c>
      <c r="G14" s="6">
        <v>86.55</v>
      </c>
      <c r="H14" s="6">
        <v>88.525</v>
      </c>
      <c r="I14" s="6">
        <v>85.56</v>
      </c>
      <c r="J14" s="6">
        <v>91.39</v>
      </c>
      <c r="K14" s="6">
        <v>91.74</v>
      </c>
      <c r="L14" s="6">
        <v>81.145</v>
      </c>
      <c r="M14" s="6">
        <v>87.48</v>
      </c>
      <c r="N14" s="6">
        <v>87.28</v>
      </c>
      <c r="O14" s="6">
        <v>87.78</v>
      </c>
      <c r="P14" s="6">
        <v>88.04</v>
      </c>
      <c r="Q14" s="14">
        <v>88.93</v>
      </c>
    </row>
    <row r="15" spans="1:17">
      <c r="A15" s="5">
        <v>20220119</v>
      </c>
      <c r="B15" s="6">
        <v>86.96</v>
      </c>
      <c r="C15" s="6">
        <v>88.44</v>
      </c>
      <c r="D15" s="6">
        <v>86.47</v>
      </c>
      <c r="E15" s="6">
        <v>544.7</v>
      </c>
      <c r="F15" s="6">
        <v>86.34</v>
      </c>
      <c r="G15" s="6">
        <v>86.34</v>
      </c>
      <c r="H15" s="6">
        <v>90.51</v>
      </c>
      <c r="I15" s="6">
        <v>85.385</v>
      </c>
      <c r="J15" s="6">
        <v>91.19</v>
      </c>
      <c r="K15" s="6">
        <v>91.64</v>
      </c>
      <c r="L15" s="6">
        <v>81.05</v>
      </c>
      <c r="M15" s="6">
        <v>88.89</v>
      </c>
      <c r="N15" s="6">
        <v>87.37</v>
      </c>
      <c r="O15" s="6">
        <v>87.87</v>
      </c>
      <c r="P15" s="6">
        <v>87.84</v>
      </c>
      <c r="Q15" s="14">
        <v>88.82</v>
      </c>
    </row>
    <row r="16" spans="1:17">
      <c r="A16" s="5">
        <v>20220120</v>
      </c>
      <c r="B16" s="6">
        <v>86.9</v>
      </c>
      <c r="C16" s="6">
        <v>88.38</v>
      </c>
      <c r="D16" s="6">
        <v>86.38</v>
      </c>
      <c r="E16" s="6">
        <v>546.4</v>
      </c>
      <c r="F16" s="6">
        <v>86.295</v>
      </c>
      <c r="G16" s="6">
        <v>86.39</v>
      </c>
      <c r="H16" s="6">
        <v>90.915</v>
      </c>
      <c r="I16" s="6">
        <v>85.57</v>
      </c>
      <c r="J16" s="6">
        <v>91.77</v>
      </c>
      <c r="K16" s="6">
        <v>91.92</v>
      </c>
      <c r="L16" s="6">
        <v>81.245</v>
      </c>
      <c r="M16" s="6">
        <v>89.24</v>
      </c>
      <c r="N16" s="6">
        <v>87.59</v>
      </c>
      <c r="O16" s="6">
        <v>88.09</v>
      </c>
      <c r="P16" s="6">
        <v>88.02</v>
      </c>
      <c r="Q16" s="14">
        <v>88.84</v>
      </c>
    </row>
    <row r="17" spans="1:17">
      <c r="A17" s="5">
        <v>20220121</v>
      </c>
      <c r="B17" s="6">
        <v>85.14</v>
      </c>
      <c r="C17" s="6">
        <v>87.89</v>
      </c>
      <c r="D17" s="6">
        <v>85.23</v>
      </c>
      <c r="E17" s="6">
        <v>540</v>
      </c>
      <c r="F17" s="6">
        <v>85.1</v>
      </c>
      <c r="G17" s="6">
        <v>85.2</v>
      </c>
      <c r="H17" s="6">
        <v>89.805</v>
      </c>
      <c r="I17" s="6">
        <v>84.32</v>
      </c>
      <c r="J17" s="6">
        <v>90.64</v>
      </c>
      <c r="K17" s="6">
        <v>90.79</v>
      </c>
      <c r="L17" s="6">
        <v>80.035</v>
      </c>
      <c r="M17" s="6">
        <v>88.69</v>
      </c>
      <c r="N17" s="6">
        <v>86.66</v>
      </c>
      <c r="O17" s="6">
        <v>87.16</v>
      </c>
      <c r="P17" s="6">
        <v>87.29</v>
      </c>
      <c r="Q17" s="14">
        <v>87.71</v>
      </c>
    </row>
    <row r="18" spans="1:17">
      <c r="A18" s="5">
        <v>20220124</v>
      </c>
      <c r="B18" s="6">
        <v>83.31</v>
      </c>
      <c r="C18" s="6">
        <v>86.27</v>
      </c>
      <c r="D18" s="6">
        <v>86.94</v>
      </c>
      <c r="E18" s="6">
        <v>540.5</v>
      </c>
      <c r="F18" s="6">
        <v>86.74</v>
      </c>
      <c r="G18" s="6">
        <v>86.88</v>
      </c>
      <c r="H18" s="6">
        <v>87.52</v>
      </c>
      <c r="I18" s="6">
        <v>85.98</v>
      </c>
      <c r="J18" s="6">
        <v>92.29</v>
      </c>
      <c r="K18" s="6">
        <v>92.44</v>
      </c>
      <c r="L18" s="6">
        <v>81.52</v>
      </c>
      <c r="M18" s="6">
        <v>86.36</v>
      </c>
      <c r="N18" s="6">
        <v>88.34</v>
      </c>
      <c r="O18" s="6">
        <v>88.84</v>
      </c>
      <c r="P18" s="6">
        <v>88.94</v>
      </c>
      <c r="Q18" s="14">
        <v>89.49</v>
      </c>
    </row>
    <row r="19" spans="1:17">
      <c r="A19" s="5">
        <v>20220125</v>
      </c>
      <c r="B19" s="6">
        <v>85.6</v>
      </c>
      <c r="C19" s="6">
        <v>88.2</v>
      </c>
      <c r="D19" s="6">
        <v>85.28</v>
      </c>
      <c r="E19" s="6">
        <v>529.9</v>
      </c>
      <c r="F19" s="6">
        <v>84.85</v>
      </c>
      <c r="G19" s="6">
        <v>85.16</v>
      </c>
      <c r="H19" s="6">
        <v>89.45</v>
      </c>
      <c r="I19" s="6">
        <v>84.14</v>
      </c>
      <c r="J19" s="6">
        <v>90.57</v>
      </c>
      <c r="K19" s="6">
        <v>90.67</v>
      </c>
      <c r="L19" s="6">
        <v>79.665</v>
      </c>
      <c r="M19" s="6">
        <v>88.16</v>
      </c>
      <c r="N19" s="6">
        <v>86.72</v>
      </c>
      <c r="O19" s="6">
        <v>87.22</v>
      </c>
      <c r="P19" s="6">
        <v>87.27</v>
      </c>
      <c r="Q19" s="14">
        <v>87.82</v>
      </c>
    </row>
    <row r="20" spans="1:17">
      <c r="A20" s="5">
        <v>20220126</v>
      </c>
      <c r="B20" s="6">
        <v>87.35</v>
      </c>
      <c r="C20" s="6">
        <v>89.96</v>
      </c>
      <c r="D20" s="6">
        <v>87.3</v>
      </c>
      <c r="E20" s="6">
        <v>533.6</v>
      </c>
      <c r="F20" s="6">
        <v>86.74</v>
      </c>
      <c r="G20" s="6">
        <v>87.29</v>
      </c>
      <c r="H20" s="6">
        <v>92.015</v>
      </c>
      <c r="I20" s="6">
        <v>85.72</v>
      </c>
      <c r="J20" s="6">
        <v>92.3</v>
      </c>
      <c r="K20" s="6">
        <v>92.25</v>
      </c>
      <c r="L20" s="6">
        <v>81.345</v>
      </c>
      <c r="M20" s="6">
        <v>90.73</v>
      </c>
      <c r="N20" s="6">
        <v>88.44</v>
      </c>
      <c r="O20" s="6">
        <v>88.94</v>
      </c>
      <c r="P20" s="6">
        <v>89.1</v>
      </c>
      <c r="Q20" s="14">
        <v>89.44</v>
      </c>
    </row>
    <row r="21" spans="1:17">
      <c r="A21" s="5">
        <v>20220127</v>
      </c>
      <c r="B21" s="6">
        <v>86.61</v>
      </c>
      <c r="C21" s="6">
        <v>89.34</v>
      </c>
      <c r="D21" s="6">
        <v>89.08</v>
      </c>
      <c r="E21" s="6">
        <v>545.6</v>
      </c>
      <c r="F21" s="6">
        <v>87.77</v>
      </c>
      <c r="G21" s="6">
        <v>88.32</v>
      </c>
      <c r="H21" s="6">
        <v>91.285</v>
      </c>
      <c r="I21" s="6">
        <v>86.86</v>
      </c>
      <c r="J21" s="6">
        <v>93.5</v>
      </c>
      <c r="K21" s="6">
        <v>93.5</v>
      </c>
      <c r="L21" s="6">
        <v>82.485</v>
      </c>
      <c r="M21" s="6">
        <v>90.29</v>
      </c>
      <c r="N21" s="6">
        <v>89.47</v>
      </c>
      <c r="O21" s="6">
        <v>89.97</v>
      </c>
      <c r="P21" s="6">
        <v>90.4</v>
      </c>
      <c r="Q21" s="14">
        <v>90.42</v>
      </c>
    </row>
    <row r="22" spans="1:17">
      <c r="A22" s="5">
        <v>20220128</v>
      </c>
      <c r="B22" s="6">
        <v>86.82</v>
      </c>
      <c r="C22" s="6">
        <v>90.03</v>
      </c>
      <c r="D22" s="6">
        <v>87.42</v>
      </c>
      <c r="E22" s="6">
        <v>542.4</v>
      </c>
      <c r="F22" s="6">
        <v>87.56</v>
      </c>
      <c r="G22" s="6">
        <v>87.56</v>
      </c>
      <c r="H22" s="6">
        <v>92.86</v>
      </c>
      <c r="I22" s="6">
        <v>86.68</v>
      </c>
      <c r="J22" s="6">
        <v>93.34</v>
      </c>
      <c r="K22" s="6">
        <v>93.34</v>
      </c>
      <c r="L22" s="6">
        <v>82.38</v>
      </c>
      <c r="M22" s="6">
        <v>91.27</v>
      </c>
      <c r="N22" s="6">
        <v>89.28</v>
      </c>
      <c r="O22" s="6">
        <v>89.78</v>
      </c>
      <c r="P22" s="6">
        <v>90.24</v>
      </c>
      <c r="Q22" s="14">
        <v>90.23</v>
      </c>
    </row>
    <row r="23" spans="1:17">
      <c r="A23" s="5">
        <v>20220131</v>
      </c>
      <c r="B23" s="6">
        <v>88.15</v>
      </c>
      <c r="C23" s="6">
        <v>91.21</v>
      </c>
      <c r="D23" s="6">
        <v>88.48</v>
      </c>
      <c r="E23" s="6"/>
      <c r="F23" s="6">
        <v>88.37</v>
      </c>
      <c r="G23" s="6">
        <v>88.45</v>
      </c>
      <c r="H23" s="6">
        <v>92.52</v>
      </c>
      <c r="I23" s="6">
        <v>87.535</v>
      </c>
      <c r="J23" s="6">
        <v>94.4</v>
      </c>
      <c r="K23" s="6">
        <v>94.4</v>
      </c>
      <c r="L23" s="6">
        <v>83.225</v>
      </c>
      <c r="M23" s="6">
        <v>90.76</v>
      </c>
      <c r="N23" s="6">
        <v>90.05</v>
      </c>
      <c r="O23" s="6">
        <v>90.55</v>
      </c>
      <c r="P23" s="6">
        <v>91.3</v>
      </c>
      <c r="Q23" s="6">
        <v>90.95</v>
      </c>
    </row>
    <row r="24" spans="1:17">
      <c r="A24" s="7" t="s">
        <v>17</v>
      </c>
      <c r="B24" s="8">
        <f>AVERAGE(B23)</f>
        <v>88.15</v>
      </c>
      <c r="C24" s="8">
        <f t="shared" ref="C24:Q24" si="0">AVERAGE(C23)</f>
        <v>91.21</v>
      </c>
      <c r="D24" s="8">
        <f t="shared" si="0"/>
        <v>88.48</v>
      </c>
      <c r="E24" s="8"/>
      <c r="F24" s="8">
        <f t="shared" si="0"/>
        <v>88.37</v>
      </c>
      <c r="G24" s="8">
        <f t="shared" si="0"/>
        <v>88.45</v>
      </c>
      <c r="H24" s="8">
        <f t="shared" si="0"/>
        <v>92.52</v>
      </c>
      <c r="I24" s="8">
        <f t="shared" si="0"/>
        <v>87.535</v>
      </c>
      <c r="J24" s="8">
        <f t="shared" si="0"/>
        <v>94.4</v>
      </c>
      <c r="K24" s="8">
        <f t="shared" si="0"/>
        <v>94.4</v>
      </c>
      <c r="L24" s="8">
        <f t="shared" si="0"/>
        <v>83.225</v>
      </c>
      <c r="M24" s="8">
        <f t="shared" si="0"/>
        <v>90.76</v>
      </c>
      <c r="N24" s="8">
        <f t="shared" si="0"/>
        <v>90.05</v>
      </c>
      <c r="O24" s="8">
        <f t="shared" si="0"/>
        <v>90.55</v>
      </c>
      <c r="P24" s="8">
        <f t="shared" si="0"/>
        <v>91.3</v>
      </c>
      <c r="Q24" s="8">
        <f t="shared" si="0"/>
        <v>90.95</v>
      </c>
    </row>
    <row r="25" ht="22.5" spans="1:17">
      <c r="A25" s="3" t="s">
        <v>36</v>
      </c>
      <c r="B25" s="9">
        <f>AVERAGE(B3:B23)</f>
        <v>82.979</v>
      </c>
      <c r="C25" s="9">
        <f t="shared" ref="C25:Q25" si="1">AVERAGE(C3:C23)</f>
        <v>85.572380952381</v>
      </c>
      <c r="D25" s="9">
        <f t="shared" si="1"/>
        <v>83.6233333333333</v>
      </c>
      <c r="E25" s="9">
        <f t="shared" si="1"/>
        <v>525.773684210526</v>
      </c>
      <c r="F25" s="9">
        <f t="shared" si="1"/>
        <v>83.4552380952381</v>
      </c>
      <c r="G25" s="9">
        <f t="shared" si="1"/>
        <v>83.57</v>
      </c>
      <c r="H25" s="9">
        <f t="shared" si="1"/>
        <v>87.21925</v>
      </c>
      <c r="I25" s="9">
        <f t="shared" si="1"/>
        <v>82.1904761904762</v>
      </c>
      <c r="J25" s="9">
        <f t="shared" si="1"/>
        <v>88.8814285714286</v>
      </c>
      <c r="K25" s="9">
        <f t="shared" si="1"/>
        <v>89.1171428571429</v>
      </c>
      <c r="L25" s="9">
        <f t="shared" si="1"/>
        <v>77.8471428571428</v>
      </c>
      <c r="M25" s="9">
        <f t="shared" si="1"/>
        <v>86.568</v>
      </c>
      <c r="N25" s="9">
        <f t="shared" si="1"/>
        <v>84.8733333333333</v>
      </c>
      <c r="O25" s="9">
        <f t="shared" si="1"/>
        <v>85.3733333333333</v>
      </c>
      <c r="P25" s="9">
        <f t="shared" si="1"/>
        <v>86.0855</v>
      </c>
      <c r="Q25" s="9">
        <f t="shared" si="1"/>
        <v>85.4495238095238</v>
      </c>
    </row>
    <row r="26" ht="23.25" spans="1:17">
      <c r="A26" s="10" t="s">
        <v>19</v>
      </c>
      <c r="B26" s="11">
        <f t="shared" ref="B26:Q26" si="2">(B25-B2)/B2</f>
        <v>0.157469661040591</v>
      </c>
      <c r="C26" s="11">
        <f t="shared" si="2"/>
        <v>0.143955943890846</v>
      </c>
      <c r="D26" s="11">
        <f t="shared" si="2"/>
        <v>0.143389268696913</v>
      </c>
      <c r="E26" s="11">
        <f t="shared" si="2"/>
        <v>0.124597297204697</v>
      </c>
      <c r="F26" s="11">
        <f t="shared" si="2"/>
        <v>0.14032547332756</v>
      </c>
      <c r="G26" s="11">
        <f t="shared" si="2"/>
        <v>0.141539072880578</v>
      </c>
      <c r="H26" s="11">
        <f t="shared" si="2"/>
        <v>0.177115988971794</v>
      </c>
      <c r="I26" s="11">
        <f t="shared" si="2"/>
        <v>0.147980913139427</v>
      </c>
      <c r="J26" s="11">
        <f t="shared" si="2"/>
        <v>0.140169929196168</v>
      </c>
      <c r="K26" s="11">
        <f t="shared" si="2"/>
        <v>0.145692146638818</v>
      </c>
      <c r="L26" s="11">
        <f t="shared" si="2"/>
        <v>0.154099263360968</v>
      </c>
      <c r="M26" s="11">
        <f t="shared" si="2"/>
        <v>0.14310650552712</v>
      </c>
      <c r="N26" s="11">
        <f t="shared" si="2"/>
        <v>0.124278715405937</v>
      </c>
      <c r="O26" s="11">
        <f t="shared" si="2"/>
        <v>0.123460999355988</v>
      </c>
      <c r="P26" s="11">
        <f t="shared" si="2"/>
        <v>0.136921098309519</v>
      </c>
      <c r="Q26" s="17">
        <f t="shared" si="2"/>
        <v>0.147316478879911</v>
      </c>
    </row>
    <row r="27" ht="15"/>
  </sheetData>
  <pageMargins left="0.75" right="0.75" top="1" bottom="1" header="0.5" footer="0.5"/>
  <pageSetup paperSize="9" orientation="portrait"/>
  <headerFooter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5"/>
  <dimension ref="A1:Q29"/>
  <sheetViews>
    <sheetView workbookViewId="0">
      <selection activeCell="A1" sqref="A1:Q28"/>
    </sheetView>
  </sheetViews>
  <sheetFormatPr defaultColWidth="9" defaultRowHeight="14.25"/>
  <sheetData>
    <row r="1" ht="34.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" t="s">
        <v>15</v>
      </c>
    </row>
    <row r="2" ht="22.5" spans="1:17">
      <c r="A2" s="3" t="s">
        <v>25</v>
      </c>
      <c r="B2" s="9">
        <v>78.6538095238095</v>
      </c>
      <c r="C2" s="9">
        <v>80.8495454545455</v>
      </c>
      <c r="D2" s="9">
        <v>80.2609090909091</v>
      </c>
      <c r="E2" s="9">
        <v>509.763636363636</v>
      </c>
      <c r="F2" s="9">
        <v>80.2764285714286</v>
      </c>
      <c r="G2" s="9">
        <v>80.4933333333333</v>
      </c>
      <c r="H2" s="9">
        <v>81.4413636363636</v>
      </c>
      <c r="I2" s="9">
        <v>78.7109523809523</v>
      </c>
      <c r="J2" s="9">
        <v>83.8290476190476</v>
      </c>
      <c r="K2" s="9">
        <v>83.9938095238095</v>
      </c>
      <c r="L2" s="9">
        <v>74.7885714285714</v>
      </c>
      <c r="M2" s="6">
        <v>82.16</v>
      </c>
      <c r="N2" s="6"/>
      <c r="O2" s="6"/>
      <c r="P2" s="6"/>
      <c r="Q2" s="16">
        <v>82.0404761904762</v>
      </c>
    </row>
    <row r="3" spans="1:17">
      <c r="A3" s="5">
        <v>20211201</v>
      </c>
      <c r="B3" s="6">
        <v>65.57</v>
      </c>
      <c r="C3" s="6">
        <v>68.87</v>
      </c>
      <c r="D3" s="6">
        <v>71.07</v>
      </c>
      <c r="E3" s="6">
        <v>444.7</v>
      </c>
      <c r="F3" s="6">
        <v>71.1</v>
      </c>
      <c r="G3" s="6">
        <v>71.15</v>
      </c>
      <c r="H3" s="6">
        <v>71.945</v>
      </c>
      <c r="I3" s="6">
        <v>69.22</v>
      </c>
      <c r="J3" s="6">
        <v>75.34</v>
      </c>
      <c r="K3" s="6">
        <v>74.44</v>
      </c>
      <c r="L3" s="6">
        <v>65.105</v>
      </c>
      <c r="M3" s="6">
        <v>72.71</v>
      </c>
      <c r="N3" s="6">
        <v>72.88</v>
      </c>
      <c r="O3" s="6">
        <v>73.38</v>
      </c>
      <c r="P3" s="6">
        <v>72.94</v>
      </c>
      <c r="Q3" s="14">
        <v>71.73</v>
      </c>
    </row>
    <row r="4" spans="1:17">
      <c r="A4" s="5">
        <v>20211202</v>
      </c>
      <c r="B4" s="6">
        <v>66.5</v>
      </c>
      <c r="C4" s="6">
        <v>69.67</v>
      </c>
      <c r="D4" s="6">
        <v>69.17</v>
      </c>
      <c r="E4" s="6">
        <v>445.2</v>
      </c>
      <c r="F4" s="6">
        <v>69.11</v>
      </c>
      <c r="G4" s="6">
        <v>69.16</v>
      </c>
      <c r="H4" s="6">
        <v>70.705</v>
      </c>
      <c r="I4" s="6">
        <v>67.375</v>
      </c>
      <c r="J4" s="6">
        <v>73.51</v>
      </c>
      <c r="K4" s="6">
        <v>72.71</v>
      </c>
      <c r="L4" s="6">
        <v>63.26</v>
      </c>
      <c r="M4" s="6">
        <v>71.1</v>
      </c>
      <c r="N4" s="6">
        <v>70.93</v>
      </c>
      <c r="O4" s="6">
        <v>71.43</v>
      </c>
      <c r="P4" s="6">
        <v>71.21</v>
      </c>
      <c r="Q4" s="14">
        <v>69.78</v>
      </c>
    </row>
    <row r="5" spans="1:17">
      <c r="A5" s="5">
        <v>20211203</v>
      </c>
      <c r="B5" s="6">
        <v>66.26</v>
      </c>
      <c r="C5" s="6">
        <v>69.88</v>
      </c>
      <c r="D5" s="6">
        <v>70.82</v>
      </c>
      <c r="E5" s="6">
        <v>435.6</v>
      </c>
      <c r="F5" s="6">
        <v>70.76</v>
      </c>
      <c r="G5" s="6">
        <v>70.81</v>
      </c>
      <c r="H5" s="6">
        <v>71.92</v>
      </c>
      <c r="I5" s="6">
        <v>68.865</v>
      </c>
      <c r="J5" s="6">
        <v>75.37</v>
      </c>
      <c r="K5" s="6">
        <v>74.57</v>
      </c>
      <c r="L5" s="6">
        <v>64.57</v>
      </c>
      <c r="M5" s="6">
        <v>72.55</v>
      </c>
      <c r="N5" s="6">
        <v>72.6</v>
      </c>
      <c r="O5" s="6">
        <v>73.1</v>
      </c>
      <c r="P5" s="6">
        <v>73.17</v>
      </c>
      <c r="Q5" s="14">
        <v>71.4</v>
      </c>
    </row>
    <row r="6" spans="1:17">
      <c r="A6" s="5">
        <v>20211206</v>
      </c>
      <c r="B6" s="6">
        <v>69.49</v>
      </c>
      <c r="C6" s="6">
        <v>73.08</v>
      </c>
      <c r="D6" s="6">
        <v>70.14</v>
      </c>
      <c r="E6" s="6">
        <v>450.9</v>
      </c>
      <c r="F6" s="6">
        <v>70.09</v>
      </c>
      <c r="G6" s="6">
        <v>70.14</v>
      </c>
      <c r="H6" s="6">
        <v>72.19</v>
      </c>
      <c r="I6" s="6">
        <v>68.07</v>
      </c>
      <c r="J6" s="6">
        <v>74.61</v>
      </c>
      <c r="K6" s="6">
        <v>73.81</v>
      </c>
      <c r="L6" s="6">
        <v>63.885</v>
      </c>
      <c r="M6" s="6">
        <v>73.23</v>
      </c>
      <c r="N6" s="6">
        <v>71.85</v>
      </c>
      <c r="O6" s="6">
        <v>72.35</v>
      </c>
      <c r="P6" s="6">
        <v>72.46</v>
      </c>
      <c r="Q6" s="14">
        <v>70.65</v>
      </c>
    </row>
    <row r="7" spans="1:17">
      <c r="A7" s="5">
        <v>20211207</v>
      </c>
      <c r="B7" s="6">
        <v>72.05</v>
      </c>
      <c r="C7" s="6">
        <v>75.44</v>
      </c>
      <c r="D7" s="6">
        <v>73.2</v>
      </c>
      <c r="E7" s="6">
        <v>456.5</v>
      </c>
      <c r="F7" s="6">
        <v>73.19</v>
      </c>
      <c r="G7" s="6">
        <v>73.19</v>
      </c>
      <c r="H7" s="6">
        <v>75.81</v>
      </c>
      <c r="I7" s="6">
        <v>71.065</v>
      </c>
      <c r="J7" s="6">
        <v>77.6</v>
      </c>
      <c r="K7" s="6">
        <v>76.9</v>
      </c>
      <c r="L7" s="6">
        <v>66.85</v>
      </c>
      <c r="M7" s="6">
        <v>77.03</v>
      </c>
      <c r="N7" s="6">
        <v>74.92</v>
      </c>
      <c r="O7" s="6">
        <v>75.42</v>
      </c>
      <c r="P7" s="6">
        <v>75.55</v>
      </c>
      <c r="Q7" s="14">
        <v>73.67</v>
      </c>
    </row>
    <row r="8" spans="1:17">
      <c r="A8" s="5">
        <v>20211208</v>
      </c>
      <c r="B8" s="6">
        <v>72.36</v>
      </c>
      <c r="C8" s="6">
        <v>75.82</v>
      </c>
      <c r="D8" s="6">
        <v>73.89</v>
      </c>
      <c r="E8" s="6">
        <v>473.4</v>
      </c>
      <c r="F8" s="6">
        <v>73.805</v>
      </c>
      <c r="G8" s="6">
        <v>73.81</v>
      </c>
      <c r="H8" s="6">
        <v>75.735</v>
      </c>
      <c r="I8" s="6">
        <v>71.74</v>
      </c>
      <c r="J8" s="6">
        <v>78.37</v>
      </c>
      <c r="K8" s="6">
        <v>77.72</v>
      </c>
      <c r="L8" s="6">
        <v>67.555</v>
      </c>
      <c r="M8" s="6">
        <v>77.13</v>
      </c>
      <c r="N8" s="6">
        <v>75.78</v>
      </c>
      <c r="O8" s="6">
        <v>76.28</v>
      </c>
      <c r="P8" s="6">
        <v>76.42</v>
      </c>
      <c r="Q8" s="14">
        <v>74.43</v>
      </c>
    </row>
    <row r="9" spans="1:17">
      <c r="A9" s="5">
        <v>20211209</v>
      </c>
      <c r="B9" s="6">
        <v>70.94</v>
      </c>
      <c r="C9" s="6">
        <v>74.42</v>
      </c>
      <c r="D9" s="6">
        <v>74.51</v>
      </c>
      <c r="E9" s="6">
        <v>475.4</v>
      </c>
      <c r="F9" s="6">
        <v>74.445</v>
      </c>
      <c r="G9" s="6">
        <v>74.45</v>
      </c>
      <c r="H9" s="6">
        <v>75.25</v>
      </c>
      <c r="I9" s="6">
        <v>72.44</v>
      </c>
      <c r="J9" s="6">
        <v>78.85</v>
      </c>
      <c r="K9" s="6">
        <v>78.25</v>
      </c>
      <c r="L9" s="6">
        <v>68.2</v>
      </c>
      <c r="M9" s="6">
        <v>76.39</v>
      </c>
      <c r="N9" s="6">
        <v>76.6</v>
      </c>
      <c r="O9" s="6">
        <v>77.1</v>
      </c>
      <c r="P9" s="6">
        <v>77</v>
      </c>
      <c r="Q9" s="14">
        <v>75.2</v>
      </c>
    </row>
    <row r="10" spans="1:17">
      <c r="A10" s="5">
        <v>20211210</v>
      </c>
      <c r="B10" s="6">
        <v>71.67</v>
      </c>
      <c r="C10" s="6">
        <v>75.15</v>
      </c>
      <c r="D10" s="6">
        <v>72.72</v>
      </c>
      <c r="E10" s="6">
        <v>472.4</v>
      </c>
      <c r="F10" s="6">
        <v>72.69</v>
      </c>
      <c r="G10" s="6">
        <v>72.74</v>
      </c>
      <c r="H10" s="6">
        <v>74.315</v>
      </c>
      <c r="I10" s="6">
        <v>70.785</v>
      </c>
      <c r="J10" s="6">
        <v>77.3</v>
      </c>
      <c r="K10" s="6">
        <v>77.2</v>
      </c>
      <c r="L10" s="6">
        <v>66.645</v>
      </c>
      <c r="M10" s="6">
        <v>75.8</v>
      </c>
      <c r="N10" s="6">
        <v>75.19</v>
      </c>
      <c r="O10" s="6">
        <v>75.69</v>
      </c>
      <c r="P10" s="6">
        <v>75.45</v>
      </c>
      <c r="Q10" s="14">
        <v>73.49</v>
      </c>
    </row>
    <row r="11" spans="1:17">
      <c r="A11" s="5">
        <v>20211213</v>
      </c>
      <c r="B11" s="6">
        <v>71.29</v>
      </c>
      <c r="C11" s="6">
        <v>74.39</v>
      </c>
      <c r="D11" s="6">
        <v>74.13</v>
      </c>
      <c r="E11" s="6">
        <v>474.1</v>
      </c>
      <c r="F11" s="6">
        <v>74.09</v>
      </c>
      <c r="G11" s="6">
        <v>74.14</v>
      </c>
      <c r="H11" s="6">
        <v>74.25</v>
      </c>
      <c r="I11" s="6">
        <v>72.07</v>
      </c>
      <c r="J11" s="6">
        <v>78.66</v>
      </c>
      <c r="K11" s="6">
        <v>78.61</v>
      </c>
      <c r="L11" s="6">
        <v>67.96</v>
      </c>
      <c r="M11" s="6">
        <v>75.94</v>
      </c>
      <c r="N11" s="6">
        <v>76.46</v>
      </c>
      <c r="O11" s="6">
        <v>76.96</v>
      </c>
      <c r="P11" s="6">
        <v>76.86</v>
      </c>
      <c r="Q11" s="14">
        <v>74.81</v>
      </c>
    </row>
    <row r="12" spans="1:17">
      <c r="A12" s="5">
        <v>20211214</v>
      </c>
      <c r="B12" s="6">
        <v>70.73</v>
      </c>
      <c r="C12" s="6">
        <v>73.7</v>
      </c>
      <c r="D12" s="6">
        <v>73.32</v>
      </c>
      <c r="E12" s="6">
        <v>469.4</v>
      </c>
      <c r="F12" s="6">
        <v>73.34</v>
      </c>
      <c r="G12" s="6">
        <v>73.39</v>
      </c>
      <c r="H12" s="6">
        <v>73.54</v>
      </c>
      <c r="I12" s="6">
        <v>71.275</v>
      </c>
      <c r="J12" s="6">
        <v>77.9</v>
      </c>
      <c r="K12" s="6">
        <v>77.9</v>
      </c>
      <c r="L12" s="6">
        <v>67.12</v>
      </c>
      <c r="M12" s="6">
        <v>74.98</v>
      </c>
      <c r="N12" s="6">
        <v>75.82</v>
      </c>
      <c r="O12" s="6">
        <v>76.32</v>
      </c>
      <c r="P12" s="6">
        <v>76.25</v>
      </c>
      <c r="Q12" s="14">
        <v>74.12</v>
      </c>
    </row>
    <row r="13" spans="1:17">
      <c r="A13" s="5">
        <v>20211215</v>
      </c>
      <c r="B13" s="6">
        <v>70.87</v>
      </c>
      <c r="C13" s="6">
        <v>73.88</v>
      </c>
      <c r="D13" s="6">
        <v>71.97</v>
      </c>
      <c r="E13" s="6">
        <v>461.8</v>
      </c>
      <c r="F13" s="6">
        <v>71.98</v>
      </c>
      <c r="G13" s="6">
        <v>72.03</v>
      </c>
      <c r="H13" s="6">
        <v>72.83</v>
      </c>
      <c r="I13" s="6">
        <v>69.845</v>
      </c>
      <c r="J13" s="6">
        <v>76.22</v>
      </c>
      <c r="K13" s="6">
        <v>76.32</v>
      </c>
      <c r="L13" s="6">
        <v>65.625</v>
      </c>
      <c r="M13" s="6">
        <v>74.29</v>
      </c>
      <c r="N13" s="6">
        <v>74.3</v>
      </c>
      <c r="O13" s="6">
        <v>74.8</v>
      </c>
      <c r="P13" s="6">
        <v>74.67</v>
      </c>
      <c r="Q13" s="14">
        <v>72.7</v>
      </c>
    </row>
    <row r="14" spans="1:17">
      <c r="A14" s="5">
        <v>20211216</v>
      </c>
      <c r="B14" s="6">
        <v>72.38</v>
      </c>
      <c r="C14" s="6">
        <v>75.02</v>
      </c>
      <c r="D14" s="6">
        <v>73.34</v>
      </c>
      <c r="E14" s="6">
        <v>463.5</v>
      </c>
      <c r="F14" s="6">
        <v>73.35</v>
      </c>
      <c r="G14" s="6">
        <v>73.35</v>
      </c>
      <c r="H14" s="6">
        <v>74.76</v>
      </c>
      <c r="I14" s="6">
        <v>71.4</v>
      </c>
      <c r="J14" s="6">
        <v>77.37</v>
      </c>
      <c r="K14" s="6">
        <v>77.57</v>
      </c>
      <c r="L14" s="6">
        <v>67.145</v>
      </c>
      <c r="M14" s="6">
        <v>76.63</v>
      </c>
      <c r="N14" s="6">
        <v>75.55</v>
      </c>
      <c r="O14" s="6">
        <v>76.05</v>
      </c>
      <c r="P14" s="6">
        <v>75.92</v>
      </c>
      <c r="Q14" s="14">
        <v>74.45</v>
      </c>
    </row>
    <row r="15" spans="1:17">
      <c r="A15" s="5">
        <v>20211217</v>
      </c>
      <c r="B15" s="6">
        <v>70.86</v>
      </c>
      <c r="C15" s="6">
        <v>73.52</v>
      </c>
      <c r="D15" s="6">
        <v>73.24</v>
      </c>
      <c r="E15" s="6">
        <v>470.4</v>
      </c>
      <c r="F15" s="6">
        <v>73.33</v>
      </c>
      <c r="G15" s="6">
        <v>73.33</v>
      </c>
      <c r="H15" s="6">
        <v>72.995</v>
      </c>
      <c r="I15" s="6">
        <v>71.395</v>
      </c>
      <c r="J15" s="6">
        <v>77.28</v>
      </c>
      <c r="K15" s="6">
        <v>77.48</v>
      </c>
      <c r="L15" s="6">
        <v>67.11</v>
      </c>
      <c r="M15" s="6">
        <v>75.21</v>
      </c>
      <c r="N15" s="6">
        <v>75.53</v>
      </c>
      <c r="O15" s="6">
        <v>76.03</v>
      </c>
      <c r="P15" s="6">
        <v>75.83</v>
      </c>
      <c r="Q15" s="14">
        <v>74.53</v>
      </c>
    </row>
    <row r="16" spans="1:17">
      <c r="A16" s="5">
        <v>20211220</v>
      </c>
      <c r="B16" s="6">
        <v>68.23</v>
      </c>
      <c r="C16" s="6">
        <v>71.52</v>
      </c>
      <c r="D16" s="6">
        <v>70.15</v>
      </c>
      <c r="E16" s="6">
        <v>460.8</v>
      </c>
      <c r="F16" s="6">
        <v>70.09</v>
      </c>
      <c r="G16" s="6">
        <v>70.09</v>
      </c>
      <c r="H16" s="6">
        <v>69.03</v>
      </c>
      <c r="I16" s="6">
        <v>68.645</v>
      </c>
      <c r="J16" s="6">
        <v>74.56</v>
      </c>
      <c r="K16" s="6">
        <v>74.56</v>
      </c>
      <c r="L16" s="6">
        <v>64.42</v>
      </c>
      <c r="M16" s="6">
        <v>71.5</v>
      </c>
      <c r="N16" s="6">
        <v>72.38</v>
      </c>
      <c r="O16" s="6">
        <v>72.88</v>
      </c>
      <c r="P16" s="6">
        <v>72.66</v>
      </c>
      <c r="Q16" s="14">
        <v>71.58</v>
      </c>
    </row>
    <row r="17" spans="1:17">
      <c r="A17" s="5">
        <v>20211221</v>
      </c>
      <c r="B17" s="6">
        <v>71.12</v>
      </c>
      <c r="C17" s="6">
        <v>73.98</v>
      </c>
      <c r="D17" s="6">
        <v>70.54</v>
      </c>
      <c r="E17" s="6">
        <v>446.9</v>
      </c>
      <c r="F17" s="6">
        <v>70.54</v>
      </c>
      <c r="G17" s="6">
        <v>70.54</v>
      </c>
      <c r="H17" s="6">
        <v>72.72</v>
      </c>
      <c r="I17" s="6">
        <v>69.07</v>
      </c>
      <c r="J17" s="6">
        <v>75.06</v>
      </c>
      <c r="K17" s="6">
        <v>75.06</v>
      </c>
      <c r="L17" s="6">
        <v>64.905</v>
      </c>
      <c r="M17" s="6">
        <v>74.92</v>
      </c>
      <c r="N17" s="6">
        <v>73</v>
      </c>
      <c r="O17" s="6">
        <v>73.5</v>
      </c>
      <c r="P17" s="6">
        <v>73.11</v>
      </c>
      <c r="Q17" s="14">
        <v>72.2</v>
      </c>
    </row>
    <row r="18" spans="1:17">
      <c r="A18" s="5">
        <v>20211222</v>
      </c>
      <c r="B18" s="6">
        <v>72.76</v>
      </c>
      <c r="C18" s="6">
        <v>75.29</v>
      </c>
      <c r="D18" s="6">
        <v>72.54</v>
      </c>
      <c r="E18" s="6">
        <v>462.4</v>
      </c>
      <c r="F18" s="6">
        <v>72.545</v>
      </c>
      <c r="G18" s="6">
        <v>72.55</v>
      </c>
      <c r="H18" s="6">
        <v>74.11</v>
      </c>
      <c r="I18" s="6">
        <v>71.01</v>
      </c>
      <c r="J18" s="6">
        <v>77.14</v>
      </c>
      <c r="K18" s="6">
        <v>77.15</v>
      </c>
      <c r="L18" s="6">
        <v>66.795</v>
      </c>
      <c r="M18" s="6">
        <v>76.04</v>
      </c>
      <c r="N18" s="6">
        <v>75.05</v>
      </c>
      <c r="O18" s="6">
        <v>75.55</v>
      </c>
      <c r="P18" s="6">
        <v>75.2</v>
      </c>
      <c r="Q18" s="14">
        <v>74.25</v>
      </c>
    </row>
    <row r="19" spans="1:17">
      <c r="A19" s="5">
        <v>20211223</v>
      </c>
      <c r="B19" s="6">
        <v>73.79</v>
      </c>
      <c r="C19" s="6">
        <v>76.85</v>
      </c>
      <c r="D19" s="6">
        <v>73.54</v>
      </c>
      <c r="E19" s="6">
        <v>469</v>
      </c>
      <c r="F19" s="6">
        <v>73.51</v>
      </c>
      <c r="G19" s="6">
        <v>73.51</v>
      </c>
      <c r="H19" s="6">
        <v>75.675</v>
      </c>
      <c r="I19" s="6">
        <v>72.475</v>
      </c>
      <c r="J19" s="6">
        <v>78.85</v>
      </c>
      <c r="K19" s="6">
        <v>78.85</v>
      </c>
      <c r="L19" s="6">
        <v>68.3</v>
      </c>
      <c r="M19" s="6">
        <v>77.76</v>
      </c>
      <c r="N19" s="6">
        <v>76.19</v>
      </c>
      <c r="O19" s="6">
        <v>76.69</v>
      </c>
      <c r="P19" s="6">
        <v>76.6</v>
      </c>
      <c r="Q19" s="14">
        <v>75.69</v>
      </c>
    </row>
    <row r="20" spans="1:17">
      <c r="A20" s="5">
        <v>20211224</v>
      </c>
      <c r="B20" s="6"/>
      <c r="C20" s="6">
        <v>76.14</v>
      </c>
      <c r="D20" s="6"/>
      <c r="E20" s="6">
        <v>474.9</v>
      </c>
      <c r="F20" s="6">
        <v>74.35</v>
      </c>
      <c r="G20" s="6">
        <v>74.35</v>
      </c>
      <c r="H20" s="6">
        <v>75.365</v>
      </c>
      <c r="I20" s="6">
        <v>73.295</v>
      </c>
      <c r="J20" s="6">
        <v>79.67</v>
      </c>
      <c r="K20" s="6">
        <v>79.92</v>
      </c>
      <c r="L20" s="6">
        <v>69.25</v>
      </c>
      <c r="M20" s="6">
        <v>77.25</v>
      </c>
      <c r="N20" s="6">
        <v>76.92</v>
      </c>
      <c r="O20" s="6">
        <v>77.42</v>
      </c>
      <c r="P20" s="6">
        <v>77.42</v>
      </c>
      <c r="Q20" s="14">
        <v>76.52</v>
      </c>
    </row>
    <row r="21" spans="1:17">
      <c r="A21" s="5">
        <v>20211227</v>
      </c>
      <c r="B21" s="6">
        <v>75.57</v>
      </c>
      <c r="C21" s="6">
        <v>78.6</v>
      </c>
      <c r="D21" s="6">
        <v>73.6</v>
      </c>
      <c r="E21" s="6">
        <v>475.6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14"/>
    </row>
    <row r="22" spans="1:17">
      <c r="A22" s="5">
        <v>20211228</v>
      </c>
      <c r="B22" s="6">
        <v>75.98</v>
      </c>
      <c r="C22" s="6">
        <v>78.94</v>
      </c>
      <c r="D22" s="6">
        <v>76.45</v>
      </c>
      <c r="E22" s="6">
        <v>486.1</v>
      </c>
      <c r="F22" s="6">
        <v>76.45</v>
      </c>
      <c r="G22" s="6">
        <v>76.45</v>
      </c>
      <c r="H22" s="6"/>
      <c r="I22" s="6">
        <v>75.925</v>
      </c>
      <c r="J22" s="6">
        <v>82.58</v>
      </c>
      <c r="K22" s="6">
        <v>82.73</v>
      </c>
      <c r="L22" s="6">
        <v>71.83</v>
      </c>
      <c r="M22" s="6"/>
      <c r="N22" s="6">
        <v>79.41</v>
      </c>
      <c r="O22" s="6">
        <v>79.91</v>
      </c>
      <c r="P22" s="6"/>
      <c r="Q22" s="14">
        <v>78.96</v>
      </c>
    </row>
    <row r="23" spans="1:17">
      <c r="A23" s="5">
        <v>20211229</v>
      </c>
      <c r="B23" s="6">
        <v>76.56</v>
      </c>
      <c r="C23" s="6">
        <v>79.23</v>
      </c>
      <c r="D23" s="6">
        <v>76.88</v>
      </c>
      <c r="E23" s="6">
        <v>493</v>
      </c>
      <c r="F23" s="6">
        <v>76.96</v>
      </c>
      <c r="G23" s="6">
        <v>77</v>
      </c>
      <c r="H23" s="6">
        <v>77.53</v>
      </c>
      <c r="I23" s="6">
        <v>76.285</v>
      </c>
      <c r="J23" s="6">
        <v>82.95</v>
      </c>
      <c r="K23" s="6">
        <v>83.1</v>
      </c>
      <c r="L23" s="6">
        <v>72.275</v>
      </c>
      <c r="M23" s="6">
        <v>79.79</v>
      </c>
      <c r="N23" s="6">
        <v>79.6</v>
      </c>
      <c r="O23" s="6">
        <v>80.1</v>
      </c>
      <c r="P23" s="6">
        <v>80.45</v>
      </c>
      <c r="Q23" s="14">
        <v>79.25</v>
      </c>
    </row>
    <row r="24" spans="1:17">
      <c r="A24" s="5">
        <v>20211230</v>
      </c>
      <c r="B24" s="6">
        <v>76.99</v>
      </c>
      <c r="C24" s="6">
        <v>79.32</v>
      </c>
      <c r="D24" s="6">
        <v>77.09</v>
      </c>
      <c r="E24" s="6">
        <v>494.3</v>
      </c>
      <c r="F24" s="6">
        <v>77.255</v>
      </c>
      <c r="G24" s="6">
        <v>77.3</v>
      </c>
      <c r="H24" s="6">
        <v>78.315</v>
      </c>
      <c r="I24" s="6">
        <v>76.55</v>
      </c>
      <c r="J24" s="6">
        <v>83.14</v>
      </c>
      <c r="K24" s="6">
        <v>83.39</v>
      </c>
      <c r="L24" s="6">
        <v>72.775</v>
      </c>
      <c r="M24" s="6">
        <v>80.75</v>
      </c>
      <c r="N24" s="6">
        <v>79.86</v>
      </c>
      <c r="O24" s="6">
        <v>80.36</v>
      </c>
      <c r="P24" s="6">
        <v>80.69</v>
      </c>
      <c r="Q24" s="14">
        <v>79.51</v>
      </c>
    </row>
    <row r="25" spans="1:17">
      <c r="A25" s="5">
        <v>20211231</v>
      </c>
      <c r="B25" s="6">
        <v>75.21</v>
      </c>
      <c r="C25" s="6">
        <v>77.78</v>
      </c>
      <c r="D25" s="6">
        <v>76.69</v>
      </c>
      <c r="E25" s="6">
        <v>496.7</v>
      </c>
      <c r="F25" s="6">
        <v>77.1</v>
      </c>
      <c r="G25" s="6">
        <v>77.1</v>
      </c>
      <c r="H25" s="6">
        <v>77.02</v>
      </c>
      <c r="I25" s="6">
        <v>76.305</v>
      </c>
      <c r="J25" s="6">
        <v>82.67</v>
      </c>
      <c r="K25" s="6">
        <v>83.02</v>
      </c>
      <c r="L25" s="6">
        <v>72.38</v>
      </c>
      <c r="M25" s="6">
        <v>79.34</v>
      </c>
      <c r="N25" s="6">
        <v>79.99</v>
      </c>
      <c r="O25" s="6">
        <v>80.49</v>
      </c>
      <c r="P25" s="6">
        <v>80.22</v>
      </c>
      <c r="Q25" s="14">
        <v>79.59</v>
      </c>
    </row>
    <row r="26" spans="1:17">
      <c r="A26" s="7" t="s">
        <v>17</v>
      </c>
      <c r="B26" s="8">
        <f t="shared" ref="B26:Q26" si="0">AVERAGE(B21:B25)</f>
        <v>76.062</v>
      </c>
      <c r="C26" s="8">
        <f t="shared" si="0"/>
        <v>78.774</v>
      </c>
      <c r="D26" s="8">
        <f t="shared" si="0"/>
        <v>76.142</v>
      </c>
      <c r="E26" s="8">
        <f t="shared" si="0"/>
        <v>489.14</v>
      </c>
      <c r="F26" s="8">
        <f t="shared" si="0"/>
        <v>76.94125</v>
      </c>
      <c r="G26" s="8">
        <f t="shared" si="0"/>
        <v>76.9625</v>
      </c>
      <c r="H26" s="8">
        <f t="shared" si="0"/>
        <v>77.6216666666667</v>
      </c>
      <c r="I26" s="8">
        <f t="shared" si="0"/>
        <v>76.26625</v>
      </c>
      <c r="J26" s="8">
        <f t="shared" si="0"/>
        <v>82.835</v>
      </c>
      <c r="K26" s="8">
        <f t="shared" si="0"/>
        <v>83.06</v>
      </c>
      <c r="L26" s="8">
        <f t="shared" si="0"/>
        <v>72.315</v>
      </c>
      <c r="M26" s="8">
        <f t="shared" si="0"/>
        <v>79.96</v>
      </c>
      <c r="N26" s="8">
        <f t="shared" si="0"/>
        <v>79.715</v>
      </c>
      <c r="O26" s="8">
        <f t="shared" si="0"/>
        <v>80.215</v>
      </c>
      <c r="P26" s="8">
        <f t="shared" si="0"/>
        <v>80.4533333333333</v>
      </c>
      <c r="Q26" s="15">
        <f t="shared" si="0"/>
        <v>79.3275</v>
      </c>
    </row>
    <row r="27" ht="22.5" spans="1:17">
      <c r="A27" s="3" t="s">
        <v>24</v>
      </c>
      <c r="B27" s="9">
        <f t="shared" ref="B27:Q27" si="1">AVERAGE(B3:B25)</f>
        <v>71.69</v>
      </c>
      <c r="C27" s="9">
        <f t="shared" si="1"/>
        <v>74.8039130434783</v>
      </c>
      <c r="D27" s="9">
        <f t="shared" si="1"/>
        <v>73.1363636363636</v>
      </c>
      <c r="E27" s="9">
        <f t="shared" si="1"/>
        <v>467.521739130435</v>
      </c>
      <c r="F27" s="9">
        <f t="shared" si="1"/>
        <v>73.1854545454545</v>
      </c>
      <c r="G27" s="9">
        <f t="shared" si="1"/>
        <v>73.2081818181818</v>
      </c>
      <c r="H27" s="9">
        <f t="shared" si="1"/>
        <v>74.0957142857143</v>
      </c>
      <c r="I27" s="9">
        <f t="shared" si="1"/>
        <v>71.5956818181818</v>
      </c>
      <c r="J27" s="9">
        <f t="shared" si="1"/>
        <v>77.9545454545455</v>
      </c>
      <c r="K27" s="9">
        <f t="shared" si="1"/>
        <v>77.7845454545455</v>
      </c>
      <c r="L27" s="9">
        <f t="shared" si="1"/>
        <v>67.4527272727273</v>
      </c>
      <c r="M27" s="9">
        <f t="shared" si="1"/>
        <v>75.7304761904762</v>
      </c>
      <c r="N27" s="9">
        <f t="shared" si="1"/>
        <v>75.4913636363636</v>
      </c>
      <c r="O27" s="9">
        <f t="shared" si="1"/>
        <v>75.9913636363636</v>
      </c>
      <c r="P27" s="9">
        <f t="shared" si="1"/>
        <v>75.7180952380952</v>
      </c>
      <c r="Q27" s="16">
        <f t="shared" si="1"/>
        <v>74.4777272727273</v>
      </c>
    </row>
    <row r="28" ht="23.25" spans="1:17">
      <c r="A28" s="10" t="s">
        <v>19</v>
      </c>
      <c r="B28" s="18">
        <f t="shared" ref="B28:M28" si="2">(B27-B2)/B2</f>
        <v>-0.0885374728315163</v>
      </c>
      <c r="C28" s="18">
        <f t="shared" si="2"/>
        <v>-0.074776331481865</v>
      </c>
      <c r="D28" s="18">
        <f t="shared" si="2"/>
        <v>-0.0887673156863413</v>
      </c>
      <c r="E28" s="18">
        <f t="shared" si="2"/>
        <v>-0.082865654236405</v>
      </c>
      <c r="F28" s="18">
        <f t="shared" si="2"/>
        <v>-0.088331956866574</v>
      </c>
      <c r="G28" s="18">
        <f t="shared" si="2"/>
        <v>-0.0905062719291644</v>
      </c>
      <c r="H28" s="18">
        <f t="shared" si="2"/>
        <v>-0.0901955593897929</v>
      </c>
      <c r="I28" s="18">
        <f t="shared" si="2"/>
        <v>-0.0903974649974176</v>
      </c>
      <c r="J28" s="18">
        <f t="shared" si="2"/>
        <v>-0.0700771669409655</v>
      </c>
      <c r="K28" s="18">
        <f t="shared" si="2"/>
        <v>-0.0739252583549499</v>
      </c>
      <c r="L28" s="18">
        <f t="shared" si="2"/>
        <v>-0.0980877695043345</v>
      </c>
      <c r="M28" s="18">
        <f t="shared" si="2"/>
        <v>-0.0782561320536005</v>
      </c>
      <c r="N28" s="18"/>
      <c r="O28" s="18"/>
      <c r="P28" s="18"/>
      <c r="Q28" s="19">
        <f>(Q27-Q2)/Q2</f>
        <v>-0.0921831426257229</v>
      </c>
    </row>
    <row r="29" ht="15"/>
  </sheetData>
  <pageMargins left="0.75" right="0.75" top="1" bottom="1" header="0.5" footer="0.5"/>
  <pageSetup paperSize="9" orientation="portrait"/>
  <headerFooter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6"/>
  <dimension ref="A1:N28"/>
  <sheetViews>
    <sheetView workbookViewId="0">
      <selection activeCell="A1" sqref="A1:N27"/>
    </sheetView>
  </sheetViews>
  <sheetFormatPr defaultColWidth="9" defaultRowHeight="14.25"/>
  <sheetData>
    <row r="1" ht="34.5" spans="1:1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2" t="s">
        <v>15</v>
      </c>
    </row>
    <row r="2" ht="22.5" spans="1:14">
      <c r="A2" s="3" t="s">
        <v>51</v>
      </c>
      <c r="B2" s="9">
        <v>81.2228571428571</v>
      </c>
      <c r="C2" s="9">
        <v>83.7461904761905</v>
      </c>
      <c r="D2" s="9">
        <v>81.5847619047619</v>
      </c>
      <c r="E2" s="9">
        <v>527.9125</v>
      </c>
      <c r="F2" s="9">
        <v>81.5854761904762</v>
      </c>
      <c r="G2" s="9">
        <v>81.6261904761905</v>
      </c>
      <c r="H2" s="9">
        <v>83.6630952380953</v>
      </c>
      <c r="I2" s="9">
        <v>80.0242857142857</v>
      </c>
      <c r="J2" s="9">
        <v>85.3819047619048</v>
      </c>
      <c r="K2" s="9">
        <v>86.22</v>
      </c>
      <c r="L2" s="9">
        <v>76.1880952380952</v>
      </c>
      <c r="M2" s="6"/>
      <c r="N2" s="16">
        <v>83.9195238095238</v>
      </c>
    </row>
    <row r="3" spans="1:14">
      <c r="A3" s="5">
        <v>20211101</v>
      </c>
      <c r="B3" s="6">
        <v>84.05</v>
      </c>
      <c r="C3" s="6">
        <v>84.71</v>
      </c>
      <c r="D3" s="6">
        <v>82.18</v>
      </c>
      <c r="E3" s="6">
        <v>521</v>
      </c>
      <c r="F3" s="6">
        <v>81.96</v>
      </c>
      <c r="G3" s="6">
        <v>82.1</v>
      </c>
      <c r="H3" s="6">
        <v>84.695</v>
      </c>
      <c r="I3" s="6">
        <v>80.7</v>
      </c>
      <c r="J3" s="6">
        <v>86.36</v>
      </c>
      <c r="K3" s="6">
        <v>87.31</v>
      </c>
      <c r="L3" s="6">
        <v>76.51</v>
      </c>
      <c r="M3" s="6">
        <v>86.68</v>
      </c>
      <c r="N3" s="14">
        <v>84.58</v>
      </c>
    </row>
    <row r="4" spans="1:14">
      <c r="A4" s="5">
        <v>20211102</v>
      </c>
      <c r="B4" s="6">
        <v>83.91</v>
      </c>
      <c r="C4" s="6">
        <v>84.72</v>
      </c>
      <c r="D4" s="6">
        <v>83.58</v>
      </c>
      <c r="E4" s="6">
        <v>531.3</v>
      </c>
      <c r="F4" s="6">
        <v>83.29</v>
      </c>
      <c r="G4" s="6">
        <v>83.45</v>
      </c>
      <c r="H4" s="6">
        <v>84.52</v>
      </c>
      <c r="I4" s="6">
        <v>82.01</v>
      </c>
      <c r="J4" s="6">
        <v>87.78</v>
      </c>
      <c r="K4" s="6">
        <v>88.73</v>
      </c>
      <c r="L4" s="6">
        <v>77.94</v>
      </c>
      <c r="M4" s="6">
        <v>86.59</v>
      </c>
      <c r="N4" s="14">
        <v>85.88</v>
      </c>
    </row>
    <row r="5" spans="1:14">
      <c r="A5" s="5">
        <v>20211103</v>
      </c>
      <c r="B5" s="6">
        <v>80.86</v>
      </c>
      <c r="C5" s="6">
        <v>81.99</v>
      </c>
      <c r="D5" s="6">
        <v>81.59</v>
      </c>
      <c r="E5" s="6">
        <v>526.8</v>
      </c>
      <c r="F5" s="6">
        <v>81.9</v>
      </c>
      <c r="G5" s="6">
        <v>82.32</v>
      </c>
      <c r="H5" s="6">
        <v>82.215</v>
      </c>
      <c r="I5" s="6">
        <v>81.175</v>
      </c>
      <c r="J5" s="6">
        <v>86.88</v>
      </c>
      <c r="K5" s="6">
        <v>87.83</v>
      </c>
      <c r="L5" s="6">
        <v>77.225</v>
      </c>
      <c r="M5" s="6">
        <v>84.15</v>
      </c>
      <c r="N5" s="14">
        <v>84.82</v>
      </c>
    </row>
    <row r="6" spans="1:14">
      <c r="A6" s="5">
        <v>20211104</v>
      </c>
      <c r="B6" s="6">
        <v>78.81</v>
      </c>
      <c r="C6" s="6">
        <v>80.54</v>
      </c>
      <c r="D6" s="6">
        <v>80.93</v>
      </c>
      <c r="E6" s="6">
        <v>513.6</v>
      </c>
      <c r="F6" s="6"/>
      <c r="G6" s="6"/>
      <c r="H6" s="6">
        <v>81.885</v>
      </c>
      <c r="I6" s="6"/>
      <c r="J6" s="6"/>
      <c r="K6" s="6"/>
      <c r="L6" s="6"/>
      <c r="M6" s="6"/>
      <c r="N6" s="14"/>
    </row>
    <row r="7" spans="1:14">
      <c r="A7" s="5">
        <v>20211105</v>
      </c>
      <c r="B7" s="6">
        <v>81.27</v>
      </c>
      <c r="C7" s="6">
        <v>82.74</v>
      </c>
      <c r="D7" s="6">
        <v>79.75</v>
      </c>
      <c r="E7" s="6">
        <v>516</v>
      </c>
      <c r="F7" s="6">
        <v>79.45</v>
      </c>
      <c r="G7" s="6">
        <v>79.79</v>
      </c>
      <c r="H7" s="6">
        <v>82.75</v>
      </c>
      <c r="I7" s="6">
        <v>78.485</v>
      </c>
      <c r="J7" s="6">
        <v>83.94</v>
      </c>
      <c r="K7" s="6">
        <v>84.89</v>
      </c>
      <c r="L7" s="6">
        <v>74.57</v>
      </c>
      <c r="M7" s="6">
        <v>84.7</v>
      </c>
      <c r="N7" s="14">
        <v>82.09</v>
      </c>
    </row>
    <row r="8" spans="1:14">
      <c r="A8" s="5">
        <v>20211108</v>
      </c>
      <c r="B8" s="6">
        <v>81.93</v>
      </c>
      <c r="C8" s="6">
        <v>83.43</v>
      </c>
      <c r="D8" s="6">
        <v>82.3</v>
      </c>
      <c r="E8" s="6">
        <v>522.2</v>
      </c>
      <c r="F8" s="6">
        <v>81.95</v>
      </c>
      <c r="G8" s="6">
        <v>82.25</v>
      </c>
      <c r="H8" s="6">
        <v>84.085</v>
      </c>
      <c r="I8" s="6">
        <v>81.04</v>
      </c>
      <c r="J8" s="6">
        <v>86.32</v>
      </c>
      <c r="K8" s="6">
        <v>87.32</v>
      </c>
      <c r="L8" s="6">
        <v>77.165</v>
      </c>
      <c r="M8" s="6">
        <v>85.51</v>
      </c>
      <c r="N8" s="14">
        <v>84.56</v>
      </c>
    </row>
    <row r="9" spans="1:14">
      <c r="A9" s="5">
        <v>20211109</v>
      </c>
      <c r="B9" s="6">
        <v>84.15</v>
      </c>
      <c r="C9" s="6">
        <v>84.78</v>
      </c>
      <c r="D9" s="6">
        <v>82.41</v>
      </c>
      <c r="E9" s="6">
        <v>526.3</v>
      </c>
      <c r="F9" s="6">
        <v>82.205</v>
      </c>
      <c r="G9" s="6">
        <v>82.44</v>
      </c>
      <c r="H9" s="6">
        <v>84.565</v>
      </c>
      <c r="I9" s="6">
        <v>80.825</v>
      </c>
      <c r="J9" s="6">
        <v>85.35</v>
      </c>
      <c r="K9" s="6">
        <v>86.25</v>
      </c>
      <c r="L9" s="6">
        <v>76.99</v>
      </c>
      <c r="M9" s="6">
        <v>84.74</v>
      </c>
      <c r="N9" s="14">
        <v>84.6</v>
      </c>
    </row>
    <row r="10" spans="1:14">
      <c r="A10" s="5">
        <v>20211110</v>
      </c>
      <c r="B10" s="6">
        <v>81.34</v>
      </c>
      <c r="C10" s="6">
        <v>82.64</v>
      </c>
      <c r="D10" s="6">
        <v>84.04</v>
      </c>
      <c r="E10" s="6">
        <v>530.7</v>
      </c>
      <c r="F10" s="6">
        <v>83.945</v>
      </c>
      <c r="G10" s="6">
        <v>84.04</v>
      </c>
      <c r="H10" s="6">
        <v>84.3</v>
      </c>
      <c r="I10" s="6">
        <v>82.495</v>
      </c>
      <c r="J10" s="6">
        <v>86.83</v>
      </c>
      <c r="K10" s="6">
        <v>87.73</v>
      </c>
      <c r="L10" s="6">
        <v>78.705</v>
      </c>
      <c r="M10" s="6">
        <v>84.62</v>
      </c>
      <c r="N10" s="14">
        <v>86.28</v>
      </c>
    </row>
    <row r="11" spans="1:14">
      <c r="A11" s="5">
        <v>20211111</v>
      </c>
      <c r="B11" s="6">
        <v>81.59</v>
      </c>
      <c r="C11" s="6">
        <v>82.87</v>
      </c>
      <c r="D11" s="6">
        <v>82.21</v>
      </c>
      <c r="E11" s="6">
        <v>526.7</v>
      </c>
      <c r="F11" s="6">
        <v>81.795</v>
      </c>
      <c r="G11" s="6">
        <v>82.1</v>
      </c>
      <c r="H11" s="6">
        <v>83.02</v>
      </c>
      <c r="I11" s="6">
        <v>80.29</v>
      </c>
      <c r="J11" s="6">
        <v>84.61</v>
      </c>
      <c r="K11" s="6">
        <v>85.51</v>
      </c>
      <c r="L11" s="6">
        <v>76.55</v>
      </c>
      <c r="M11" s="6">
        <v>83.15</v>
      </c>
      <c r="N11" s="14">
        <v>84.04</v>
      </c>
    </row>
    <row r="12" spans="1:14">
      <c r="A12" s="5">
        <v>20211112</v>
      </c>
      <c r="B12" s="6">
        <v>80.79</v>
      </c>
      <c r="C12" s="6">
        <v>82.17</v>
      </c>
      <c r="D12" s="6">
        <v>81.79</v>
      </c>
      <c r="E12" s="6">
        <v>517.7</v>
      </c>
      <c r="F12" s="6">
        <v>81.55</v>
      </c>
      <c r="G12" s="6">
        <v>81.74</v>
      </c>
      <c r="H12" s="6">
        <v>82.65</v>
      </c>
      <c r="I12" s="6">
        <v>79.945</v>
      </c>
      <c r="J12" s="6">
        <v>84.18</v>
      </c>
      <c r="K12" s="6">
        <v>81.63</v>
      </c>
      <c r="L12" s="6">
        <v>76.095</v>
      </c>
      <c r="M12" s="6">
        <v>82.91</v>
      </c>
      <c r="N12" s="14">
        <v>83.84</v>
      </c>
    </row>
    <row r="13" spans="1:14">
      <c r="A13" s="5">
        <v>20211115</v>
      </c>
      <c r="B13" s="6">
        <v>80.88</v>
      </c>
      <c r="C13" s="6">
        <v>82.05</v>
      </c>
      <c r="D13" s="6">
        <v>80.99</v>
      </c>
      <c r="E13" s="6">
        <v>513.3</v>
      </c>
      <c r="F13" s="6">
        <v>80.85</v>
      </c>
      <c r="G13" s="6">
        <v>80.99</v>
      </c>
      <c r="H13" s="6">
        <v>81.53</v>
      </c>
      <c r="I13" s="6">
        <v>79.275</v>
      </c>
      <c r="J13" s="6">
        <v>83.54</v>
      </c>
      <c r="K13" s="6">
        <v>84.39</v>
      </c>
      <c r="L13" s="6">
        <v>75.39</v>
      </c>
      <c r="M13" s="6">
        <v>82.28</v>
      </c>
      <c r="N13" s="14">
        <v>83.17</v>
      </c>
    </row>
    <row r="14" spans="1:14">
      <c r="A14" s="5">
        <v>20211116</v>
      </c>
      <c r="B14" s="6">
        <v>80.76</v>
      </c>
      <c r="C14" s="6">
        <v>82.43</v>
      </c>
      <c r="D14" s="6">
        <v>82.16</v>
      </c>
      <c r="E14" s="6">
        <v>510.8</v>
      </c>
      <c r="F14" s="6">
        <v>81.95</v>
      </c>
      <c r="G14" s="6">
        <v>82.15</v>
      </c>
      <c r="H14" s="6">
        <v>82.76</v>
      </c>
      <c r="I14" s="6">
        <v>80.55</v>
      </c>
      <c r="J14" s="6">
        <v>84.73</v>
      </c>
      <c r="K14" s="6">
        <v>85.43</v>
      </c>
      <c r="L14" s="6">
        <v>76.465</v>
      </c>
      <c r="M14" s="6">
        <v>83.33</v>
      </c>
      <c r="N14" s="14">
        <v>84.62</v>
      </c>
    </row>
    <row r="15" spans="1:14">
      <c r="A15" s="5">
        <v>20211117</v>
      </c>
      <c r="B15" s="6">
        <v>78.36</v>
      </c>
      <c r="C15" s="6">
        <v>80.28</v>
      </c>
      <c r="D15" s="6">
        <v>81.26</v>
      </c>
      <c r="E15" s="6">
        <v>514.8</v>
      </c>
      <c r="F15" s="6">
        <v>80.99</v>
      </c>
      <c r="G15" s="6">
        <v>81.29</v>
      </c>
      <c r="H15" s="6">
        <v>82.395</v>
      </c>
      <c r="I15" s="6">
        <v>79.425</v>
      </c>
      <c r="J15" s="6">
        <v>83.94</v>
      </c>
      <c r="K15" s="6">
        <v>84.49</v>
      </c>
      <c r="L15" s="6">
        <v>75.505</v>
      </c>
      <c r="M15" s="6">
        <v>82.46</v>
      </c>
      <c r="N15" s="14">
        <v>83.58</v>
      </c>
    </row>
    <row r="16" spans="1:14">
      <c r="A16" s="5">
        <v>20211118</v>
      </c>
      <c r="B16" s="6">
        <v>79.01</v>
      </c>
      <c r="C16" s="6">
        <v>81.24</v>
      </c>
      <c r="D16" s="6">
        <v>78.9</v>
      </c>
      <c r="E16" s="6">
        <v>500.1</v>
      </c>
      <c r="F16" s="6">
        <v>78.64</v>
      </c>
      <c r="G16" s="6">
        <v>78.92</v>
      </c>
      <c r="H16" s="6">
        <v>82.15</v>
      </c>
      <c r="I16" s="6">
        <v>76.505</v>
      </c>
      <c r="J16" s="6">
        <v>81.83</v>
      </c>
      <c r="K16" s="6">
        <v>82.38</v>
      </c>
      <c r="L16" s="6">
        <v>72.5</v>
      </c>
      <c r="M16" s="6">
        <v>82.16</v>
      </c>
      <c r="N16" s="14">
        <v>79.62</v>
      </c>
    </row>
    <row r="17" spans="1:14">
      <c r="A17" s="5">
        <v>20211119</v>
      </c>
      <c r="B17" s="6">
        <v>76.1</v>
      </c>
      <c r="C17" s="6">
        <v>78.89</v>
      </c>
      <c r="D17" s="6">
        <v>81.07</v>
      </c>
      <c r="E17" s="6">
        <v>499.9</v>
      </c>
      <c r="F17" s="6">
        <v>80.9</v>
      </c>
      <c r="G17" s="6">
        <v>81.14</v>
      </c>
      <c r="H17" s="6">
        <v>79.695</v>
      </c>
      <c r="I17" s="6">
        <v>78.715</v>
      </c>
      <c r="J17" s="6">
        <v>83.94</v>
      </c>
      <c r="K17" s="6">
        <v>84.44</v>
      </c>
      <c r="L17" s="6">
        <v>74.675</v>
      </c>
      <c r="M17" s="6">
        <v>80.01</v>
      </c>
      <c r="N17" s="14">
        <v>81.79</v>
      </c>
    </row>
    <row r="18" spans="1:14">
      <c r="A18" s="5">
        <v>20211122</v>
      </c>
      <c r="B18" s="6">
        <v>76.75</v>
      </c>
      <c r="C18" s="6">
        <v>79.7</v>
      </c>
      <c r="D18" s="6">
        <v>78.66</v>
      </c>
      <c r="E18" s="6">
        <v>489.4</v>
      </c>
      <c r="F18" s="6">
        <v>78.39</v>
      </c>
      <c r="G18" s="6">
        <v>78.67</v>
      </c>
      <c r="H18" s="6">
        <v>81.105</v>
      </c>
      <c r="I18" s="6">
        <v>76.16</v>
      </c>
      <c r="J18" s="6">
        <v>81.28</v>
      </c>
      <c r="K18" s="6">
        <v>81.68</v>
      </c>
      <c r="L18" s="6">
        <v>72.045</v>
      </c>
      <c r="M18" s="6">
        <v>81.25</v>
      </c>
      <c r="N18" s="14">
        <v>79.27</v>
      </c>
    </row>
    <row r="19" spans="1:14">
      <c r="A19" s="5">
        <v>20211123</v>
      </c>
      <c r="B19" s="6">
        <v>78.5</v>
      </c>
      <c r="C19" s="6">
        <v>82.31</v>
      </c>
      <c r="D19" s="6">
        <v>78.86</v>
      </c>
      <c r="E19" s="6">
        <v>491.2</v>
      </c>
      <c r="F19" s="6">
        <v>78.45</v>
      </c>
      <c r="G19" s="6">
        <v>78.75</v>
      </c>
      <c r="H19" s="6">
        <v>82.825</v>
      </c>
      <c r="I19" s="6">
        <v>76.625</v>
      </c>
      <c r="J19" s="6">
        <v>82.31</v>
      </c>
      <c r="K19" s="6">
        <v>81.71</v>
      </c>
      <c r="L19" s="6">
        <v>72.525</v>
      </c>
      <c r="M19" s="6">
        <v>82.93</v>
      </c>
      <c r="N19" s="14">
        <v>79.35</v>
      </c>
    </row>
    <row r="20" spans="1:14">
      <c r="A20" s="5">
        <v>20211124</v>
      </c>
      <c r="B20" s="6">
        <v>78.39</v>
      </c>
      <c r="C20" s="6">
        <v>82.25</v>
      </c>
      <c r="D20" s="6">
        <v>81.93</v>
      </c>
      <c r="E20" s="6">
        <v>506.7</v>
      </c>
      <c r="F20" s="6">
        <v>81.84</v>
      </c>
      <c r="G20" s="6">
        <v>82.04</v>
      </c>
      <c r="H20" s="6">
        <v>83.125</v>
      </c>
      <c r="I20" s="6">
        <v>80.11</v>
      </c>
      <c r="J20" s="6">
        <v>85.51</v>
      </c>
      <c r="K20" s="6">
        <v>84.71</v>
      </c>
      <c r="L20" s="6">
        <v>76.295</v>
      </c>
      <c r="M20" s="6">
        <v>83.64</v>
      </c>
      <c r="N20" s="14">
        <v>82.62</v>
      </c>
    </row>
    <row r="21" spans="1:14">
      <c r="A21" s="5">
        <v>20211125</v>
      </c>
      <c r="B21" s="6"/>
      <c r="C21" s="6">
        <v>82.22</v>
      </c>
      <c r="D21" s="6">
        <v>81.3</v>
      </c>
      <c r="E21" s="6">
        <v>511.4</v>
      </c>
      <c r="F21" s="6">
        <v>81.4</v>
      </c>
      <c r="G21" s="6">
        <v>81.5</v>
      </c>
      <c r="H21" s="6">
        <v>82.26</v>
      </c>
      <c r="I21" s="6">
        <v>79.63</v>
      </c>
      <c r="J21" s="6">
        <v>85.13</v>
      </c>
      <c r="K21" s="6">
        <v>84.23</v>
      </c>
      <c r="L21" s="6">
        <v>75.695</v>
      </c>
      <c r="M21" s="6">
        <v>82.87</v>
      </c>
      <c r="N21" s="14">
        <v>82.21</v>
      </c>
    </row>
    <row r="22" spans="1:14">
      <c r="A22" s="5">
        <v>20211126</v>
      </c>
      <c r="B22" s="6">
        <v>68.15</v>
      </c>
      <c r="C22" s="6">
        <v>72.72</v>
      </c>
      <c r="D22" s="6">
        <v>76.44</v>
      </c>
      <c r="E22" s="6">
        <v>504.5</v>
      </c>
      <c r="F22" s="6">
        <v>77.35</v>
      </c>
      <c r="G22" s="6">
        <v>77.59</v>
      </c>
      <c r="H22" s="6">
        <v>73.27</v>
      </c>
      <c r="I22" s="6">
        <v>75.55</v>
      </c>
      <c r="J22" s="6">
        <v>81.12</v>
      </c>
      <c r="K22" s="6">
        <v>80.27</v>
      </c>
      <c r="L22" s="6">
        <v>71.835</v>
      </c>
      <c r="M22" s="6">
        <v>73.94</v>
      </c>
      <c r="N22" s="14">
        <v>77.74</v>
      </c>
    </row>
    <row r="23" spans="1:14">
      <c r="A23" s="5">
        <v>20211129</v>
      </c>
      <c r="B23" s="6">
        <v>69.95</v>
      </c>
      <c r="C23" s="6">
        <v>73.44</v>
      </c>
      <c r="D23" s="6">
        <v>72.77</v>
      </c>
      <c r="E23" s="6">
        <v>474.5</v>
      </c>
      <c r="F23" s="6">
        <v>75.15</v>
      </c>
      <c r="G23" s="6">
        <v>75.19</v>
      </c>
      <c r="H23" s="6">
        <v>74.95</v>
      </c>
      <c r="I23" s="6">
        <v>73.33</v>
      </c>
      <c r="J23" s="6">
        <v>78.76</v>
      </c>
      <c r="K23" s="6">
        <v>77.82</v>
      </c>
      <c r="L23" s="6">
        <v>69.63</v>
      </c>
      <c r="M23" s="6">
        <v>75.58</v>
      </c>
      <c r="N23" s="14">
        <v>75.53</v>
      </c>
    </row>
    <row r="24" spans="1:14">
      <c r="A24" s="5">
        <v>20211130</v>
      </c>
      <c r="B24" s="6">
        <v>66.18</v>
      </c>
      <c r="C24" s="6">
        <v>70.57</v>
      </c>
      <c r="D24" s="6">
        <v>70.62</v>
      </c>
      <c r="E24" s="6">
        <v>465.9</v>
      </c>
      <c r="F24" s="6">
        <v>71.85</v>
      </c>
      <c r="G24" s="6">
        <v>71.9</v>
      </c>
      <c r="H24" s="6">
        <v>70.96</v>
      </c>
      <c r="I24" s="6">
        <v>70.09</v>
      </c>
      <c r="J24" s="6">
        <v>76.07</v>
      </c>
      <c r="K24" s="6">
        <v>75.12</v>
      </c>
      <c r="L24" s="6">
        <v>66.25</v>
      </c>
      <c r="M24" s="6">
        <v>71.86</v>
      </c>
      <c r="N24" s="14">
        <v>72.66</v>
      </c>
    </row>
    <row r="25" spans="1:14">
      <c r="A25" s="7" t="s">
        <v>17</v>
      </c>
      <c r="B25" s="8">
        <f>AVERAGE(B23:B24)</f>
        <v>68.065</v>
      </c>
      <c r="C25" s="8">
        <f t="shared" ref="C25:N25" si="0">AVERAGE(C23:C24)</f>
        <v>72.005</v>
      </c>
      <c r="D25" s="8">
        <f t="shared" si="0"/>
        <v>71.695</v>
      </c>
      <c r="E25" s="8">
        <f t="shared" si="0"/>
        <v>470.2</v>
      </c>
      <c r="F25" s="8">
        <f t="shared" si="0"/>
        <v>73.5</v>
      </c>
      <c r="G25" s="8">
        <f t="shared" si="0"/>
        <v>73.545</v>
      </c>
      <c r="H25" s="8">
        <f t="shared" si="0"/>
        <v>72.955</v>
      </c>
      <c r="I25" s="8">
        <f t="shared" si="0"/>
        <v>71.71</v>
      </c>
      <c r="J25" s="8">
        <f t="shared" si="0"/>
        <v>77.415</v>
      </c>
      <c r="K25" s="8">
        <f t="shared" si="0"/>
        <v>76.47</v>
      </c>
      <c r="L25" s="8">
        <f t="shared" si="0"/>
        <v>67.94</v>
      </c>
      <c r="M25" s="8">
        <f t="shared" si="0"/>
        <v>73.72</v>
      </c>
      <c r="N25" s="15">
        <f t="shared" si="0"/>
        <v>74.095</v>
      </c>
    </row>
    <row r="26" ht="22.5" spans="1:14">
      <c r="A26" s="3" t="s">
        <v>25</v>
      </c>
      <c r="B26" s="9">
        <f>AVERAGE(B3:B24)</f>
        <v>78.6538095238095</v>
      </c>
      <c r="C26" s="9">
        <f t="shared" ref="C26:N26" si="1">AVERAGE(C3:C24)</f>
        <v>80.8495454545455</v>
      </c>
      <c r="D26" s="9">
        <f t="shared" si="1"/>
        <v>80.2609090909091</v>
      </c>
      <c r="E26" s="9">
        <f t="shared" si="1"/>
        <v>509.763636363636</v>
      </c>
      <c r="F26" s="9">
        <f t="shared" si="1"/>
        <v>80.2764285714286</v>
      </c>
      <c r="G26" s="9">
        <f t="shared" si="1"/>
        <v>80.4933333333333</v>
      </c>
      <c r="H26" s="9">
        <f t="shared" si="1"/>
        <v>81.4413636363636</v>
      </c>
      <c r="I26" s="9">
        <f t="shared" si="1"/>
        <v>78.7109523809523</v>
      </c>
      <c r="J26" s="9">
        <f t="shared" si="1"/>
        <v>83.8290476190476</v>
      </c>
      <c r="K26" s="9">
        <f t="shared" si="1"/>
        <v>83.9938095238095</v>
      </c>
      <c r="L26" s="9">
        <f t="shared" si="1"/>
        <v>74.7885714285714</v>
      </c>
      <c r="M26" s="9">
        <f t="shared" si="1"/>
        <v>82.16</v>
      </c>
      <c r="N26" s="16">
        <f t="shared" si="1"/>
        <v>82.0404761904762</v>
      </c>
    </row>
    <row r="27" ht="23.25" spans="1:14">
      <c r="A27" s="10" t="s">
        <v>19</v>
      </c>
      <c r="B27" s="18">
        <f>(B26-B2)/B2</f>
        <v>-0.0316296139955909</v>
      </c>
      <c r="C27" s="18">
        <f t="shared" ref="C27:L27" si="2">(C26-C2)/C2</f>
        <v>-0.0345883795450795</v>
      </c>
      <c r="D27" s="18">
        <f t="shared" si="2"/>
        <v>-0.0162267166434609</v>
      </c>
      <c r="E27" s="18">
        <f t="shared" si="2"/>
        <v>-0.0343785449982026</v>
      </c>
      <c r="F27" s="18">
        <f t="shared" si="2"/>
        <v>-0.016045106067548</v>
      </c>
      <c r="G27" s="18">
        <f t="shared" si="2"/>
        <v>-0.0138785987223989</v>
      </c>
      <c r="H27" s="18">
        <f t="shared" si="2"/>
        <v>-0.026555694543799</v>
      </c>
      <c r="I27" s="18">
        <f t="shared" si="2"/>
        <v>-0.0164116845481435</v>
      </c>
      <c r="J27" s="18">
        <f t="shared" si="2"/>
        <v>-0.0181871925578076</v>
      </c>
      <c r="K27" s="18">
        <f t="shared" si="2"/>
        <v>-0.0258198849013046</v>
      </c>
      <c r="L27" s="18">
        <f t="shared" si="2"/>
        <v>-0.0183693240413762</v>
      </c>
      <c r="M27" s="18"/>
      <c r="N27" s="19">
        <f>(N26-N2)/N2</f>
        <v>-0.0223910662709743</v>
      </c>
    </row>
    <row r="28" ht="15"/>
  </sheetData>
  <pageMargins left="0.75" right="0.75" top="1" bottom="1" header="0.5" footer="0.5"/>
  <pageSetup paperSize="9" orientation="portrait"/>
  <headerFooter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7"/>
  <dimension ref="A1:M31"/>
  <sheetViews>
    <sheetView workbookViewId="0">
      <selection activeCell="D27" sqref="D27"/>
    </sheetView>
  </sheetViews>
  <sheetFormatPr defaultColWidth="9" defaultRowHeight="14.25"/>
  <sheetData>
    <row r="1" ht="15" spans="1:1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2" t="s">
        <v>15</v>
      </c>
    </row>
    <row r="2" ht="22.5" spans="1:13">
      <c r="A2" s="3" t="s">
        <v>29</v>
      </c>
      <c r="B2" s="9">
        <v>71.5447619047619</v>
      </c>
      <c r="C2" s="9">
        <v>74.8763636363636</v>
      </c>
      <c r="D2" s="9">
        <v>72.7786363636364</v>
      </c>
      <c r="E2" s="9">
        <v>467.185</v>
      </c>
      <c r="F2" s="9">
        <v>72.6079545454545</v>
      </c>
      <c r="G2" s="9">
        <v>72.7218181818182</v>
      </c>
      <c r="H2" s="9">
        <v>74.5756818181818</v>
      </c>
      <c r="I2" s="9">
        <v>71.1563636363637</v>
      </c>
      <c r="J2" s="9">
        <v>75.0004545454546</v>
      </c>
      <c r="K2" s="9">
        <v>77.4459090909091</v>
      </c>
      <c r="L2" s="9">
        <v>68.1295454545455</v>
      </c>
      <c r="M2" s="16">
        <v>74.3672727272727</v>
      </c>
    </row>
    <row r="3" spans="1:13">
      <c r="A3" s="5">
        <v>20210927</v>
      </c>
      <c r="B3" s="6">
        <v>75.45</v>
      </c>
      <c r="C3" s="6">
        <v>79.53</v>
      </c>
      <c r="D3" s="6">
        <v>76.16</v>
      </c>
      <c r="E3" s="6">
        <v>492.2</v>
      </c>
      <c r="F3" s="6">
        <v>76.15</v>
      </c>
      <c r="G3" s="6">
        <v>76.19</v>
      </c>
      <c r="H3" s="6">
        <v>79.115</v>
      </c>
      <c r="I3" s="6">
        <v>75.495</v>
      </c>
      <c r="J3" s="6">
        <v>79.52</v>
      </c>
      <c r="K3" s="6">
        <v>82.22</v>
      </c>
      <c r="L3" s="6">
        <v>72.275</v>
      </c>
      <c r="M3" s="14">
        <v>79.18</v>
      </c>
    </row>
    <row r="4" spans="1:13">
      <c r="A4" s="5">
        <v>20210928</v>
      </c>
      <c r="B4" s="6">
        <v>75.29</v>
      </c>
      <c r="C4" s="6">
        <v>79.09</v>
      </c>
      <c r="D4" s="6">
        <v>77.37</v>
      </c>
      <c r="E4" s="6">
        <v>501.9</v>
      </c>
      <c r="F4" s="6">
        <v>77.3</v>
      </c>
      <c r="G4" s="6">
        <v>77.41</v>
      </c>
      <c r="H4" s="6">
        <v>78.545</v>
      </c>
      <c r="I4" s="6">
        <v>76.565</v>
      </c>
      <c r="J4" s="6">
        <v>80.95</v>
      </c>
      <c r="K4" s="6">
        <v>83.3</v>
      </c>
      <c r="L4" s="6">
        <v>73.385</v>
      </c>
      <c r="M4" s="14">
        <v>80.35</v>
      </c>
    </row>
    <row r="5" spans="1:13">
      <c r="A5" s="5">
        <v>20210929</v>
      </c>
      <c r="B5" s="6">
        <v>74.83</v>
      </c>
      <c r="C5" s="6">
        <v>78.64</v>
      </c>
      <c r="D5" s="6">
        <v>75.75</v>
      </c>
      <c r="E5" s="6">
        <v>496.5</v>
      </c>
      <c r="F5" s="6">
        <v>75.66</v>
      </c>
      <c r="G5" s="6">
        <v>75.77</v>
      </c>
      <c r="H5" s="6">
        <v>78.415</v>
      </c>
      <c r="I5" s="6">
        <v>75.025</v>
      </c>
      <c r="J5" s="6">
        <v>79.45</v>
      </c>
      <c r="K5" s="6">
        <v>81.6</v>
      </c>
      <c r="L5" s="6">
        <v>71.93</v>
      </c>
      <c r="M5" s="14">
        <v>78.65</v>
      </c>
    </row>
    <row r="6" spans="1:13">
      <c r="A6" s="5">
        <v>20210930</v>
      </c>
      <c r="B6" s="6">
        <v>75.03</v>
      </c>
      <c r="C6" s="6">
        <v>78.52</v>
      </c>
      <c r="D6" s="6">
        <v>76.43</v>
      </c>
      <c r="E6" s="6">
        <v>495.7</v>
      </c>
      <c r="F6" s="6">
        <v>75.95</v>
      </c>
      <c r="G6" s="6">
        <v>76.1</v>
      </c>
      <c r="H6" s="6">
        <v>78.815</v>
      </c>
      <c r="I6" s="6">
        <v>75.595</v>
      </c>
      <c r="J6" s="6">
        <v>80.45</v>
      </c>
      <c r="K6" s="6">
        <v>82.35</v>
      </c>
      <c r="L6" s="6">
        <v>72.485</v>
      </c>
      <c r="M6" s="14">
        <v>79.2</v>
      </c>
    </row>
    <row r="7" spans="1:13">
      <c r="A7" s="5">
        <v>20211001</v>
      </c>
      <c r="B7" s="6">
        <v>75.88</v>
      </c>
      <c r="C7" s="6">
        <v>79.28</v>
      </c>
      <c r="D7" s="6">
        <v>75.5</v>
      </c>
      <c r="E7" s="6"/>
      <c r="F7" s="6">
        <v>75.65</v>
      </c>
      <c r="G7" s="6">
        <v>75.7</v>
      </c>
      <c r="H7" s="6">
        <v>78.715</v>
      </c>
      <c r="I7" s="6">
        <v>74.42</v>
      </c>
      <c r="J7" s="6">
        <v>79.89</v>
      </c>
      <c r="K7" s="6">
        <v>81.54</v>
      </c>
      <c r="L7" s="6">
        <v>71.01</v>
      </c>
      <c r="M7" s="14">
        <v>77.7</v>
      </c>
    </row>
    <row r="8" spans="1:13">
      <c r="A8" s="5">
        <v>20211004</v>
      </c>
      <c r="B8" s="6">
        <v>77.62</v>
      </c>
      <c r="C8" s="6">
        <v>81.26</v>
      </c>
      <c r="D8" s="6">
        <v>77.13</v>
      </c>
      <c r="E8" s="6"/>
      <c r="F8" s="6">
        <v>77.14</v>
      </c>
      <c r="G8" s="6">
        <v>77.14</v>
      </c>
      <c r="H8" s="6">
        <v>81.765</v>
      </c>
      <c r="I8" s="6">
        <v>75.805</v>
      </c>
      <c r="J8" s="6">
        <v>81.48</v>
      </c>
      <c r="K8" s="6">
        <v>82.88</v>
      </c>
      <c r="L8" s="6">
        <v>72.405</v>
      </c>
      <c r="M8" s="14">
        <v>79.01</v>
      </c>
    </row>
    <row r="9" spans="1:13">
      <c r="A9" s="5">
        <v>20211005</v>
      </c>
      <c r="B9" s="6">
        <v>78.93</v>
      </c>
      <c r="C9" s="6">
        <v>82.56</v>
      </c>
      <c r="D9" s="6">
        <v>79.48</v>
      </c>
      <c r="E9" s="6"/>
      <c r="F9" s="6">
        <v>79.54</v>
      </c>
      <c r="G9" s="6">
        <v>79.54</v>
      </c>
      <c r="H9" s="6">
        <v>83.455</v>
      </c>
      <c r="I9" s="6">
        <v>77.965</v>
      </c>
      <c r="J9" s="6">
        <v>84.04</v>
      </c>
      <c r="K9" s="6">
        <v>85.34</v>
      </c>
      <c r="L9" s="6">
        <v>74.305</v>
      </c>
      <c r="M9" s="14">
        <v>81.37</v>
      </c>
    </row>
    <row r="10" spans="1:13">
      <c r="A10" s="5">
        <v>20211006</v>
      </c>
      <c r="B10" s="6">
        <v>77.43</v>
      </c>
      <c r="C10" s="6">
        <v>81.08</v>
      </c>
      <c r="D10" s="6">
        <v>80.46</v>
      </c>
      <c r="E10" s="6"/>
      <c r="F10" s="6">
        <v>80.54</v>
      </c>
      <c r="G10" s="6">
        <v>80.54</v>
      </c>
      <c r="H10" s="6">
        <v>81.41</v>
      </c>
      <c r="I10" s="6">
        <v>78.915</v>
      </c>
      <c r="J10" s="6">
        <v>84.92</v>
      </c>
      <c r="K10" s="6">
        <v>86.22</v>
      </c>
      <c r="L10" s="6">
        <v>75.27</v>
      </c>
      <c r="M10" s="14">
        <v>82.4</v>
      </c>
    </row>
    <row r="11" spans="1:13">
      <c r="A11" s="5">
        <v>20211007</v>
      </c>
      <c r="B11" s="6">
        <v>78.3</v>
      </c>
      <c r="C11" s="6">
        <v>81.95</v>
      </c>
      <c r="D11" s="6">
        <v>77.22</v>
      </c>
      <c r="E11" s="6"/>
      <c r="F11" s="6">
        <v>77.39</v>
      </c>
      <c r="G11" s="6">
        <v>77.39</v>
      </c>
      <c r="H11" s="6">
        <v>81.99</v>
      </c>
      <c r="I11" s="6">
        <v>76.015</v>
      </c>
      <c r="J11" s="6">
        <v>81.72</v>
      </c>
      <c r="K11" s="6">
        <v>83.12</v>
      </c>
      <c r="L11" s="6">
        <v>72.525</v>
      </c>
      <c r="M11" s="14">
        <v>79.46</v>
      </c>
    </row>
    <row r="12" spans="1:13">
      <c r="A12" s="5">
        <v>20211008</v>
      </c>
      <c r="B12" s="6">
        <v>79.35</v>
      </c>
      <c r="C12" s="6">
        <v>82.39</v>
      </c>
      <c r="D12" s="6">
        <v>81.14</v>
      </c>
      <c r="E12" s="6">
        <v>526.9</v>
      </c>
      <c r="F12" s="6">
        <v>81.195</v>
      </c>
      <c r="G12" s="6">
        <v>81.25</v>
      </c>
      <c r="H12" s="6">
        <v>82.975</v>
      </c>
      <c r="I12" s="6">
        <v>79.585</v>
      </c>
      <c r="J12" s="6">
        <v>85.31</v>
      </c>
      <c r="K12" s="6">
        <v>86.71</v>
      </c>
      <c r="L12" s="6">
        <v>75.9</v>
      </c>
      <c r="M12" s="14">
        <v>83.07</v>
      </c>
    </row>
    <row r="13" spans="1:13">
      <c r="A13" s="5">
        <v>20211011</v>
      </c>
      <c r="B13" s="6">
        <v>80.52</v>
      </c>
      <c r="C13" s="6">
        <v>83.65</v>
      </c>
      <c r="D13" s="6">
        <v>81.97</v>
      </c>
      <c r="E13" s="6">
        <v>526.9</v>
      </c>
      <c r="F13" s="6">
        <v>81.995</v>
      </c>
      <c r="G13" s="6">
        <v>82.06</v>
      </c>
      <c r="H13" s="6">
        <v>84.43</v>
      </c>
      <c r="I13" s="6">
        <v>80.07</v>
      </c>
      <c r="J13" s="6">
        <v>85.27</v>
      </c>
      <c r="K13" s="6">
        <v>86.27</v>
      </c>
      <c r="L13" s="6">
        <v>76.33</v>
      </c>
      <c r="M13" s="14">
        <v>83.86</v>
      </c>
    </row>
    <row r="14" spans="1:13">
      <c r="A14" s="5">
        <v>20211012</v>
      </c>
      <c r="B14" s="6">
        <v>80.64</v>
      </c>
      <c r="C14" s="6">
        <v>83.42</v>
      </c>
      <c r="D14" s="6">
        <v>82.09</v>
      </c>
      <c r="E14" s="6">
        <v>531.3</v>
      </c>
      <c r="F14" s="6">
        <v>82.05</v>
      </c>
      <c r="G14" s="6">
        <v>82.09</v>
      </c>
      <c r="H14" s="6">
        <v>83.64</v>
      </c>
      <c r="I14" s="6">
        <v>80.21</v>
      </c>
      <c r="J14" s="6">
        <v>85.26</v>
      </c>
      <c r="K14" s="6">
        <v>85.81</v>
      </c>
      <c r="L14" s="6">
        <v>76.485</v>
      </c>
      <c r="M14" s="14">
        <v>83.9</v>
      </c>
    </row>
    <row r="15" spans="1:13">
      <c r="A15" s="5">
        <v>20211013</v>
      </c>
      <c r="B15" s="6">
        <v>80.44</v>
      </c>
      <c r="C15" s="6">
        <v>83.18</v>
      </c>
      <c r="D15" s="6">
        <v>81.45</v>
      </c>
      <c r="E15" s="6">
        <v>528</v>
      </c>
      <c r="F15" s="6">
        <v>81.4</v>
      </c>
      <c r="G15" s="6">
        <v>81.44</v>
      </c>
      <c r="H15" s="6">
        <v>83.325</v>
      </c>
      <c r="I15" s="6">
        <v>79.545</v>
      </c>
      <c r="J15" s="6">
        <v>84.55</v>
      </c>
      <c r="K15" s="6">
        <v>85.15</v>
      </c>
      <c r="L15" s="6">
        <v>75.885</v>
      </c>
      <c r="M15" s="14">
        <v>83.11</v>
      </c>
    </row>
    <row r="16" spans="1:13">
      <c r="A16" s="5">
        <v>20211014</v>
      </c>
      <c r="B16" s="6">
        <v>81.31</v>
      </c>
      <c r="C16" s="6">
        <v>84</v>
      </c>
      <c r="D16" s="6">
        <v>82.3</v>
      </c>
      <c r="E16" s="6">
        <v>520.6</v>
      </c>
      <c r="F16" s="6">
        <v>82.25</v>
      </c>
      <c r="G16" s="6">
        <v>82.27</v>
      </c>
      <c r="H16" s="6">
        <v>83.335</v>
      </c>
      <c r="I16" s="6">
        <v>80.435</v>
      </c>
      <c r="J16" s="6">
        <v>85.31</v>
      </c>
      <c r="K16" s="6">
        <v>85.96</v>
      </c>
      <c r="L16" s="6">
        <v>76.845</v>
      </c>
      <c r="M16" s="14">
        <v>83.96</v>
      </c>
    </row>
    <row r="17" spans="1:13">
      <c r="A17" s="5">
        <v>20211015</v>
      </c>
      <c r="B17" s="6">
        <v>82.28</v>
      </c>
      <c r="C17" s="6">
        <v>84.86</v>
      </c>
      <c r="D17" s="6">
        <v>83.1</v>
      </c>
      <c r="E17" s="6">
        <v>525.2</v>
      </c>
      <c r="F17" s="6">
        <v>82.995</v>
      </c>
      <c r="G17" s="6">
        <v>83.09</v>
      </c>
      <c r="H17" s="6">
        <v>84.96</v>
      </c>
      <c r="I17" s="6">
        <v>81</v>
      </c>
      <c r="J17" s="6">
        <v>86.12</v>
      </c>
      <c r="K17" s="6">
        <v>86.72</v>
      </c>
      <c r="L17" s="6">
        <v>77.19</v>
      </c>
      <c r="M17" s="14">
        <v>84.85</v>
      </c>
    </row>
    <row r="18" spans="1:13">
      <c r="A18" s="5">
        <v>20211018</v>
      </c>
      <c r="B18" s="6">
        <v>82.44</v>
      </c>
      <c r="C18" s="6">
        <v>84.33</v>
      </c>
      <c r="D18" s="6">
        <v>83.95</v>
      </c>
      <c r="E18" s="6">
        <v>537.9</v>
      </c>
      <c r="F18" s="6">
        <v>83.86</v>
      </c>
      <c r="G18" s="6">
        <v>83.9</v>
      </c>
      <c r="H18" s="6">
        <v>84.63</v>
      </c>
      <c r="I18" s="6">
        <v>82.59</v>
      </c>
      <c r="J18" s="6">
        <v>87.47</v>
      </c>
      <c r="K18" s="6">
        <v>87.67</v>
      </c>
      <c r="L18" s="6">
        <v>78.82</v>
      </c>
      <c r="M18" s="14">
        <v>87.03</v>
      </c>
    </row>
    <row r="19" spans="1:13">
      <c r="A19" s="5">
        <v>20211019</v>
      </c>
      <c r="B19" s="6">
        <v>82.96</v>
      </c>
      <c r="C19" s="6">
        <v>85.08</v>
      </c>
      <c r="D19" s="6">
        <v>83.06</v>
      </c>
      <c r="E19" s="6">
        <v>533.1</v>
      </c>
      <c r="F19" s="6">
        <v>82.99</v>
      </c>
      <c r="G19" s="6">
        <v>83.04</v>
      </c>
      <c r="H19" s="6">
        <v>85.03</v>
      </c>
      <c r="I19" s="6">
        <v>81.99</v>
      </c>
      <c r="J19" s="6">
        <v>86.74</v>
      </c>
      <c r="K19" s="6">
        <v>87.04</v>
      </c>
      <c r="L19" s="6">
        <v>78.25</v>
      </c>
      <c r="M19" s="14">
        <v>86.61</v>
      </c>
    </row>
    <row r="20" spans="1:13">
      <c r="A20" s="5">
        <v>20211020</v>
      </c>
      <c r="B20" s="6">
        <v>83.87</v>
      </c>
      <c r="C20" s="6">
        <v>85.82</v>
      </c>
      <c r="D20" s="6">
        <v>82.63</v>
      </c>
      <c r="E20" s="6">
        <v>526.1</v>
      </c>
      <c r="F20" s="6">
        <v>82.54</v>
      </c>
      <c r="G20" s="6">
        <v>82.56</v>
      </c>
      <c r="H20" s="6">
        <v>85.12</v>
      </c>
      <c r="I20" s="6">
        <v>81.325</v>
      </c>
      <c r="J20" s="6">
        <v>86.28</v>
      </c>
      <c r="K20" s="6">
        <v>86.68</v>
      </c>
      <c r="L20" s="6">
        <v>77.435</v>
      </c>
      <c r="M20" s="14">
        <v>85.61</v>
      </c>
    </row>
    <row r="21" spans="1:13">
      <c r="A21" s="5">
        <v>20211021</v>
      </c>
      <c r="B21" s="6">
        <v>82.5</v>
      </c>
      <c r="C21" s="6">
        <v>84.61</v>
      </c>
      <c r="D21" s="6">
        <v>83.21</v>
      </c>
      <c r="E21" s="6">
        <v>530.6</v>
      </c>
      <c r="F21" s="6">
        <v>83.1</v>
      </c>
      <c r="G21" s="6">
        <v>83.19</v>
      </c>
      <c r="H21" s="6">
        <v>83.7</v>
      </c>
      <c r="I21" s="6">
        <v>81.65</v>
      </c>
      <c r="J21" s="6">
        <v>86.82</v>
      </c>
      <c r="K21" s="6">
        <v>87.32</v>
      </c>
      <c r="L21" s="6">
        <v>77.515</v>
      </c>
      <c r="M21" s="14">
        <v>86.18</v>
      </c>
    </row>
    <row r="22" spans="1:13">
      <c r="A22" s="5">
        <v>20211022</v>
      </c>
      <c r="B22" s="6">
        <v>83.76</v>
      </c>
      <c r="C22" s="6">
        <v>85.53</v>
      </c>
      <c r="D22" s="6">
        <v>82.75</v>
      </c>
      <c r="E22" s="6">
        <v>524.8</v>
      </c>
      <c r="F22" s="6">
        <v>82.55</v>
      </c>
      <c r="G22" s="6">
        <v>82.74</v>
      </c>
      <c r="H22" s="6">
        <v>84.97</v>
      </c>
      <c r="I22" s="6">
        <v>81.23</v>
      </c>
      <c r="J22" s="6">
        <v>86.44</v>
      </c>
      <c r="K22" s="6">
        <v>87.04</v>
      </c>
      <c r="L22" s="6">
        <v>77.08</v>
      </c>
      <c r="M22" s="14">
        <v>85.65</v>
      </c>
    </row>
    <row r="23" spans="1:13">
      <c r="A23" s="5">
        <v>20211025</v>
      </c>
      <c r="B23" s="6">
        <v>83.76</v>
      </c>
      <c r="C23" s="6">
        <v>85.99</v>
      </c>
      <c r="D23" s="6">
        <v>84.26</v>
      </c>
      <c r="E23" s="6">
        <v>529.6</v>
      </c>
      <c r="F23" s="6">
        <v>84.34</v>
      </c>
      <c r="G23" s="6">
        <v>84.34</v>
      </c>
      <c r="H23" s="6">
        <v>86.115</v>
      </c>
      <c r="I23" s="6">
        <v>82.38</v>
      </c>
      <c r="J23" s="6">
        <v>87.53</v>
      </c>
      <c r="K23" s="6">
        <v>88.18</v>
      </c>
      <c r="L23" s="6">
        <v>78.26</v>
      </c>
      <c r="M23" s="14">
        <v>86.69</v>
      </c>
    </row>
    <row r="24" spans="1:13">
      <c r="A24" s="5">
        <v>20211026</v>
      </c>
      <c r="B24" s="6">
        <v>84.65</v>
      </c>
      <c r="C24" s="6">
        <v>86.4</v>
      </c>
      <c r="D24" s="6">
        <v>84.03</v>
      </c>
      <c r="E24" s="6">
        <v>534.2</v>
      </c>
      <c r="F24" s="6">
        <v>83.91</v>
      </c>
      <c r="G24" s="6">
        <v>83.91</v>
      </c>
      <c r="H24" s="6">
        <v>85.845</v>
      </c>
      <c r="I24" s="6">
        <v>82.155</v>
      </c>
      <c r="J24" s="6">
        <v>87.91</v>
      </c>
      <c r="K24" s="6">
        <v>88.46</v>
      </c>
      <c r="L24" s="6">
        <v>77.94</v>
      </c>
      <c r="M24" s="14">
        <v>86.41</v>
      </c>
    </row>
    <row r="25" spans="1:13">
      <c r="A25" s="5">
        <v>20211027</v>
      </c>
      <c r="B25" s="6">
        <v>82.66</v>
      </c>
      <c r="C25" s="6">
        <v>84.58</v>
      </c>
      <c r="D25" s="6">
        <v>83.36</v>
      </c>
      <c r="E25" s="6">
        <v>531.7</v>
      </c>
      <c r="F25" s="6">
        <v>83.44</v>
      </c>
      <c r="G25" s="6">
        <v>83.45</v>
      </c>
      <c r="H25" s="6">
        <v>84.475</v>
      </c>
      <c r="I25" s="6">
        <v>81.825</v>
      </c>
      <c r="J25" s="6">
        <v>87.41</v>
      </c>
      <c r="K25" s="6">
        <v>88.21</v>
      </c>
      <c r="L25" s="6">
        <v>77.58</v>
      </c>
      <c r="M25" s="14">
        <v>85.92</v>
      </c>
    </row>
    <row r="26" spans="1:13">
      <c r="A26" s="5">
        <v>20211028</v>
      </c>
      <c r="B26" s="6">
        <v>82.81</v>
      </c>
      <c r="C26" s="6">
        <v>84.32</v>
      </c>
      <c r="D26" s="6">
        <v>81.85</v>
      </c>
      <c r="E26" s="6">
        <v>520.4</v>
      </c>
      <c r="F26" s="6">
        <v>81.87</v>
      </c>
      <c r="G26" s="6">
        <v>81.96</v>
      </c>
      <c r="H26" s="6">
        <v>83.41</v>
      </c>
      <c r="I26" s="6">
        <v>80.415</v>
      </c>
      <c r="J26" s="6">
        <v>85.99</v>
      </c>
      <c r="K26" s="6">
        <v>86.84</v>
      </c>
      <c r="L26" s="6">
        <v>76.16</v>
      </c>
      <c r="M26" s="14">
        <v>84.46</v>
      </c>
    </row>
    <row r="27" spans="1:13">
      <c r="A27" s="5">
        <v>20211029</v>
      </c>
      <c r="B27" s="6">
        <v>83.57</v>
      </c>
      <c r="C27" s="6">
        <v>84.38</v>
      </c>
      <c r="D27" s="6">
        <v>82.34</v>
      </c>
      <c r="E27" s="6">
        <v>519.3</v>
      </c>
      <c r="F27" s="6">
        <v>82.55</v>
      </c>
      <c r="G27" s="6">
        <v>82.55</v>
      </c>
      <c r="H27" s="6">
        <v>83.63</v>
      </c>
      <c r="I27" s="6">
        <v>80.985</v>
      </c>
      <c r="J27" s="6">
        <v>86.56</v>
      </c>
      <c r="K27" s="6">
        <v>87.46</v>
      </c>
      <c r="L27" s="6">
        <v>76.76</v>
      </c>
      <c r="M27" s="14">
        <v>85.06</v>
      </c>
    </row>
    <row r="28" spans="1:13">
      <c r="A28" s="7" t="s">
        <v>17</v>
      </c>
      <c r="B28" s="8">
        <f>AVERAGE(B23:B27)</f>
        <v>83.49</v>
      </c>
      <c r="C28" s="8">
        <f t="shared" ref="C28:M28" si="0">AVERAGE(C23:C27)</f>
        <v>85.134</v>
      </c>
      <c r="D28" s="8">
        <f t="shared" si="0"/>
        <v>83.168</v>
      </c>
      <c r="E28" s="8">
        <f t="shared" si="0"/>
        <v>527.04</v>
      </c>
      <c r="F28" s="8">
        <f t="shared" si="0"/>
        <v>83.222</v>
      </c>
      <c r="G28" s="8">
        <f t="shared" si="0"/>
        <v>83.242</v>
      </c>
      <c r="H28" s="8">
        <f t="shared" si="0"/>
        <v>84.695</v>
      </c>
      <c r="I28" s="8">
        <f t="shared" si="0"/>
        <v>81.552</v>
      </c>
      <c r="J28" s="8">
        <f t="shared" si="0"/>
        <v>87.08</v>
      </c>
      <c r="K28" s="8">
        <f t="shared" si="0"/>
        <v>87.83</v>
      </c>
      <c r="L28" s="8">
        <f t="shared" si="0"/>
        <v>77.34</v>
      </c>
      <c r="M28" s="15">
        <f t="shared" si="0"/>
        <v>85.708</v>
      </c>
    </row>
    <row r="29" ht="22.5" spans="1:13">
      <c r="A29" s="3" t="s">
        <v>51</v>
      </c>
      <c r="B29" s="9">
        <f>AVERAGE(B7:B27)</f>
        <v>81.2228571428571</v>
      </c>
      <c r="C29" s="9">
        <f t="shared" ref="C29:M29" si="1">AVERAGE(C7:C27)</f>
        <v>83.7461904761905</v>
      </c>
      <c r="D29" s="9">
        <f t="shared" si="1"/>
        <v>81.5847619047619</v>
      </c>
      <c r="E29" s="9">
        <f t="shared" si="1"/>
        <v>527.9125</v>
      </c>
      <c r="F29" s="9">
        <f t="shared" si="1"/>
        <v>81.5854761904762</v>
      </c>
      <c r="G29" s="9">
        <f t="shared" si="1"/>
        <v>81.6261904761905</v>
      </c>
      <c r="H29" s="9">
        <f t="shared" si="1"/>
        <v>83.6630952380953</v>
      </c>
      <c r="I29" s="9">
        <f t="shared" si="1"/>
        <v>80.0242857142857</v>
      </c>
      <c r="J29" s="9">
        <f t="shared" si="1"/>
        <v>85.3819047619048</v>
      </c>
      <c r="K29" s="9">
        <f t="shared" si="1"/>
        <v>86.22</v>
      </c>
      <c r="L29" s="9">
        <f t="shared" si="1"/>
        <v>76.1880952380952</v>
      </c>
      <c r="M29" s="16">
        <f t="shared" si="1"/>
        <v>83.9195238095238</v>
      </c>
    </row>
    <row r="30" ht="23.25" spans="1:13">
      <c r="A30" s="10" t="s">
        <v>19</v>
      </c>
      <c r="B30" s="11">
        <f>(B29-B2)/B2</f>
        <v>0.135273288783578</v>
      </c>
      <c r="C30" s="11">
        <f t="shared" ref="C30:M30" si="2">(C29-C2)/C2</f>
        <v>0.118459636780748</v>
      </c>
      <c r="D30" s="11">
        <f t="shared" si="2"/>
        <v>0.120998770808592</v>
      </c>
      <c r="E30" s="11">
        <f t="shared" si="2"/>
        <v>0.129985979858086</v>
      </c>
      <c r="F30" s="11">
        <f t="shared" si="2"/>
        <v>0.123643775688537</v>
      </c>
      <c r="G30" s="11">
        <f t="shared" si="2"/>
        <v>0.122444302370297</v>
      </c>
      <c r="H30" s="11">
        <f t="shared" si="2"/>
        <v>0.121854915682419</v>
      </c>
      <c r="I30" s="11">
        <f t="shared" si="2"/>
        <v>0.124625846863684</v>
      </c>
      <c r="J30" s="11">
        <f t="shared" si="2"/>
        <v>0.138418497319352</v>
      </c>
      <c r="K30" s="11">
        <f t="shared" si="2"/>
        <v>0.113293148883972</v>
      </c>
      <c r="L30" s="11">
        <f t="shared" si="2"/>
        <v>0.118282746931378</v>
      </c>
      <c r="M30" s="17">
        <f t="shared" si="2"/>
        <v>0.128446973136719</v>
      </c>
    </row>
    <row r="31" ht="15"/>
  </sheetData>
  <pageMargins left="0.75" right="0.75" top="1" bottom="1" header="0.5" footer="0.5"/>
  <pageSetup paperSize="9" orientation="portrait"/>
  <headerFooter/>
  <legacy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8"/>
  <dimension ref="A1:M30"/>
  <sheetViews>
    <sheetView workbookViewId="0">
      <selection activeCell="N29" sqref="N29"/>
    </sheetView>
  </sheetViews>
  <sheetFormatPr defaultColWidth="9" defaultRowHeight="14.25"/>
  <cols>
    <col min="14" max="14" width="12.625"/>
  </cols>
  <sheetData>
    <row r="1" ht="15" spans="1:1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2" t="s">
        <v>15</v>
      </c>
    </row>
    <row r="2" ht="22.5" spans="1:13">
      <c r="A2" s="3" t="s">
        <v>30</v>
      </c>
      <c r="B2" s="9">
        <v>67.7113636363636</v>
      </c>
      <c r="C2" s="9">
        <v>70.5136363636364</v>
      </c>
      <c r="D2" s="9">
        <v>69.38</v>
      </c>
      <c r="E2" s="9">
        <v>427.168181818182</v>
      </c>
      <c r="F2" s="9">
        <v>69.485</v>
      </c>
      <c r="G2" s="9">
        <v>69.5961904761905</v>
      </c>
      <c r="H2" s="9">
        <v>70.8109523809524</v>
      </c>
      <c r="I2" s="9">
        <v>66.1897619047619</v>
      </c>
      <c r="J2" s="9">
        <v>70.4895238095238</v>
      </c>
      <c r="K2" s="9">
        <v>72.83</v>
      </c>
      <c r="L2" s="9">
        <v>62.7264285714286</v>
      </c>
      <c r="M2" s="16">
        <v>69.2428571428571</v>
      </c>
    </row>
    <row r="3" spans="1:13">
      <c r="A3" s="5">
        <v>20210830</v>
      </c>
      <c r="B3" s="6">
        <v>69.21</v>
      </c>
      <c r="C3" s="6">
        <v>73.41</v>
      </c>
      <c r="D3" s="6">
        <v>71.21</v>
      </c>
      <c r="E3" s="6">
        <v>438.8</v>
      </c>
      <c r="F3" s="6">
        <v>71.11</v>
      </c>
      <c r="G3" s="6">
        <v>71.16</v>
      </c>
      <c r="H3" s="6"/>
      <c r="I3" s="6">
        <v>67.83</v>
      </c>
      <c r="J3" s="6">
        <v>71.85</v>
      </c>
      <c r="K3" s="6">
        <v>74</v>
      </c>
      <c r="L3" s="6">
        <v>64.395</v>
      </c>
      <c r="M3" s="14">
        <v>70.78</v>
      </c>
    </row>
    <row r="4" spans="1:13">
      <c r="A4" s="5">
        <v>20210831</v>
      </c>
      <c r="B4" s="6">
        <v>68.5</v>
      </c>
      <c r="C4" s="6">
        <v>72.99</v>
      </c>
      <c r="D4" s="6">
        <v>69.97</v>
      </c>
      <c r="E4" s="6">
        <v>439.7</v>
      </c>
      <c r="F4" s="6">
        <v>71.15</v>
      </c>
      <c r="G4" s="6">
        <v>71.15</v>
      </c>
      <c r="H4" s="6">
        <v>72.405</v>
      </c>
      <c r="I4" s="6">
        <v>67.87</v>
      </c>
      <c r="J4" s="6">
        <v>71.82</v>
      </c>
      <c r="K4" s="6">
        <v>74.07</v>
      </c>
      <c r="L4" s="6">
        <v>64.5</v>
      </c>
      <c r="M4" s="14">
        <v>70.81</v>
      </c>
    </row>
    <row r="5" spans="1:13">
      <c r="A5" s="5">
        <v>20210901</v>
      </c>
      <c r="B5" s="6">
        <v>68.59</v>
      </c>
      <c r="C5" s="6">
        <v>71.59</v>
      </c>
      <c r="D5" s="6">
        <v>70.47</v>
      </c>
      <c r="E5" s="6">
        <v>440.3</v>
      </c>
      <c r="F5" s="6">
        <v>70.4</v>
      </c>
      <c r="G5" s="6">
        <v>70.47</v>
      </c>
      <c r="H5" s="6">
        <v>71.36</v>
      </c>
      <c r="I5" s="6">
        <v>68.01</v>
      </c>
      <c r="J5" s="6">
        <v>72.5</v>
      </c>
      <c r="K5" s="6">
        <v>74.8</v>
      </c>
      <c r="L5" s="6">
        <v>64.57</v>
      </c>
      <c r="M5" s="14">
        <v>70.75</v>
      </c>
    </row>
    <row r="6" spans="1:13">
      <c r="A6" s="5">
        <v>20210902</v>
      </c>
      <c r="B6" s="6">
        <v>69.99</v>
      </c>
      <c r="C6" s="6">
        <v>73.03</v>
      </c>
      <c r="D6" s="6">
        <v>69.87</v>
      </c>
      <c r="E6" s="6">
        <v>438.9</v>
      </c>
      <c r="F6" s="6">
        <v>69.71</v>
      </c>
      <c r="G6" s="6">
        <v>69.85</v>
      </c>
      <c r="H6" s="6">
        <v>73.97</v>
      </c>
      <c r="I6" s="6">
        <v>67.46</v>
      </c>
      <c r="J6" s="6">
        <v>71.93</v>
      </c>
      <c r="K6" s="6">
        <v>74.18</v>
      </c>
      <c r="L6" s="6">
        <v>64.12</v>
      </c>
      <c r="M6" s="14">
        <v>70.28</v>
      </c>
    </row>
    <row r="7" spans="1:13">
      <c r="A7" s="5">
        <v>20210903</v>
      </c>
      <c r="B7" s="6">
        <v>69.29</v>
      </c>
      <c r="C7" s="6">
        <v>72.61</v>
      </c>
      <c r="D7" s="6">
        <v>71.39</v>
      </c>
      <c r="E7" s="6">
        <v>455.7</v>
      </c>
      <c r="F7" s="6">
        <v>71.3</v>
      </c>
      <c r="G7" s="6">
        <v>71.39</v>
      </c>
      <c r="H7" s="6">
        <v>73.475</v>
      </c>
      <c r="I7" s="6">
        <v>69.115</v>
      </c>
      <c r="J7" s="6">
        <v>73.72</v>
      </c>
      <c r="K7" s="6">
        <v>75.97</v>
      </c>
      <c r="L7" s="6">
        <v>65.905</v>
      </c>
      <c r="M7" s="14">
        <v>71.82</v>
      </c>
    </row>
    <row r="8" spans="1:13">
      <c r="A8" s="5">
        <v>20210906</v>
      </c>
      <c r="B8" s="6"/>
      <c r="C8" s="6">
        <v>72.22</v>
      </c>
      <c r="D8" s="6">
        <v>70.08</v>
      </c>
      <c r="E8" s="6">
        <v>451.6</v>
      </c>
      <c r="F8" s="6">
        <v>69.96</v>
      </c>
      <c r="G8" s="6">
        <v>69.99</v>
      </c>
      <c r="H8" s="6">
        <v>72.3</v>
      </c>
      <c r="I8" s="6">
        <v>67.94</v>
      </c>
      <c r="J8" s="6">
        <v>72.51</v>
      </c>
      <c r="K8" s="6">
        <v>74.86</v>
      </c>
      <c r="L8" s="6">
        <v>64.89</v>
      </c>
      <c r="M8" s="14">
        <v>70.63</v>
      </c>
    </row>
    <row r="9" spans="1:13">
      <c r="A9" s="5">
        <v>20210907</v>
      </c>
      <c r="B9" s="6">
        <v>68.35</v>
      </c>
      <c r="C9" s="6">
        <v>71.69</v>
      </c>
      <c r="D9" s="6">
        <v>70.38</v>
      </c>
      <c r="E9" s="6">
        <v>454.3</v>
      </c>
      <c r="F9" s="6">
        <v>70.31</v>
      </c>
      <c r="G9" s="6">
        <v>70.34</v>
      </c>
      <c r="H9" s="6">
        <v>71.755</v>
      </c>
      <c r="I9" s="6">
        <v>68.46</v>
      </c>
      <c r="J9" s="6">
        <v>72.84</v>
      </c>
      <c r="K9" s="6">
        <v>75.34</v>
      </c>
      <c r="L9" s="6">
        <v>65.5</v>
      </c>
      <c r="M9" s="14">
        <v>71.08</v>
      </c>
    </row>
    <row r="10" spans="1:13">
      <c r="A10" s="5">
        <v>20210908</v>
      </c>
      <c r="B10" s="6">
        <v>69.3</v>
      </c>
      <c r="C10" s="6">
        <v>72.6</v>
      </c>
      <c r="D10" s="6">
        <v>69.9</v>
      </c>
      <c r="E10" s="6">
        <v>451</v>
      </c>
      <c r="F10" s="6">
        <v>69.75</v>
      </c>
      <c r="G10" s="6">
        <v>69.86</v>
      </c>
      <c r="H10" s="6">
        <v>72.335</v>
      </c>
      <c r="I10" s="6">
        <v>67.825</v>
      </c>
      <c r="J10" s="6">
        <v>72.08</v>
      </c>
      <c r="K10" s="6">
        <v>74.63</v>
      </c>
      <c r="L10" s="6">
        <v>64.78</v>
      </c>
      <c r="M10" s="14">
        <v>70.47</v>
      </c>
    </row>
    <row r="11" spans="1:13">
      <c r="A11" s="5">
        <v>20210909</v>
      </c>
      <c r="B11" s="6">
        <v>68.14</v>
      </c>
      <c r="C11" s="6">
        <v>71.45</v>
      </c>
      <c r="D11" s="6">
        <v>70.79</v>
      </c>
      <c r="E11" s="6">
        <v>454.7</v>
      </c>
      <c r="F11" s="6">
        <v>70.645</v>
      </c>
      <c r="G11" s="6">
        <v>70.79</v>
      </c>
      <c r="H11" s="6">
        <v>72.505</v>
      </c>
      <c r="I11" s="6">
        <v>68.46</v>
      </c>
      <c r="J11" s="6">
        <v>72.05</v>
      </c>
      <c r="K11" s="6">
        <v>74.65</v>
      </c>
      <c r="L11" s="6">
        <v>65.52</v>
      </c>
      <c r="M11" s="14">
        <v>71.23</v>
      </c>
    </row>
    <row r="12" spans="1:13">
      <c r="A12" s="5">
        <v>20210910</v>
      </c>
      <c r="B12" s="6">
        <v>69.72</v>
      </c>
      <c r="C12" s="6">
        <v>72.92</v>
      </c>
      <c r="D12" s="6">
        <v>71.01</v>
      </c>
      <c r="E12" s="6">
        <v>445.5</v>
      </c>
      <c r="F12" s="6">
        <v>70.86</v>
      </c>
      <c r="G12" s="6">
        <v>70.91</v>
      </c>
      <c r="H12" s="6">
        <v>72.385</v>
      </c>
      <c r="I12" s="6">
        <v>68.69</v>
      </c>
      <c r="J12" s="6">
        <v>72.19</v>
      </c>
      <c r="K12" s="6">
        <v>74.89</v>
      </c>
      <c r="L12" s="6">
        <v>65.8</v>
      </c>
      <c r="M12" s="14">
        <v>71.39</v>
      </c>
    </row>
    <row r="13" spans="1:13">
      <c r="A13" s="5">
        <v>20210913</v>
      </c>
      <c r="B13" s="6">
        <v>70.45</v>
      </c>
      <c r="C13" s="6">
        <v>73.51</v>
      </c>
      <c r="D13" s="6">
        <v>71.82</v>
      </c>
      <c r="E13" s="6">
        <v>456</v>
      </c>
      <c r="F13" s="6">
        <v>71.69</v>
      </c>
      <c r="G13" s="6">
        <v>71.8</v>
      </c>
      <c r="H13" s="6">
        <v>72.835</v>
      </c>
      <c r="I13" s="6">
        <v>69.595</v>
      </c>
      <c r="J13" s="6">
        <v>73.11</v>
      </c>
      <c r="K13" s="6">
        <v>75.81</v>
      </c>
      <c r="L13" s="6">
        <v>66.76</v>
      </c>
      <c r="M13" s="14">
        <v>72.23</v>
      </c>
    </row>
    <row r="14" spans="1:13">
      <c r="A14" s="5">
        <v>20210914</v>
      </c>
      <c r="B14" s="6">
        <v>70.46</v>
      </c>
      <c r="C14" s="6">
        <v>73.6</v>
      </c>
      <c r="D14" s="6">
        <v>72.49</v>
      </c>
      <c r="E14" s="6">
        <v>461.7</v>
      </c>
      <c r="F14" s="6">
        <v>72.26</v>
      </c>
      <c r="G14" s="6">
        <v>72.4</v>
      </c>
      <c r="H14" s="6">
        <v>73.1</v>
      </c>
      <c r="I14" s="6">
        <v>70.35</v>
      </c>
      <c r="J14" s="6">
        <v>73.74</v>
      </c>
      <c r="K14" s="6">
        <v>76.49</v>
      </c>
      <c r="L14" s="6">
        <v>67.525</v>
      </c>
      <c r="M14" s="14">
        <v>73.23</v>
      </c>
    </row>
    <row r="15" spans="1:13">
      <c r="A15" s="5">
        <v>20210915</v>
      </c>
      <c r="B15" s="6">
        <v>72.61</v>
      </c>
      <c r="C15" s="6">
        <v>75.46</v>
      </c>
      <c r="D15" s="6">
        <v>72.36</v>
      </c>
      <c r="E15" s="6">
        <v>463.3</v>
      </c>
      <c r="F15" s="6">
        <v>72.24</v>
      </c>
      <c r="G15" s="6">
        <v>72.29</v>
      </c>
      <c r="H15" s="6">
        <v>75.17</v>
      </c>
      <c r="I15" s="6">
        <v>70.345</v>
      </c>
      <c r="J15" s="6">
        <v>73.95</v>
      </c>
      <c r="K15" s="6">
        <v>76.6</v>
      </c>
      <c r="L15" s="6">
        <v>67.535</v>
      </c>
      <c r="M15" s="14">
        <v>73.35</v>
      </c>
    </row>
    <row r="16" spans="1:13">
      <c r="A16" s="5">
        <v>20210916</v>
      </c>
      <c r="B16" s="6">
        <v>72.61</v>
      </c>
      <c r="C16" s="6">
        <v>75.67</v>
      </c>
      <c r="D16" s="6">
        <v>73.32</v>
      </c>
      <c r="E16" s="6">
        <v>478.4</v>
      </c>
      <c r="F16" s="6">
        <v>73.07</v>
      </c>
      <c r="G16" s="6">
        <v>73.2</v>
      </c>
      <c r="H16" s="6">
        <v>74.055</v>
      </c>
      <c r="I16" s="6">
        <v>71.75</v>
      </c>
      <c r="J16" s="6">
        <v>75.1</v>
      </c>
      <c r="K16" s="6">
        <v>77.7</v>
      </c>
      <c r="L16" s="6">
        <v>68.845</v>
      </c>
      <c r="M16" s="14">
        <v>75.15</v>
      </c>
    </row>
    <row r="17" spans="1:13">
      <c r="A17" s="5">
        <v>20210917</v>
      </c>
      <c r="B17" s="6">
        <v>71.97</v>
      </c>
      <c r="C17" s="6">
        <v>75.34</v>
      </c>
      <c r="D17" s="6">
        <v>73.43</v>
      </c>
      <c r="E17" s="6">
        <v>472.6</v>
      </c>
      <c r="F17" s="6">
        <v>73.05</v>
      </c>
      <c r="G17" s="6">
        <v>73.44</v>
      </c>
      <c r="H17" s="6">
        <v>74.245</v>
      </c>
      <c r="I17" s="6">
        <v>72.085</v>
      </c>
      <c r="J17" s="6">
        <v>75.18</v>
      </c>
      <c r="K17" s="6">
        <v>77.73</v>
      </c>
      <c r="L17" s="6">
        <v>69.175</v>
      </c>
      <c r="M17" s="14">
        <v>75.71</v>
      </c>
    </row>
    <row r="18" spans="1:13">
      <c r="A18" s="5">
        <v>20210920</v>
      </c>
      <c r="B18" s="6">
        <v>70.29</v>
      </c>
      <c r="C18" s="6">
        <v>73.92</v>
      </c>
      <c r="D18" s="6">
        <v>72.54</v>
      </c>
      <c r="E18" s="6"/>
      <c r="F18" s="6">
        <v>72.1</v>
      </c>
      <c r="G18" s="6">
        <v>72.4</v>
      </c>
      <c r="H18" s="6">
        <v>74.105</v>
      </c>
      <c r="I18" s="6">
        <v>71.28</v>
      </c>
      <c r="J18" s="6">
        <v>74.18</v>
      </c>
      <c r="K18" s="6">
        <v>76.73</v>
      </c>
      <c r="L18" s="6">
        <v>68.425</v>
      </c>
      <c r="M18" s="14">
        <v>75.07</v>
      </c>
    </row>
    <row r="19" spans="1:13">
      <c r="A19" s="5">
        <v>20210921</v>
      </c>
      <c r="B19" s="6">
        <v>70.56</v>
      </c>
      <c r="C19" s="6">
        <v>74.36</v>
      </c>
      <c r="D19" s="6">
        <v>72.99</v>
      </c>
      <c r="E19" s="6"/>
      <c r="F19" s="6">
        <v>72.86</v>
      </c>
      <c r="G19" s="6">
        <v>72.95</v>
      </c>
      <c r="H19" s="6">
        <v>73.185</v>
      </c>
      <c r="I19" s="6">
        <v>71.865</v>
      </c>
      <c r="J19" s="6">
        <v>74.85</v>
      </c>
      <c r="K19" s="6">
        <v>77.35</v>
      </c>
      <c r="L19" s="6">
        <v>68.965</v>
      </c>
      <c r="M19" s="14">
        <v>75.61</v>
      </c>
    </row>
    <row r="20" spans="1:13">
      <c r="A20" s="5">
        <v>20210922</v>
      </c>
      <c r="B20" s="6">
        <v>72.23</v>
      </c>
      <c r="C20" s="6">
        <v>76.19</v>
      </c>
      <c r="D20" s="6">
        <v>73.47</v>
      </c>
      <c r="E20" s="6">
        <v>471.6</v>
      </c>
      <c r="F20" s="6">
        <v>73.26</v>
      </c>
      <c r="G20" s="6">
        <v>73.35</v>
      </c>
      <c r="H20" s="6">
        <v>75.02</v>
      </c>
      <c r="I20" s="6">
        <v>72.295</v>
      </c>
      <c r="J20" s="6">
        <v>75.39</v>
      </c>
      <c r="K20" s="6">
        <v>77.79</v>
      </c>
      <c r="L20" s="6">
        <v>69.375</v>
      </c>
      <c r="M20" s="14">
        <v>76.03</v>
      </c>
    </row>
    <row r="21" spans="1:13">
      <c r="A21" s="5">
        <v>20210923</v>
      </c>
      <c r="B21" s="6">
        <v>73.3</v>
      </c>
      <c r="C21" s="6">
        <v>77.25</v>
      </c>
      <c r="D21" s="6">
        <v>74.22</v>
      </c>
      <c r="E21" s="6">
        <v>477</v>
      </c>
      <c r="F21" s="6">
        <v>74.09</v>
      </c>
      <c r="G21" s="6">
        <v>74.14</v>
      </c>
      <c r="H21" s="6">
        <v>76.64</v>
      </c>
      <c r="I21" s="6">
        <v>73.22</v>
      </c>
      <c r="J21" s="6">
        <v>76.58</v>
      </c>
      <c r="K21" s="6">
        <v>78.88</v>
      </c>
      <c r="L21" s="6">
        <v>70.17</v>
      </c>
      <c r="M21" s="14">
        <v>76.92</v>
      </c>
    </row>
    <row r="22" spans="1:13">
      <c r="A22" s="5">
        <v>20210924</v>
      </c>
      <c r="B22" s="6">
        <v>73.98</v>
      </c>
      <c r="C22" s="6">
        <v>78.09</v>
      </c>
      <c r="D22" s="6">
        <v>74.89</v>
      </c>
      <c r="E22" s="6">
        <v>484.8</v>
      </c>
      <c r="F22" s="6">
        <v>74.76</v>
      </c>
      <c r="G22" s="6">
        <v>74.84</v>
      </c>
      <c r="H22" s="6">
        <v>77.335</v>
      </c>
      <c r="I22" s="6">
        <v>74.015</v>
      </c>
      <c r="J22" s="6">
        <v>77.74</v>
      </c>
      <c r="K22" s="6">
        <v>79.94</v>
      </c>
      <c r="L22" s="6">
        <v>70.915</v>
      </c>
      <c r="M22" s="14">
        <v>77.75</v>
      </c>
    </row>
    <row r="23" spans="1:13">
      <c r="A23" s="5">
        <v>20210927</v>
      </c>
      <c r="B23" s="6">
        <v>75.45</v>
      </c>
      <c r="C23" s="6">
        <v>79.53</v>
      </c>
      <c r="D23" s="6">
        <v>76.16</v>
      </c>
      <c r="E23" s="6">
        <v>492.2</v>
      </c>
      <c r="F23" s="6">
        <v>76.15</v>
      </c>
      <c r="G23" s="6">
        <v>76.19</v>
      </c>
      <c r="H23" s="6">
        <v>79.115</v>
      </c>
      <c r="I23" s="6">
        <v>75.495</v>
      </c>
      <c r="J23" s="6">
        <v>79.52</v>
      </c>
      <c r="K23" s="6">
        <v>82.22</v>
      </c>
      <c r="L23" s="6">
        <v>72.275</v>
      </c>
      <c r="M23" s="14">
        <v>79.18</v>
      </c>
    </row>
    <row r="24" spans="1:13">
      <c r="A24" s="5">
        <v>20210928</v>
      </c>
      <c r="B24" s="6">
        <v>75.29</v>
      </c>
      <c r="C24" s="6">
        <v>79.09</v>
      </c>
      <c r="D24" s="6">
        <v>77.37</v>
      </c>
      <c r="E24" s="6">
        <v>501.9</v>
      </c>
      <c r="F24" s="6">
        <v>77.3</v>
      </c>
      <c r="G24" s="6">
        <v>77.41</v>
      </c>
      <c r="H24" s="6">
        <v>78.545</v>
      </c>
      <c r="I24" s="6">
        <v>76.565</v>
      </c>
      <c r="J24" s="6">
        <v>80.95</v>
      </c>
      <c r="K24" s="6">
        <v>83.3</v>
      </c>
      <c r="L24" s="6">
        <v>73.385</v>
      </c>
      <c r="M24" s="14">
        <v>80.35</v>
      </c>
    </row>
    <row r="25" spans="1:13">
      <c r="A25" s="5">
        <v>20210929</v>
      </c>
      <c r="B25" s="6">
        <v>74.83</v>
      </c>
      <c r="C25" s="6">
        <v>78.64</v>
      </c>
      <c r="D25" s="6">
        <v>75.75</v>
      </c>
      <c r="E25" s="6">
        <v>496.5</v>
      </c>
      <c r="F25" s="6">
        <v>75.66</v>
      </c>
      <c r="G25" s="6">
        <v>75.77</v>
      </c>
      <c r="H25" s="6">
        <v>78.415</v>
      </c>
      <c r="I25" s="6">
        <v>75.025</v>
      </c>
      <c r="J25" s="6">
        <v>79.45</v>
      </c>
      <c r="K25" s="6">
        <v>81.6</v>
      </c>
      <c r="L25" s="6">
        <v>71.93</v>
      </c>
      <c r="M25" s="14">
        <v>78.65</v>
      </c>
    </row>
    <row r="26" spans="1:13">
      <c r="A26" s="5">
        <v>20210930</v>
      </c>
      <c r="B26" s="6">
        <v>75.03</v>
      </c>
      <c r="C26" s="6">
        <v>78.52</v>
      </c>
      <c r="D26" s="6">
        <v>76.43</v>
      </c>
      <c r="E26" s="6">
        <v>495.7</v>
      </c>
      <c r="F26" s="6">
        <v>75.95</v>
      </c>
      <c r="G26" s="6">
        <v>76.1</v>
      </c>
      <c r="H26" s="6">
        <v>78.815</v>
      </c>
      <c r="I26" s="6">
        <v>75.595</v>
      </c>
      <c r="J26" s="6">
        <v>80.45</v>
      </c>
      <c r="K26" s="6">
        <v>82.35</v>
      </c>
      <c r="L26" s="6">
        <v>72.485</v>
      </c>
      <c r="M26" s="14">
        <v>79.2</v>
      </c>
    </row>
    <row r="27" spans="1:13">
      <c r="A27" s="7" t="s">
        <v>17</v>
      </c>
      <c r="B27" s="8">
        <f>AVERAGE(B23:B26)</f>
        <v>75.15</v>
      </c>
      <c r="C27" s="8">
        <f t="shared" ref="C27:M27" si="0">AVERAGE(C23:C26)</f>
        <v>78.945</v>
      </c>
      <c r="D27" s="8">
        <f t="shared" si="0"/>
        <v>76.4275</v>
      </c>
      <c r="E27" s="8">
        <f t="shared" si="0"/>
        <v>496.575</v>
      </c>
      <c r="F27" s="8">
        <f t="shared" si="0"/>
        <v>76.265</v>
      </c>
      <c r="G27" s="8">
        <f t="shared" si="0"/>
        <v>76.3675</v>
      </c>
      <c r="H27" s="8">
        <f t="shared" si="0"/>
        <v>78.7225</v>
      </c>
      <c r="I27" s="8">
        <f t="shared" si="0"/>
        <v>75.67</v>
      </c>
      <c r="J27" s="8">
        <f t="shared" si="0"/>
        <v>80.0925</v>
      </c>
      <c r="K27" s="8">
        <f t="shared" si="0"/>
        <v>82.3675</v>
      </c>
      <c r="L27" s="8">
        <f t="shared" si="0"/>
        <v>72.51875</v>
      </c>
      <c r="M27" s="15">
        <f t="shared" si="0"/>
        <v>79.345</v>
      </c>
    </row>
    <row r="28" ht="22.5" spans="1:13">
      <c r="A28" s="3" t="s">
        <v>29</v>
      </c>
      <c r="B28" s="9">
        <f>AVERAGE(B5:B26)</f>
        <v>71.5447619047619</v>
      </c>
      <c r="C28" s="9">
        <f t="shared" ref="C28:M28" si="1">AVERAGE(C5:C26)</f>
        <v>74.8763636363636</v>
      </c>
      <c r="D28" s="9">
        <f t="shared" si="1"/>
        <v>72.7786363636364</v>
      </c>
      <c r="E28" s="9">
        <f t="shared" si="1"/>
        <v>467.185</v>
      </c>
      <c r="F28" s="9">
        <f t="shared" si="1"/>
        <v>72.6079545454545</v>
      </c>
      <c r="G28" s="9">
        <f t="shared" si="1"/>
        <v>72.7218181818182</v>
      </c>
      <c r="H28" s="9">
        <f t="shared" si="1"/>
        <v>74.5756818181818</v>
      </c>
      <c r="I28" s="9">
        <f t="shared" si="1"/>
        <v>71.1563636363637</v>
      </c>
      <c r="J28" s="9">
        <f t="shared" si="1"/>
        <v>75.0004545454546</v>
      </c>
      <c r="K28" s="9">
        <f t="shared" si="1"/>
        <v>77.4459090909091</v>
      </c>
      <c r="L28" s="9">
        <f t="shared" si="1"/>
        <v>68.1295454545455</v>
      </c>
      <c r="M28" s="16">
        <f t="shared" si="1"/>
        <v>74.3672727272727</v>
      </c>
    </row>
    <row r="29" ht="23.25" spans="1:13">
      <c r="A29" s="10" t="s">
        <v>19</v>
      </c>
      <c r="B29" s="11">
        <f t="shared" ref="B29:M29" si="2">(B28-B2)/B2</f>
        <v>0.0566138098914255</v>
      </c>
      <c r="C29" s="11">
        <f t="shared" si="2"/>
        <v>0.0618706890994649</v>
      </c>
      <c r="D29" s="11">
        <f t="shared" si="2"/>
        <v>0.048985822479625</v>
      </c>
      <c r="E29" s="11">
        <f t="shared" si="2"/>
        <v>0.0936793045106782</v>
      </c>
      <c r="F29" s="11">
        <f t="shared" si="2"/>
        <v>0.0449442979845225</v>
      </c>
      <c r="G29" s="11">
        <f t="shared" si="2"/>
        <v>0.0449109022238365</v>
      </c>
      <c r="H29" s="11">
        <f t="shared" si="2"/>
        <v>0.0531659201104336</v>
      </c>
      <c r="I29" s="11">
        <f t="shared" si="2"/>
        <v>0.0750357999285148</v>
      </c>
      <c r="J29" s="11">
        <f t="shared" si="2"/>
        <v>0.0639943425936619</v>
      </c>
      <c r="K29" s="11">
        <f t="shared" si="2"/>
        <v>0.0633792268420853</v>
      </c>
      <c r="L29" s="11">
        <f t="shared" si="2"/>
        <v>0.0861378051671504</v>
      </c>
      <c r="M29" s="17">
        <f t="shared" si="2"/>
        <v>0.07400641446443</v>
      </c>
    </row>
    <row r="30" ht="15"/>
  </sheetData>
  <pageMargins left="0.75" right="0.75" top="1" bottom="1" header="0.5" footer="0.5"/>
  <pageSetup paperSize="9" orientation="portrait"/>
  <headerFooter/>
  <legacy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9"/>
  <dimension ref="A1:M28"/>
  <sheetViews>
    <sheetView workbookViewId="0">
      <selection activeCell="A1" sqref="A1:M27"/>
    </sheetView>
  </sheetViews>
  <sheetFormatPr defaultColWidth="9" defaultRowHeight="14.25"/>
  <sheetData>
    <row r="1" ht="15" spans="1:1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2" t="s">
        <v>15</v>
      </c>
    </row>
    <row r="2" ht="22.5" spans="1:13">
      <c r="A2" s="3" t="s">
        <v>52</v>
      </c>
      <c r="B2" s="9">
        <v>72.4304761904762</v>
      </c>
      <c r="C2" s="9">
        <v>74.2936363636364</v>
      </c>
      <c r="D2" s="9">
        <v>72.7318181818182</v>
      </c>
      <c r="E2" s="9">
        <v>446.336363636364</v>
      </c>
      <c r="F2" s="9">
        <v>72.9028571428572</v>
      </c>
      <c r="G2" s="9">
        <v>73.0480952380952</v>
      </c>
      <c r="H2" s="9">
        <v>75.0295454545455</v>
      </c>
      <c r="I2" s="9">
        <v>71.1183333333333</v>
      </c>
      <c r="J2" s="9">
        <v>74.5404761904762</v>
      </c>
      <c r="K2" s="9">
        <v>77</v>
      </c>
      <c r="L2" s="9">
        <v>68.5338095238095</v>
      </c>
      <c r="M2" s="16">
        <v>73.4719047619048</v>
      </c>
    </row>
    <row r="3" spans="1:13">
      <c r="A3" s="5">
        <v>20210802</v>
      </c>
      <c r="B3" s="6">
        <v>71.26</v>
      </c>
      <c r="C3" s="6">
        <v>72.89</v>
      </c>
      <c r="D3" s="6">
        <v>73.22</v>
      </c>
      <c r="E3" s="6">
        <v>452.2</v>
      </c>
      <c r="F3" s="6">
        <v>73.245</v>
      </c>
      <c r="G3" s="6">
        <v>73.29</v>
      </c>
      <c r="H3" s="6">
        <v>73.95</v>
      </c>
      <c r="I3" s="6">
        <v>70.725</v>
      </c>
      <c r="J3" s="6">
        <v>75.18</v>
      </c>
      <c r="K3" s="6">
        <v>77.43</v>
      </c>
      <c r="L3" s="6">
        <v>67.52</v>
      </c>
      <c r="M3" s="14">
        <v>73.25</v>
      </c>
    </row>
    <row r="4" spans="1:13">
      <c r="A4" s="5">
        <v>20210803</v>
      </c>
      <c r="B4" s="6">
        <v>70.56</v>
      </c>
      <c r="C4" s="6">
        <v>72.41</v>
      </c>
      <c r="D4" s="6">
        <v>71.8</v>
      </c>
      <c r="E4" s="6">
        <v>441.8</v>
      </c>
      <c r="F4" s="6">
        <v>71.85</v>
      </c>
      <c r="G4" s="6">
        <v>71.9</v>
      </c>
      <c r="H4" s="6">
        <v>73.395</v>
      </c>
      <c r="I4" s="6">
        <v>69.145</v>
      </c>
      <c r="J4" s="6">
        <v>73.87</v>
      </c>
      <c r="K4" s="6">
        <v>76.12</v>
      </c>
      <c r="L4" s="6">
        <v>65.765</v>
      </c>
      <c r="M4" s="14">
        <v>71.84</v>
      </c>
    </row>
    <row r="5" spans="1:13">
      <c r="A5" s="5">
        <v>20210804</v>
      </c>
      <c r="B5" s="6">
        <v>68.15</v>
      </c>
      <c r="C5" s="6">
        <v>70.38</v>
      </c>
      <c r="D5" s="6">
        <v>71.42</v>
      </c>
      <c r="E5" s="6">
        <v>432</v>
      </c>
      <c r="F5" s="6">
        <v>71.39</v>
      </c>
      <c r="G5" s="6">
        <v>71.44</v>
      </c>
      <c r="H5" s="6">
        <v>71.92</v>
      </c>
      <c r="I5" s="6">
        <v>68.4</v>
      </c>
      <c r="J5" s="6">
        <v>73.17</v>
      </c>
      <c r="K5" s="6">
        <v>75.52</v>
      </c>
      <c r="L5" s="6">
        <v>64.88</v>
      </c>
      <c r="M5" s="14">
        <v>71.32</v>
      </c>
    </row>
    <row r="6" spans="1:13">
      <c r="A6" s="5">
        <v>20210805</v>
      </c>
      <c r="B6" s="6">
        <v>69.09</v>
      </c>
      <c r="C6" s="6">
        <v>71.29</v>
      </c>
      <c r="D6" s="6">
        <v>69.08</v>
      </c>
      <c r="E6" s="6">
        <v>428.6</v>
      </c>
      <c r="F6" s="6">
        <v>68.81</v>
      </c>
      <c r="G6" s="6">
        <v>68.95</v>
      </c>
      <c r="H6" s="6">
        <v>72.135</v>
      </c>
      <c r="I6" s="6">
        <v>65.88</v>
      </c>
      <c r="J6" s="6">
        <v>70.47</v>
      </c>
      <c r="K6" s="6">
        <v>72.87</v>
      </c>
      <c r="L6" s="6">
        <v>62.485</v>
      </c>
      <c r="M6" s="14">
        <v>68.83</v>
      </c>
    </row>
    <row r="7" spans="1:13">
      <c r="A7" s="5">
        <v>20210806</v>
      </c>
      <c r="B7" s="6">
        <v>68.28</v>
      </c>
      <c r="C7" s="6">
        <v>70.7</v>
      </c>
      <c r="D7" s="6">
        <v>70.8</v>
      </c>
      <c r="E7" s="6">
        <v>428.5</v>
      </c>
      <c r="F7" s="6">
        <v>70.75</v>
      </c>
      <c r="G7" s="6">
        <v>70.79</v>
      </c>
      <c r="H7" s="6">
        <v>71.265</v>
      </c>
      <c r="I7" s="6">
        <v>67.525</v>
      </c>
      <c r="J7" s="6">
        <v>72.22</v>
      </c>
      <c r="K7" s="6">
        <v>74.62</v>
      </c>
      <c r="L7" s="6">
        <v>64.04</v>
      </c>
      <c r="M7" s="14">
        <v>70.52</v>
      </c>
    </row>
    <row r="8" spans="1:13">
      <c r="A8" s="5">
        <v>20210809</v>
      </c>
      <c r="B8" s="6">
        <v>66.48</v>
      </c>
      <c r="C8" s="6">
        <v>69.04</v>
      </c>
      <c r="D8" s="6">
        <v>67.33</v>
      </c>
      <c r="E8" s="6">
        <v>426.4</v>
      </c>
      <c r="F8" s="6"/>
      <c r="G8" s="6"/>
      <c r="H8" s="6">
        <v>69.605</v>
      </c>
      <c r="I8" s="6"/>
      <c r="J8" s="6"/>
      <c r="K8" s="6"/>
      <c r="L8" s="6"/>
      <c r="M8" s="14"/>
    </row>
    <row r="9" spans="1:13">
      <c r="A9" s="5">
        <v>20210810</v>
      </c>
      <c r="B9" s="6">
        <v>68.29</v>
      </c>
      <c r="C9" s="6">
        <v>70.63</v>
      </c>
      <c r="D9" s="6">
        <v>68.87</v>
      </c>
      <c r="E9" s="6">
        <v>417.7</v>
      </c>
      <c r="F9" s="6">
        <v>68.89</v>
      </c>
      <c r="G9" s="6">
        <v>68.9</v>
      </c>
      <c r="H9" s="6">
        <v>71.69</v>
      </c>
      <c r="I9" s="6">
        <v>65.45</v>
      </c>
      <c r="J9" s="6">
        <v>69.86</v>
      </c>
      <c r="K9" s="6">
        <v>72.26</v>
      </c>
      <c r="L9" s="6">
        <v>61.87</v>
      </c>
      <c r="M9" s="14">
        <v>68.74</v>
      </c>
    </row>
    <row r="10" spans="1:13">
      <c r="A10" s="5">
        <v>20210811</v>
      </c>
      <c r="B10" s="6">
        <v>69.25</v>
      </c>
      <c r="C10" s="6">
        <v>71.44</v>
      </c>
      <c r="D10" s="6">
        <v>69.84</v>
      </c>
      <c r="E10" s="6">
        <v>429.8</v>
      </c>
      <c r="F10" s="6">
        <v>69.75</v>
      </c>
      <c r="G10" s="6">
        <v>69.89</v>
      </c>
      <c r="H10" s="6">
        <v>70.69</v>
      </c>
      <c r="I10" s="6">
        <v>66.43</v>
      </c>
      <c r="J10" s="6">
        <v>70.85</v>
      </c>
      <c r="K10" s="6">
        <v>73.25</v>
      </c>
      <c r="L10" s="6">
        <v>62.905</v>
      </c>
      <c r="M10" s="14">
        <v>69.68</v>
      </c>
    </row>
    <row r="11" spans="1:13">
      <c r="A11" s="5">
        <v>20210812</v>
      </c>
      <c r="B11" s="6">
        <v>69.09</v>
      </c>
      <c r="C11" s="6">
        <v>71.31</v>
      </c>
      <c r="D11" s="6">
        <v>70.58</v>
      </c>
      <c r="E11" s="6">
        <v>428.7</v>
      </c>
      <c r="F11" s="6">
        <v>70.5</v>
      </c>
      <c r="G11" s="6">
        <v>70.64</v>
      </c>
      <c r="H11" s="6">
        <v>71.62</v>
      </c>
      <c r="I11" s="6">
        <v>66.9</v>
      </c>
      <c r="J11" s="6">
        <v>71.29</v>
      </c>
      <c r="K11" s="6">
        <v>73.69</v>
      </c>
      <c r="L11" s="6">
        <v>63.405</v>
      </c>
      <c r="M11" s="14">
        <v>70.15</v>
      </c>
    </row>
    <row r="12" spans="1:13">
      <c r="A12" s="5">
        <v>20210813</v>
      </c>
      <c r="B12" s="6">
        <v>68.44</v>
      </c>
      <c r="C12" s="6">
        <v>70.59</v>
      </c>
      <c r="D12" s="6">
        <v>70.09</v>
      </c>
      <c r="E12" s="6">
        <v>431.4</v>
      </c>
      <c r="F12" s="6">
        <v>70.02</v>
      </c>
      <c r="G12" s="6">
        <v>70.16</v>
      </c>
      <c r="H12" s="6">
        <v>71.58</v>
      </c>
      <c r="I12" s="6">
        <v>66.385</v>
      </c>
      <c r="J12" s="6">
        <v>70.77</v>
      </c>
      <c r="K12" s="6">
        <v>73.17</v>
      </c>
      <c r="L12" s="6">
        <v>62.955</v>
      </c>
      <c r="M12" s="14">
        <v>69.54</v>
      </c>
    </row>
    <row r="13" spans="1:13">
      <c r="A13" s="5">
        <v>20210816</v>
      </c>
      <c r="B13" s="6">
        <v>67.29</v>
      </c>
      <c r="C13" s="6">
        <v>69.51</v>
      </c>
      <c r="D13" s="6">
        <v>68.94</v>
      </c>
      <c r="E13" s="6">
        <v>428.6</v>
      </c>
      <c r="F13" s="6">
        <v>68.89</v>
      </c>
      <c r="G13" s="6">
        <v>68.96</v>
      </c>
      <c r="H13" s="6">
        <v>70.15</v>
      </c>
      <c r="I13" s="6">
        <v>65.285</v>
      </c>
      <c r="J13" s="6">
        <v>69.52</v>
      </c>
      <c r="K13" s="6">
        <v>71.92</v>
      </c>
      <c r="L13" s="6">
        <v>61.89</v>
      </c>
      <c r="M13" s="14">
        <v>68.44</v>
      </c>
    </row>
    <row r="14" spans="1:13">
      <c r="A14" s="5">
        <v>20210817</v>
      </c>
      <c r="B14" s="6">
        <v>66.59</v>
      </c>
      <c r="C14" s="6">
        <v>69.03</v>
      </c>
      <c r="D14" s="6">
        <v>68.53</v>
      </c>
      <c r="E14" s="6">
        <v>422</v>
      </c>
      <c r="F14" s="6">
        <v>68.41</v>
      </c>
      <c r="G14" s="6">
        <v>68.48</v>
      </c>
      <c r="H14" s="6">
        <v>70.375</v>
      </c>
      <c r="I14" s="6">
        <v>64.84</v>
      </c>
      <c r="J14" s="6">
        <v>68.93</v>
      </c>
      <c r="K14" s="6">
        <v>71.38</v>
      </c>
      <c r="L14" s="6">
        <v>61.385</v>
      </c>
      <c r="M14" s="14">
        <v>67.98</v>
      </c>
    </row>
    <row r="15" spans="1:13">
      <c r="A15" s="5">
        <v>20210818</v>
      </c>
      <c r="B15" s="6">
        <v>65.46</v>
      </c>
      <c r="C15" s="6">
        <v>68.23</v>
      </c>
      <c r="D15" s="6">
        <v>68.7</v>
      </c>
      <c r="E15" s="6">
        <v>421.6</v>
      </c>
      <c r="F15" s="6">
        <v>68.54</v>
      </c>
      <c r="G15" s="6">
        <v>68.73</v>
      </c>
      <c r="H15" s="6">
        <v>69.75</v>
      </c>
      <c r="I15" s="6">
        <v>64.99</v>
      </c>
      <c r="J15" s="6">
        <v>69.12</v>
      </c>
      <c r="K15" s="6">
        <v>71.52</v>
      </c>
      <c r="L15" s="6">
        <v>61.535</v>
      </c>
      <c r="M15" s="14">
        <v>68.18</v>
      </c>
    </row>
    <row r="16" spans="1:13">
      <c r="A16" s="5">
        <v>20210819</v>
      </c>
      <c r="B16" s="6">
        <v>63.69</v>
      </c>
      <c r="C16" s="6">
        <v>66.45</v>
      </c>
      <c r="D16" s="6">
        <v>65.5</v>
      </c>
      <c r="E16" s="6">
        <v>414.3</v>
      </c>
      <c r="F16" s="6">
        <v>65.34</v>
      </c>
      <c r="G16" s="6">
        <v>65.57</v>
      </c>
      <c r="H16" s="6">
        <v>66.165</v>
      </c>
      <c r="I16" s="6">
        <v>61.9</v>
      </c>
      <c r="J16" s="6">
        <v>66.18</v>
      </c>
      <c r="K16" s="6">
        <v>68.58</v>
      </c>
      <c r="L16" s="6">
        <v>58.36</v>
      </c>
      <c r="M16" s="14">
        <v>65.02</v>
      </c>
    </row>
    <row r="17" spans="1:13">
      <c r="A17" s="5">
        <v>20210820</v>
      </c>
      <c r="B17" s="6">
        <v>62.32</v>
      </c>
      <c r="C17" s="6">
        <v>65.18</v>
      </c>
      <c r="D17" s="6">
        <v>65.7</v>
      </c>
      <c r="E17" s="6">
        <v>402.3</v>
      </c>
      <c r="F17" s="6">
        <v>65.35</v>
      </c>
      <c r="G17" s="6">
        <v>65.69</v>
      </c>
      <c r="H17" s="6">
        <v>66.44</v>
      </c>
      <c r="I17" s="6">
        <v>62.13</v>
      </c>
      <c r="J17" s="6">
        <v>66.18</v>
      </c>
      <c r="K17" s="6">
        <v>68.58</v>
      </c>
      <c r="L17" s="6">
        <v>58.605</v>
      </c>
      <c r="M17" s="14">
        <v>65.24</v>
      </c>
    </row>
    <row r="18" spans="1:13">
      <c r="A18" s="5">
        <v>20210823</v>
      </c>
      <c r="B18" s="6">
        <v>65.64</v>
      </c>
      <c r="C18" s="6">
        <v>68.75</v>
      </c>
      <c r="D18" s="6">
        <v>66.1</v>
      </c>
      <c r="E18" s="6">
        <v>401</v>
      </c>
      <c r="F18" s="6">
        <v>66.05</v>
      </c>
      <c r="G18" s="6">
        <v>66.25</v>
      </c>
      <c r="H18" s="6">
        <v>68.94</v>
      </c>
      <c r="I18" s="6">
        <v>62.735</v>
      </c>
      <c r="J18" s="6">
        <v>66.74</v>
      </c>
      <c r="K18" s="6">
        <v>69.09</v>
      </c>
      <c r="L18" s="6">
        <v>59.18</v>
      </c>
      <c r="M18" s="14">
        <v>65.8</v>
      </c>
    </row>
    <row r="19" spans="1:13">
      <c r="A19" s="5">
        <v>20210824</v>
      </c>
      <c r="B19" s="6">
        <v>67.54</v>
      </c>
      <c r="C19" s="6">
        <v>71.05</v>
      </c>
      <c r="D19" s="6">
        <v>68.8</v>
      </c>
      <c r="E19" s="6">
        <v>417.7</v>
      </c>
      <c r="F19" s="6">
        <v>68.65</v>
      </c>
      <c r="G19" s="6">
        <v>68.79</v>
      </c>
      <c r="H19" s="6">
        <v>70.89</v>
      </c>
      <c r="I19" s="6">
        <v>65.11</v>
      </c>
      <c r="J19" s="6">
        <v>69.33</v>
      </c>
      <c r="K19" s="6">
        <v>71.63</v>
      </c>
      <c r="L19" s="6">
        <v>61.5</v>
      </c>
      <c r="M19" s="14">
        <v>68.23</v>
      </c>
    </row>
    <row r="20" spans="1:13">
      <c r="A20" s="5">
        <v>20210825</v>
      </c>
      <c r="B20" s="6">
        <v>68.36</v>
      </c>
      <c r="C20" s="6">
        <v>72.25</v>
      </c>
      <c r="D20" s="6">
        <v>69.58</v>
      </c>
      <c r="E20" s="6">
        <v>429</v>
      </c>
      <c r="F20" s="6">
        <v>69.65</v>
      </c>
      <c r="G20" s="6">
        <v>69.79</v>
      </c>
      <c r="H20" s="6">
        <v>71.325</v>
      </c>
      <c r="I20" s="6">
        <v>66.25</v>
      </c>
      <c r="J20" s="6">
        <v>70.34</v>
      </c>
      <c r="K20" s="6">
        <v>72.64</v>
      </c>
      <c r="L20" s="6">
        <v>62.74</v>
      </c>
      <c r="M20" s="14">
        <v>69.4</v>
      </c>
    </row>
    <row r="21" spans="1:13">
      <c r="A21" s="5">
        <v>20210826</v>
      </c>
      <c r="B21" s="6">
        <v>67.42</v>
      </c>
      <c r="C21" s="6">
        <v>71.07</v>
      </c>
      <c r="D21" s="6">
        <v>69.95</v>
      </c>
      <c r="E21" s="6">
        <v>432.5</v>
      </c>
      <c r="F21" s="6">
        <v>70.09</v>
      </c>
      <c r="G21" s="6">
        <v>70.19</v>
      </c>
      <c r="H21" s="6">
        <v>70.935</v>
      </c>
      <c r="I21" s="6">
        <v>66.69</v>
      </c>
      <c r="J21" s="6">
        <v>70.86</v>
      </c>
      <c r="K21" s="6">
        <v>73.21</v>
      </c>
      <c r="L21" s="6">
        <v>63.23</v>
      </c>
      <c r="M21" s="14">
        <v>69.84</v>
      </c>
    </row>
    <row r="22" spans="1:13">
      <c r="A22" s="5">
        <v>20210827</v>
      </c>
      <c r="B22" s="6">
        <v>68.74</v>
      </c>
      <c r="C22" s="6">
        <v>72.7</v>
      </c>
      <c r="D22" s="6">
        <v>70.35</v>
      </c>
      <c r="E22" s="6">
        <v>433.1</v>
      </c>
      <c r="F22" s="6">
        <v>70.75</v>
      </c>
      <c r="G22" s="6">
        <v>70.8</v>
      </c>
      <c r="H22" s="6">
        <v>71.805</v>
      </c>
      <c r="I22" s="6">
        <v>67.515</v>
      </c>
      <c r="J22" s="6">
        <v>71.73</v>
      </c>
      <c r="K22" s="6">
        <v>73.88</v>
      </c>
      <c r="L22" s="6">
        <v>64.11</v>
      </c>
      <c r="M22" s="14">
        <v>70.51</v>
      </c>
    </row>
    <row r="23" spans="1:13">
      <c r="A23" s="5">
        <v>20210830</v>
      </c>
      <c r="B23" s="6">
        <v>69.21</v>
      </c>
      <c r="C23" s="6">
        <v>73.41</v>
      </c>
      <c r="D23" s="6">
        <v>71.21</v>
      </c>
      <c r="E23" s="6">
        <v>438.8</v>
      </c>
      <c r="F23" s="6">
        <v>71.11</v>
      </c>
      <c r="G23" s="6">
        <v>71.16</v>
      </c>
      <c r="H23" s="6"/>
      <c r="I23" s="6">
        <v>67.83</v>
      </c>
      <c r="J23" s="6">
        <v>71.85</v>
      </c>
      <c r="K23" s="6">
        <v>74</v>
      </c>
      <c r="L23" s="6">
        <v>64.395</v>
      </c>
      <c r="M23" s="14">
        <v>70.78</v>
      </c>
    </row>
    <row r="24" spans="1:13">
      <c r="A24" s="5">
        <v>20210831</v>
      </c>
      <c r="B24" s="6">
        <v>68.5</v>
      </c>
      <c r="C24" s="6">
        <v>72.99</v>
      </c>
      <c r="D24" s="6">
        <v>69.97</v>
      </c>
      <c r="E24" s="6">
        <v>439.7</v>
      </c>
      <c r="F24" s="6">
        <v>71.15</v>
      </c>
      <c r="G24" s="6">
        <v>71.15</v>
      </c>
      <c r="H24" s="6">
        <v>72.405</v>
      </c>
      <c r="I24" s="6">
        <v>67.87</v>
      </c>
      <c r="J24" s="6">
        <v>71.82</v>
      </c>
      <c r="K24" s="6">
        <v>74.07</v>
      </c>
      <c r="L24" s="6">
        <v>64.5</v>
      </c>
      <c r="M24" s="14">
        <v>70.81</v>
      </c>
    </row>
    <row r="25" spans="1:13">
      <c r="A25" s="7" t="s">
        <v>17</v>
      </c>
      <c r="B25" s="8">
        <f>AVERAGE(B23:B24)</f>
        <v>68.855</v>
      </c>
      <c r="C25" s="8">
        <f t="shared" ref="C25:M25" si="0">AVERAGE(C23:C24)</f>
        <v>73.2</v>
      </c>
      <c r="D25" s="8">
        <f t="shared" si="0"/>
        <v>70.59</v>
      </c>
      <c r="E25" s="8">
        <f t="shared" si="0"/>
        <v>439.25</v>
      </c>
      <c r="F25" s="8">
        <f t="shared" si="0"/>
        <v>71.13</v>
      </c>
      <c r="G25" s="8">
        <f t="shared" si="0"/>
        <v>71.155</v>
      </c>
      <c r="H25" s="8">
        <f t="shared" si="0"/>
        <v>72.405</v>
      </c>
      <c r="I25" s="8">
        <f t="shared" si="0"/>
        <v>67.85</v>
      </c>
      <c r="J25" s="8">
        <f t="shared" si="0"/>
        <v>71.835</v>
      </c>
      <c r="K25" s="8">
        <f t="shared" si="0"/>
        <v>74.035</v>
      </c>
      <c r="L25" s="8">
        <f t="shared" si="0"/>
        <v>64.4475</v>
      </c>
      <c r="M25" s="15">
        <f t="shared" si="0"/>
        <v>70.795</v>
      </c>
    </row>
    <row r="26" ht="22.5" spans="1:13">
      <c r="A26" s="3" t="s">
        <v>30</v>
      </c>
      <c r="B26" s="9">
        <f>AVERAGE(B3:B24)</f>
        <v>67.7113636363636</v>
      </c>
      <c r="C26" s="9">
        <f t="shared" ref="C26:M26" si="1">AVERAGE(C3:C24)</f>
        <v>70.5136363636364</v>
      </c>
      <c r="D26" s="9">
        <f t="shared" si="1"/>
        <v>69.38</v>
      </c>
      <c r="E26" s="9">
        <f t="shared" si="1"/>
        <v>427.168181818182</v>
      </c>
      <c r="F26" s="9">
        <f t="shared" si="1"/>
        <v>69.485</v>
      </c>
      <c r="G26" s="9">
        <f t="shared" si="1"/>
        <v>69.5961904761905</v>
      </c>
      <c r="H26" s="9">
        <f t="shared" si="1"/>
        <v>70.8109523809524</v>
      </c>
      <c r="I26" s="9">
        <f t="shared" si="1"/>
        <v>66.1897619047619</v>
      </c>
      <c r="J26" s="9">
        <f t="shared" si="1"/>
        <v>70.4895238095238</v>
      </c>
      <c r="K26" s="9">
        <f t="shared" si="1"/>
        <v>72.83</v>
      </c>
      <c r="L26" s="9">
        <f t="shared" si="1"/>
        <v>62.7264285714286</v>
      </c>
      <c r="M26" s="16">
        <f t="shared" si="1"/>
        <v>69.2428571428571</v>
      </c>
    </row>
    <row r="27" ht="23.25" spans="1:13">
      <c r="A27" s="10" t="s">
        <v>19</v>
      </c>
      <c r="B27" s="18">
        <f>(B26-B2)/B2</f>
        <v>-0.0651536867119626</v>
      </c>
      <c r="C27" s="18">
        <f t="shared" ref="C27:M27" si="2">(C26-C2)/C2</f>
        <v>-0.0508791894570682</v>
      </c>
      <c r="D27" s="18">
        <f t="shared" si="2"/>
        <v>-0.0460846197112681</v>
      </c>
      <c r="E27" s="18">
        <f t="shared" si="2"/>
        <v>-0.0429455974906816</v>
      </c>
      <c r="F27" s="18">
        <f t="shared" si="2"/>
        <v>-0.0468823483304595</v>
      </c>
      <c r="G27" s="18">
        <f t="shared" si="2"/>
        <v>-0.0472552330167339</v>
      </c>
      <c r="H27" s="18">
        <f t="shared" si="2"/>
        <v>-0.0562257581068352</v>
      </c>
      <c r="I27" s="18">
        <f t="shared" si="2"/>
        <v>-0.0693009973317439</v>
      </c>
      <c r="J27" s="18">
        <f t="shared" si="2"/>
        <v>-0.0543456734915514</v>
      </c>
      <c r="K27" s="18">
        <f t="shared" si="2"/>
        <v>-0.0541558441558442</v>
      </c>
      <c r="L27" s="18">
        <f t="shared" si="2"/>
        <v>-0.0847374601343792</v>
      </c>
      <c r="M27" s="19">
        <f t="shared" si="2"/>
        <v>-0.0575600650718451</v>
      </c>
    </row>
    <row r="28" ht="15"/>
  </sheetData>
  <pageMargins left="0.75" right="0.75" top="1" bottom="1" header="0.5" footer="0.5"/>
  <pageSetup paperSize="9" orientation="portrait"/>
  <headerFooter/>
  <legacy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0"/>
  <dimension ref="A1:M28"/>
  <sheetViews>
    <sheetView workbookViewId="0">
      <selection activeCell="B23" sqref="B23"/>
    </sheetView>
  </sheetViews>
  <sheetFormatPr defaultColWidth="9" defaultRowHeight="14.25"/>
  <sheetData>
    <row r="1" ht="15" spans="1:1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2" t="s">
        <v>15</v>
      </c>
    </row>
    <row r="2" ht="22.5" spans="1:13">
      <c r="A2" s="3" t="s">
        <v>33</v>
      </c>
      <c r="B2" s="9">
        <v>71.3527272727273</v>
      </c>
      <c r="C2" s="9">
        <v>73.4081818181818</v>
      </c>
      <c r="D2" s="9">
        <v>71.6604545454545</v>
      </c>
      <c r="E2" s="9">
        <v>453.02380952381</v>
      </c>
      <c r="F2" s="9">
        <v>71.5729545454545</v>
      </c>
      <c r="G2" s="9">
        <v>71.7090909090909</v>
      </c>
      <c r="H2" s="9">
        <v>73.0422727272727</v>
      </c>
      <c r="I2" s="9">
        <v>69.9456818181818</v>
      </c>
      <c r="J2" s="9">
        <v>72.8772727272727</v>
      </c>
      <c r="K2" s="9">
        <v>75.7068181818182</v>
      </c>
      <c r="L2" s="9">
        <v>66.8754545454545</v>
      </c>
      <c r="M2" s="16">
        <v>72.8381818181818</v>
      </c>
    </row>
    <row r="3" spans="1:13">
      <c r="A3" s="5">
        <v>20210701</v>
      </c>
      <c r="B3" s="6">
        <v>75.23</v>
      </c>
      <c r="C3" s="6">
        <v>75.84</v>
      </c>
      <c r="D3" s="6">
        <v>74.03</v>
      </c>
      <c r="E3" s="6">
        <v>460</v>
      </c>
      <c r="F3" s="6">
        <v>73.79</v>
      </c>
      <c r="G3" s="6">
        <v>74.09</v>
      </c>
      <c r="H3" s="6">
        <v>77.255</v>
      </c>
      <c r="I3" s="6">
        <v>72.515</v>
      </c>
      <c r="J3" s="6">
        <v>75.92</v>
      </c>
      <c r="K3" s="6">
        <v>78.67</v>
      </c>
      <c r="L3" s="6">
        <v>70.06</v>
      </c>
      <c r="M3" s="14">
        <v>74.84</v>
      </c>
    </row>
    <row r="4" spans="1:13">
      <c r="A4" s="5">
        <v>20210702</v>
      </c>
      <c r="B4" s="6">
        <v>75.16</v>
      </c>
      <c r="C4" s="6">
        <v>76.17</v>
      </c>
      <c r="D4" s="6">
        <v>74.39</v>
      </c>
      <c r="E4" s="6">
        <v>468.1</v>
      </c>
      <c r="F4" s="6">
        <v>74.05</v>
      </c>
      <c r="G4" s="6">
        <v>74.25</v>
      </c>
      <c r="H4" s="6">
        <v>77.615</v>
      </c>
      <c r="I4" s="6">
        <v>72.6</v>
      </c>
      <c r="J4" s="6">
        <v>76</v>
      </c>
      <c r="K4" s="6">
        <v>78.85</v>
      </c>
      <c r="L4" s="6">
        <v>70.05</v>
      </c>
      <c r="M4" s="14">
        <v>74.93</v>
      </c>
    </row>
    <row r="5" spans="1:13">
      <c r="A5" s="5">
        <v>20210705</v>
      </c>
      <c r="B5" s="8"/>
      <c r="C5" s="6">
        <v>77.16</v>
      </c>
      <c r="D5" s="6">
        <v>74.75</v>
      </c>
      <c r="E5" s="6">
        <v>468</v>
      </c>
      <c r="F5" s="6">
        <v>74.65</v>
      </c>
      <c r="G5" s="6">
        <v>74.8</v>
      </c>
      <c r="H5" s="6">
        <v>78.385</v>
      </c>
      <c r="I5" s="6">
        <v>73.215</v>
      </c>
      <c r="J5" s="6">
        <v>76.71</v>
      </c>
      <c r="K5" s="6">
        <v>79.56</v>
      </c>
      <c r="L5" s="6">
        <v>70.77</v>
      </c>
      <c r="M5" s="14">
        <v>75.53</v>
      </c>
    </row>
    <row r="6" spans="1:13">
      <c r="A6" s="5">
        <v>20210706</v>
      </c>
      <c r="B6" s="6">
        <v>73.37</v>
      </c>
      <c r="C6" s="6">
        <v>74.53</v>
      </c>
      <c r="D6" s="6">
        <v>76.09</v>
      </c>
      <c r="E6" s="6">
        <v>471.9</v>
      </c>
      <c r="F6" s="6">
        <v>75.85</v>
      </c>
      <c r="G6" s="6">
        <v>75.99</v>
      </c>
      <c r="H6" s="6">
        <v>76.115</v>
      </c>
      <c r="I6" s="6">
        <v>74.33</v>
      </c>
      <c r="J6" s="6">
        <v>78.03</v>
      </c>
      <c r="K6" s="6">
        <v>80.83</v>
      </c>
      <c r="L6" s="6">
        <v>71.805</v>
      </c>
      <c r="M6" s="14">
        <v>76.68</v>
      </c>
    </row>
    <row r="7" spans="1:13">
      <c r="A7" s="5">
        <v>20210707</v>
      </c>
      <c r="B7" s="6">
        <v>72.2</v>
      </c>
      <c r="C7" s="6">
        <v>73.43</v>
      </c>
      <c r="D7" s="6">
        <v>73.42</v>
      </c>
      <c r="E7" s="6">
        <v>458.1</v>
      </c>
      <c r="F7" s="6">
        <v>73.25</v>
      </c>
      <c r="G7" s="6">
        <v>73.39</v>
      </c>
      <c r="H7" s="6">
        <v>74.195</v>
      </c>
      <c r="I7" s="6">
        <v>71.745</v>
      </c>
      <c r="J7" s="6">
        <v>75.43</v>
      </c>
      <c r="K7" s="6">
        <v>78.23</v>
      </c>
      <c r="L7" s="6">
        <v>69.22</v>
      </c>
      <c r="M7" s="14">
        <v>74.08</v>
      </c>
    </row>
    <row r="8" spans="1:13">
      <c r="A8" s="5">
        <v>20210708</v>
      </c>
      <c r="B8" s="6">
        <v>72.94</v>
      </c>
      <c r="C8" s="6">
        <v>74.12</v>
      </c>
      <c r="D8" s="6">
        <v>70.7</v>
      </c>
      <c r="E8" s="6">
        <v>443.5</v>
      </c>
      <c r="F8" s="6">
        <v>70.59</v>
      </c>
      <c r="G8" s="6">
        <v>70.64</v>
      </c>
      <c r="H8" s="6">
        <v>74.885</v>
      </c>
      <c r="I8" s="6">
        <v>69.195</v>
      </c>
      <c r="J8" s="6">
        <v>72.83</v>
      </c>
      <c r="K8" s="6">
        <v>75.63</v>
      </c>
      <c r="L8" s="6">
        <v>66.59</v>
      </c>
      <c r="M8" s="14">
        <v>71.51</v>
      </c>
    </row>
    <row r="9" spans="1:13">
      <c r="A9" s="5">
        <v>20210709</v>
      </c>
      <c r="B9" s="6">
        <v>74.56</v>
      </c>
      <c r="C9" s="6">
        <v>75.55</v>
      </c>
      <c r="D9" s="6">
        <v>73.09</v>
      </c>
      <c r="E9" s="6">
        <v>441.2</v>
      </c>
      <c r="F9" s="6">
        <v>73</v>
      </c>
      <c r="G9" s="6">
        <v>73.04</v>
      </c>
      <c r="H9" s="6">
        <v>77.01</v>
      </c>
      <c r="I9" s="6">
        <v>71.295</v>
      </c>
      <c r="J9" s="6">
        <v>74.14</v>
      </c>
      <c r="K9" s="6">
        <v>76.84</v>
      </c>
      <c r="L9" s="6">
        <v>68.825</v>
      </c>
      <c r="M9" s="14">
        <v>73.81</v>
      </c>
    </row>
    <row r="10" spans="1:13">
      <c r="A10" s="5">
        <v>20210712</v>
      </c>
      <c r="B10" s="6">
        <v>74.1</v>
      </c>
      <c r="C10" s="6">
        <v>75.16</v>
      </c>
      <c r="D10" s="6">
        <v>73.61</v>
      </c>
      <c r="E10" s="6">
        <v>450.6</v>
      </c>
      <c r="F10" s="6">
        <v>73.5</v>
      </c>
      <c r="G10" s="6">
        <v>73.59</v>
      </c>
      <c r="H10" s="6">
        <v>76.27</v>
      </c>
      <c r="I10" s="6">
        <v>71.93</v>
      </c>
      <c r="J10" s="6">
        <v>74.83</v>
      </c>
      <c r="K10" s="6">
        <v>77.48</v>
      </c>
      <c r="L10" s="6">
        <v>69.39</v>
      </c>
      <c r="M10" s="14">
        <v>74.39</v>
      </c>
    </row>
    <row r="11" spans="1:13">
      <c r="A11" s="5">
        <v>20210713</v>
      </c>
      <c r="B11" s="6">
        <v>75.25</v>
      </c>
      <c r="C11" s="6">
        <v>76.49</v>
      </c>
      <c r="D11" s="6">
        <v>74.5</v>
      </c>
      <c r="E11" s="6">
        <v>450.5</v>
      </c>
      <c r="F11" s="6">
        <v>74.34</v>
      </c>
      <c r="G11" s="6">
        <v>74.44</v>
      </c>
      <c r="H11" s="6">
        <v>76.78</v>
      </c>
      <c r="I11" s="6">
        <v>72.695</v>
      </c>
      <c r="J11" s="6">
        <v>75.56</v>
      </c>
      <c r="K11" s="6">
        <v>78.26</v>
      </c>
      <c r="L11" s="6">
        <v>70.12</v>
      </c>
      <c r="M11" s="14">
        <v>75.11</v>
      </c>
    </row>
    <row r="12" spans="1:13">
      <c r="A12" s="5">
        <v>20210714</v>
      </c>
      <c r="B12" s="6">
        <v>73.13</v>
      </c>
      <c r="C12" s="6">
        <v>74.76</v>
      </c>
      <c r="D12" s="6">
        <v>74.86</v>
      </c>
      <c r="E12" s="6">
        <v>457.1</v>
      </c>
      <c r="F12" s="6">
        <v>74.69</v>
      </c>
      <c r="G12" s="6">
        <v>74.74</v>
      </c>
      <c r="H12" s="6">
        <v>76.97</v>
      </c>
      <c r="I12" s="6">
        <v>73.045</v>
      </c>
      <c r="J12" s="6">
        <v>75.91</v>
      </c>
      <c r="K12" s="6">
        <v>78.61</v>
      </c>
      <c r="L12" s="6">
        <v>70.565</v>
      </c>
      <c r="M12" s="14">
        <v>75.42</v>
      </c>
    </row>
    <row r="13" spans="1:13">
      <c r="A13" s="5">
        <v>20210715</v>
      </c>
      <c r="B13" s="6">
        <v>71.65</v>
      </c>
      <c r="C13" s="6">
        <v>73.47</v>
      </c>
      <c r="D13" s="6">
        <v>72.29</v>
      </c>
      <c r="E13" s="6">
        <v>449.7</v>
      </c>
      <c r="F13" s="6">
        <v>72.2</v>
      </c>
      <c r="G13" s="6">
        <v>72.29</v>
      </c>
      <c r="H13" s="6">
        <v>75.415</v>
      </c>
      <c r="I13" s="6">
        <v>70.595</v>
      </c>
      <c r="J13" s="6">
        <v>73.54</v>
      </c>
      <c r="K13" s="6">
        <v>76.29</v>
      </c>
      <c r="L13" s="6">
        <v>68.155</v>
      </c>
      <c r="M13" s="14">
        <v>73.05</v>
      </c>
    </row>
    <row r="14" spans="1:13">
      <c r="A14" s="5">
        <v>20210716</v>
      </c>
      <c r="B14" s="6">
        <v>71.81</v>
      </c>
      <c r="C14" s="6">
        <v>73.59</v>
      </c>
      <c r="D14" s="6">
        <v>72.29</v>
      </c>
      <c r="E14" s="6">
        <v>438.5</v>
      </c>
      <c r="F14" s="6">
        <v>72.2</v>
      </c>
      <c r="G14" s="6">
        <v>72.24</v>
      </c>
      <c r="H14" s="6">
        <v>74.515</v>
      </c>
      <c r="I14" s="6">
        <v>70.725</v>
      </c>
      <c r="J14" s="6">
        <v>73.79</v>
      </c>
      <c r="K14" s="6">
        <v>76.34</v>
      </c>
      <c r="L14" s="6">
        <v>68.305</v>
      </c>
      <c r="M14" s="14">
        <v>73.08</v>
      </c>
    </row>
    <row r="15" spans="1:13">
      <c r="A15" s="5">
        <v>20210719</v>
      </c>
      <c r="B15" s="6">
        <v>66.42</v>
      </c>
      <c r="C15" s="6">
        <v>68.62</v>
      </c>
      <c r="D15" s="6">
        <v>70.45</v>
      </c>
      <c r="E15" s="6">
        <v>432.1</v>
      </c>
      <c r="F15" s="6">
        <v>71.64</v>
      </c>
      <c r="G15" s="6">
        <v>71.69</v>
      </c>
      <c r="H15" s="6">
        <v>69.75</v>
      </c>
      <c r="I15" s="6">
        <v>70.105</v>
      </c>
      <c r="J15" s="6">
        <v>73.34</v>
      </c>
      <c r="K15" s="6">
        <v>75.89</v>
      </c>
      <c r="L15" s="6">
        <v>67.69</v>
      </c>
      <c r="M15" s="14">
        <v>72.35</v>
      </c>
    </row>
    <row r="16" spans="1:13">
      <c r="A16" s="5">
        <v>20210720</v>
      </c>
      <c r="B16" s="6">
        <v>67.42</v>
      </c>
      <c r="C16" s="6">
        <v>69.35</v>
      </c>
      <c r="D16" s="6">
        <v>67.44</v>
      </c>
      <c r="E16" s="6">
        <v>417.2</v>
      </c>
      <c r="F16" s="6"/>
      <c r="G16" s="6"/>
      <c r="H16" s="6">
        <v>69.62</v>
      </c>
      <c r="I16" s="6"/>
      <c r="J16" s="6"/>
      <c r="K16" s="6"/>
      <c r="L16" s="6"/>
      <c r="M16" s="14"/>
    </row>
    <row r="17" spans="1:13">
      <c r="A17" s="5">
        <v>20210721</v>
      </c>
      <c r="B17" s="6">
        <v>70.3</v>
      </c>
      <c r="C17" s="6">
        <v>72.23</v>
      </c>
      <c r="D17" s="6">
        <v>68.75</v>
      </c>
      <c r="E17" s="6">
        <v>413.3</v>
      </c>
      <c r="F17" s="6">
        <v>68.64</v>
      </c>
      <c r="G17" s="6">
        <v>68.74</v>
      </c>
      <c r="H17" s="6">
        <v>72.265</v>
      </c>
      <c r="I17" s="6">
        <v>67.07</v>
      </c>
      <c r="J17" s="6">
        <v>70.24</v>
      </c>
      <c r="K17" s="6">
        <v>72.79</v>
      </c>
      <c r="L17" s="6">
        <v>64.61</v>
      </c>
      <c r="M17" s="14">
        <v>69.2</v>
      </c>
    </row>
    <row r="18" spans="1:13">
      <c r="A18" s="5">
        <v>20210722</v>
      </c>
      <c r="B18" s="6">
        <v>71.91</v>
      </c>
      <c r="C18" s="6">
        <v>73.79</v>
      </c>
      <c r="D18" s="6">
        <v>71.56</v>
      </c>
      <c r="E18" s="6">
        <v>424</v>
      </c>
      <c r="F18" s="6">
        <v>71.4</v>
      </c>
      <c r="G18" s="6">
        <v>71.5</v>
      </c>
      <c r="H18" s="6">
        <v>73.2</v>
      </c>
      <c r="I18" s="6">
        <v>69.235</v>
      </c>
      <c r="J18" s="6">
        <v>72.71</v>
      </c>
      <c r="K18" s="6">
        <v>75.16</v>
      </c>
      <c r="L18" s="6">
        <v>66.615</v>
      </c>
      <c r="M18" s="14">
        <v>71.44</v>
      </c>
    </row>
    <row r="19" spans="1:13">
      <c r="A19" s="5">
        <v>20210723</v>
      </c>
      <c r="B19" s="6">
        <v>72.07</v>
      </c>
      <c r="C19" s="6">
        <v>74.1</v>
      </c>
      <c r="D19" s="6">
        <v>72.71</v>
      </c>
      <c r="E19" s="6">
        <v>434.7</v>
      </c>
      <c r="F19" s="6">
        <v>72.24</v>
      </c>
      <c r="G19" s="6">
        <v>72.64</v>
      </c>
      <c r="H19" s="6">
        <v>74.195</v>
      </c>
      <c r="I19" s="6">
        <v>70.115</v>
      </c>
      <c r="J19" s="6">
        <v>73.62</v>
      </c>
      <c r="K19" s="6">
        <v>75.87</v>
      </c>
      <c r="L19" s="6">
        <v>67.455</v>
      </c>
      <c r="M19" s="14">
        <v>72.41</v>
      </c>
    </row>
    <row r="20" spans="1:13">
      <c r="A20" s="5">
        <v>20210726</v>
      </c>
      <c r="B20" s="6">
        <v>71.91</v>
      </c>
      <c r="C20" s="6">
        <v>74.5</v>
      </c>
      <c r="D20" s="6">
        <v>71.99</v>
      </c>
      <c r="E20" s="6">
        <v>439.9</v>
      </c>
      <c r="F20" s="6">
        <v>71.55</v>
      </c>
      <c r="G20" s="6">
        <v>71.89</v>
      </c>
      <c r="H20" s="6">
        <v>74.66</v>
      </c>
      <c r="I20" s="6">
        <v>69.455</v>
      </c>
      <c r="J20" s="6">
        <v>73.05</v>
      </c>
      <c r="K20" s="6">
        <v>75.05</v>
      </c>
      <c r="L20" s="6">
        <v>66.925</v>
      </c>
      <c r="M20" s="14">
        <v>71.67</v>
      </c>
    </row>
    <row r="21" spans="1:13">
      <c r="A21" s="5">
        <v>20210727</v>
      </c>
      <c r="B21" s="6">
        <v>71.65</v>
      </c>
      <c r="C21" s="6">
        <v>74.48</v>
      </c>
      <c r="D21" s="6">
        <v>73.01</v>
      </c>
      <c r="E21" s="6">
        <v>447</v>
      </c>
      <c r="F21" s="6">
        <v>72.99</v>
      </c>
      <c r="G21" s="6">
        <v>73.04</v>
      </c>
      <c r="H21" s="6">
        <v>74.79</v>
      </c>
      <c r="I21" s="6">
        <v>70.665</v>
      </c>
      <c r="J21" s="6">
        <v>74.46</v>
      </c>
      <c r="K21" s="6">
        <v>76.31</v>
      </c>
      <c r="L21" s="6">
        <v>67.88</v>
      </c>
      <c r="M21" s="14">
        <v>73.12</v>
      </c>
    </row>
    <row r="22" spans="1:13">
      <c r="A22" s="5">
        <v>20210728</v>
      </c>
      <c r="B22" s="6">
        <v>72.39</v>
      </c>
      <c r="C22" s="6">
        <v>74.74</v>
      </c>
      <c r="D22" s="6">
        <v>72.71</v>
      </c>
      <c r="E22" s="6">
        <v>448.5</v>
      </c>
      <c r="F22" s="6">
        <v>72.79</v>
      </c>
      <c r="G22" s="6">
        <v>72.91</v>
      </c>
      <c r="H22" s="6">
        <v>74.83</v>
      </c>
      <c r="I22" s="6">
        <v>70.355</v>
      </c>
      <c r="J22" s="6">
        <v>74.51</v>
      </c>
      <c r="K22" s="6">
        <v>76.06</v>
      </c>
      <c r="L22" s="6">
        <v>67.49</v>
      </c>
      <c r="M22" s="14">
        <v>72.79</v>
      </c>
    </row>
    <row r="23" spans="1:13">
      <c r="A23" s="5">
        <v>20210729</v>
      </c>
      <c r="B23" s="6">
        <v>73.62</v>
      </c>
      <c r="C23" s="6">
        <v>76.05</v>
      </c>
      <c r="D23" s="6">
        <v>73.43</v>
      </c>
      <c r="E23" s="6">
        <v>451.2</v>
      </c>
      <c r="F23" s="6">
        <v>73.7</v>
      </c>
      <c r="G23" s="6">
        <v>73.79</v>
      </c>
      <c r="H23" s="6">
        <v>75.625</v>
      </c>
      <c r="I23" s="6">
        <v>71.095</v>
      </c>
      <c r="J23" s="6">
        <v>75.2</v>
      </c>
      <c r="K23" s="6">
        <v>76.85</v>
      </c>
      <c r="L23" s="6">
        <v>68.125</v>
      </c>
      <c r="M23" s="14">
        <v>73.54</v>
      </c>
    </row>
    <row r="24" spans="1:13">
      <c r="A24" s="5">
        <v>20210730</v>
      </c>
      <c r="B24" s="6">
        <v>73.95</v>
      </c>
      <c r="C24" s="6">
        <v>76.33</v>
      </c>
      <c r="D24" s="6">
        <v>74.03</v>
      </c>
      <c r="E24" s="6">
        <v>454.3</v>
      </c>
      <c r="F24" s="6">
        <v>73.9</v>
      </c>
      <c r="G24" s="6">
        <v>74.31</v>
      </c>
      <c r="H24" s="6">
        <v>76.305</v>
      </c>
      <c r="I24" s="6">
        <v>71.505</v>
      </c>
      <c r="J24" s="6">
        <v>75.53</v>
      </c>
      <c r="K24" s="6">
        <v>77.43</v>
      </c>
      <c r="L24" s="6">
        <v>68.565</v>
      </c>
      <c r="M24" s="14">
        <v>73.96</v>
      </c>
    </row>
    <row r="25" spans="1:13">
      <c r="A25" s="7" t="s">
        <v>17</v>
      </c>
      <c r="B25" s="8">
        <f>AVERAGE(B20:B24)</f>
        <v>72.704</v>
      </c>
      <c r="C25" s="8">
        <f t="shared" ref="C25:M25" si="0">AVERAGE(C20:C24)</f>
        <v>75.22</v>
      </c>
      <c r="D25" s="8">
        <f t="shared" si="0"/>
        <v>73.034</v>
      </c>
      <c r="E25" s="8">
        <f t="shared" si="0"/>
        <v>448.18</v>
      </c>
      <c r="F25" s="8">
        <f t="shared" si="0"/>
        <v>72.986</v>
      </c>
      <c r="G25" s="8">
        <f t="shared" si="0"/>
        <v>73.188</v>
      </c>
      <c r="H25" s="8">
        <f t="shared" si="0"/>
        <v>75.242</v>
      </c>
      <c r="I25" s="8">
        <f t="shared" si="0"/>
        <v>70.615</v>
      </c>
      <c r="J25" s="8">
        <f t="shared" si="0"/>
        <v>74.55</v>
      </c>
      <c r="K25" s="8">
        <f t="shared" si="0"/>
        <v>76.34</v>
      </c>
      <c r="L25" s="8">
        <f t="shared" si="0"/>
        <v>67.797</v>
      </c>
      <c r="M25" s="15">
        <f t="shared" si="0"/>
        <v>73.016</v>
      </c>
    </row>
    <row r="26" ht="22.5" spans="1:13">
      <c r="A26" s="3" t="s">
        <v>52</v>
      </c>
      <c r="B26" s="9">
        <f>AVERAGE(B3:B24)</f>
        <v>72.4304761904762</v>
      </c>
      <c r="C26" s="9">
        <f t="shared" ref="C26:M26" si="1">AVERAGE(C3:C24)</f>
        <v>74.2936363636364</v>
      </c>
      <c r="D26" s="9">
        <f t="shared" si="1"/>
        <v>72.7318181818182</v>
      </c>
      <c r="E26" s="9">
        <f t="shared" si="1"/>
        <v>446.336363636364</v>
      </c>
      <c r="F26" s="9">
        <f t="shared" si="1"/>
        <v>72.9028571428572</v>
      </c>
      <c r="G26" s="9">
        <f t="shared" si="1"/>
        <v>73.0480952380952</v>
      </c>
      <c r="H26" s="9">
        <f t="shared" si="1"/>
        <v>75.0295454545455</v>
      </c>
      <c r="I26" s="9">
        <f t="shared" si="1"/>
        <v>71.1183333333333</v>
      </c>
      <c r="J26" s="9">
        <f t="shared" si="1"/>
        <v>74.5404761904762</v>
      </c>
      <c r="K26" s="9">
        <f t="shared" si="1"/>
        <v>77</v>
      </c>
      <c r="L26" s="9">
        <f t="shared" si="1"/>
        <v>68.5338095238095</v>
      </c>
      <c r="M26" s="16">
        <f t="shared" si="1"/>
        <v>73.4719047619048</v>
      </c>
    </row>
    <row r="27" ht="23.25" spans="1:13">
      <c r="A27" s="10" t="s">
        <v>19</v>
      </c>
      <c r="B27" s="11">
        <f>(B26-B2)/B2</f>
        <v>0.0151045231057465</v>
      </c>
      <c r="C27" s="11">
        <f t="shared" ref="C27:M27" si="2">(C26-C2)/C2</f>
        <v>0.0120620688801098</v>
      </c>
      <c r="D27" s="11">
        <f t="shared" si="2"/>
        <v>0.0149505559678535</v>
      </c>
      <c r="E27" s="18">
        <f t="shared" si="2"/>
        <v>-0.014761797827967</v>
      </c>
      <c r="F27" s="11">
        <f t="shared" si="2"/>
        <v>0.0185810772497596</v>
      </c>
      <c r="G27" s="11">
        <f t="shared" si="2"/>
        <v>0.0186727277117743</v>
      </c>
      <c r="H27" s="11">
        <f t="shared" si="2"/>
        <v>0.0272071589926132</v>
      </c>
      <c r="I27" s="11">
        <f t="shared" si="2"/>
        <v>0.0167651738416063</v>
      </c>
      <c r="J27" s="11">
        <f t="shared" si="2"/>
        <v>0.0228219772908851</v>
      </c>
      <c r="K27" s="11">
        <f t="shared" si="2"/>
        <v>0.0170814445678601</v>
      </c>
      <c r="L27" s="11">
        <f t="shared" si="2"/>
        <v>0.024797662903776</v>
      </c>
      <c r="M27" s="17">
        <f t="shared" si="2"/>
        <v>0.00870042233213417</v>
      </c>
    </row>
    <row r="28" ht="15"/>
  </sheetData>
  <pageMargins left="0.75" right="0.75" top="1" bottom="1" header="0.5" footer="0.5"/>
  <pageSetup paperSize="9" orientation="portrait"/>
  <headerFooter/>
  <legacy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1"/>
  <dimension ref="A1:M28"/>
  <sheetViews>
    <sheetView workbookViewId="0">
      <selection activeCell="A1" sqref="A1:M27"/>
    </sheetView>
  </sheetViews>
  <sheetFormatPr defaultColWidth="9" defaultRowHeight="14.25"/>
  <sheetData>
    <row r="1" ht="15" spans="1:1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2" t="s">
        <v>15</v>
      </c>
    </row>
    <row r="2" ht="22.5" spans="1:13">
      <c r="A2" s="3" t="s">
        <v>40</v>
      </c>
      <c r="B2" s="9">
        <v>65.157</v>
      </c>
      <c r="C2" s="9">
        <v>68.3090476190476</v>
      </c>
      <c r="D2" s="9">
        <v>66.43</v>
      </c>
      <c r="E2" s="9">
        <v>422.6</v>
      </c>
      <c r="F2" s="9">
        <v>66.3144736842105</v>
      </c>
      <c r="G2" s="9">
        <v>66.3826315789474</v>
      </c>
      <c r="H2" s="9">
        <v>68.7457894736842</v>
      </c>
      <c r="I2" s="9">
        <v>64.478947368421</v>
      </c>
      <c r="J2" s="9">
        <v>67.6931578947368</v>
      </c>
      <c r="K2" s="9">
        <v>71.58</v>
      </c>
      <c r="L2" s="9">
        <v>61.07</v>
      </c>
      <c r="M2" s="16">
        <v>67.4926315789474</v>
      </c>
    </row>
    <row r="3" spans="1:13">
      <c r="A3" s="5">
        <v>20210601</v>
      </c>
      <c r="B3" s="6">
        <v>67.72</v>
      </c>
      <c r="C3" s="6">
        <v>70.25</v>
      </c>
      <c r="D3" s="6">
        <v>69.15</v>
      </c>
      <c r="E3" s="6">
        <v>435.2</v>
      </c>
      <c r="F3" s="6">
        <v>69.06</v>
      </c>
      <c r="G3" s="6">
        <v>69.19</v>
      </c>
      <c r="H3" s="6">
        <v>69.32</v>
      </c>
      <c r="I3" s="6">
        <v>67.35</v>
      </c>
      <c r="J3" s="6">
        <v>70.37</v>
      </c>
      <c r="K3" s="6">
        <v>73.47</v>
      </c>
      <c r="L3" s="6">
        <v>63.925</v>
      </c>
      <c r="M3" s="14">
        <v>70.16</v>
      </c>
    </row>
    <row r="4" spans="1:13">
      <c r="A4" s="5">
        <v>20210602</v>
      </c>
      <c r="B4" s="6">
        <v>68.83</v>
      </c>
      <c r="C4" s="6">
        <v>71.35</v>
      </c>
      <c r="D4" s="6">
        <v>69.46</v>
      </c>
      <c r="E4" s="6">
        <v>440.8</v>
      </c>
      <c r="F4" s="6">
        <v>69.19</v>
      </c>
      <c r="G4" s="6">
        <v>69.39</v>
      </c>
      <c r="H4" s="6">
        <v>69.87</v>
      </c>
      <c r="I4" s="6">
        <v>67.335</v>
      </c>
      <c r="J4" s="6">
        <v>70.55</v>
      </c>
      <c r="K4" s="6">
        <v>73.55</v>
      </c>
      <c r="L4" s="6">
        <v>63.805</v>
      </c>
      <c r="M4" s="14">
        <v>70.28</v>
      </c>
    </row>
    <row r="5" spans="1:13">
      <c r="A5" s="5">
        <v>20210603</v>
      </c>
      <c r="B5" s="6">
        <v>68.81</v>
      </c>
      <c r="C5" s="6">
        <v>71.31</v>
      </c>
      <c r="D5" s="6">
        <v>70.14</v>
      </c>
      <c r="E5" s="6">
        <v>444.9</v>
      </c>
      <c r="F5" s="6">
        <v>69.945</v>
      </c>
      <c r="G5" s="6">
        <v>70.05</v>
      </c>
      <c r="H5" s="6">
        <v>69.885</v>
      </c>
      <c r="I5" s="6">
        <v>68.155</v>
      </c>
      <c r="J5" s="6">
        <v>71.39</v>
      </c>
      <c r="K5" s="6">
        <v>74.34</v>
      </c>
      <c r="L5" s="6">
        <v>64.665</v>
      </c>
      <c r="M5" s="14">
        <v>71.05</v>
      </c>
    </row>
    <row r="6" spans="1:13">
      <c r="A6" s="5">
        <v>20210604</v>
      </c>
      <c r="B6" s="6">
        <v>69.62</v>
      </c>
      <c r="C6" s="6">
        <v>71.89</v>
      </c>
      <c r="D6" s="6">
        <v>70.38</v>
      </c>
      <c r="E6" s="6">
        <v>443.2</v>
      </c>
      <c r="F6" s="6">
        <v>70.09</v>
      </c>
      <c r="G6" s="6">
        <v>70.44</v>
      </c>
      <c r="H6" s="6">
        <v>70.68</v>
      </c>
      <c r="I6" s="6">
        <v>68.28</v>
      </c>
      <c r="J6" s="6">
        <v>71.48</v>
      </c>
      <c r="K6" s="6">
        <v>74.48</v>
      </c>
      <c r="L6" s="6">
        <v>64.875</v>
      </c>
      <c r="M6" s="14">
        <v>71.19</v>
      </c>
    </row>
    <row r="7" spans="1:13">
      <c r="A7" s="5">
        <v>20210607</v>
      </c>
      <c r="B7" s="6">
        <v>69.23</v>
      </c>
      <c r="C7" s="6">
        <v>71.49</v>
      </c>
      <c r="D7" s="6">
        <v>70.35</v>
      </c>
      <c r="E7" s="6">
        <v>447.7</v>
      </c>
      <c r="F7" s="6">
        <v>70</v>
      </c>
      <c r="G7" s="6">
        <v>70.29</v>
      </c>
      <c r="H7" s="6">
        <v>70.515</v>
      </c>
      <c r="I7" s="6">
        <v>68.175</v>
      </c>
      <c r="J7" s="6">
        <v>71.31</v>
      </c>
      <c r="K7" s="6">
        <v>74.46</v>
      </c>
      <c r="L7" s="6">
        <v>64.81</v>
      </c>
      <c r="M7" s="14">
        <v>71.08</v>
      </c>
    </row>
    <row r="8" spans="1:13">
      <c r="A8" s="5">
        <v>20210608</v>
      </c>
      <c r="B8" s="6">
        <v>70.05</v>
      </c>
      <c r="C8" s="6">
        <v>72.22</v>
      </c>
      <c r="D8" s="6">
        <v>69.6</v>
      </c>
      <c r="E8" s="6">
        <v>443.7</v>
      </c>
      <c r="F8" s="6">
        <v>69.3</v>
      </c>
      <c r="G8" s="6">
        <v>69.54</v>
      </c>
      <c r="H8" s="6">
        <v>70.92</v>
      </c>
      <c r="I8" s="6">
        <v>67.725</v>
      </c>
      <c r="J8" s="6">
        <v>70.68</v>
      </c>
      <c r="K8" s="6">
        <v>73.83</v>
      </c>
      <c r="L8" s="6">
        <v>64.52</v>
      </c>
      <c r="M8" s="14">
        <v>70.54</v>
      </c>
    </row>
    <row r="9" spans="1:13">
      <c r="A9" s="5">
        <v>20210609</v>
      </c>
      <c r="B9" s="6">
        <v>69.96</v>
      </c>
      <c r="C9" s="6">
        <v>72.22</v>
      </c>
      <c r="D9" s="6">
        <v>71.38</v>
      </c>
      <c r="E9" s="6">
        <v>448.7</v>
      </c>
      <c r="F9" s="6">
        <v>71.1</v>
      </c>
      <c r="G9" s="6">
        <v>71.39</v>
      </c>
      <c r="H9" s="6">
        <v>71.39</v>
      </c>
      <c r="I9" s="6">
        <v>69.27</v>
      </c>
      <c r="J9" s="6">
        <v>71.96</v>
      </c>
      <c r="K9" s="6">
        <v>75.06</v>
      </c>
      <c r="L9" s="6">
        <v>66.1</v>
      </c>
      <c r="M9" s="14">
        <v>72.28</v>
      </c>
    </row>
    <row r="10" spans="1:13">
      <c r="A10" s="5">
        <v>20210610</v>
      </c>
      <c r="B10" s="6">
        <v>70.29</v>
      </c>
      <c r="C10" s="6">
        <v>72.52</v>
      </c>
      <c r="D10" s="6">
        <v>70.94</v>
      </c>
      <c r="E10" s="6">
        <v>448.3</v>
      </c>
      <c r="F10" s="6">
        <v>70.655</v>
      </c>
      <c r="G10" s="6">
        <v>70.89</v>
      </c>
      <c r="H10" s="6">
        <v>71.71</v>
      </c>
      <c r="I10" s="6">
        <v>68.66</v>
      </c>
      <c r="J10" s="6">
        <v>71.41</v>
      </c>
      <c r="K10" s="6">
        <v>74.41</v>
      </c>
      <c r="L10" s="6">
        <v>65.43</v>
      </c>
      <c r="M10" s="14">
        <v>71.71</v>
      </c>
    </row>
    <row r="11" spans="1:13">
      <c r="A11" s="5">
        <v>20210611</v>
      </c>
      <c r="B11" s="6">
        <v>70.91</v>
      </c>
      <c r="C11" s="6">
        <v>72.69</v>
      </c>
      <c r="D11" s="6">
        <v>71.37</v>
      </c>
      <c r="E11" s="6">
        <v>449.3</v>
      </c>
      <c r="F11" s="6">
        <v>71.16</v>
      </c>
      <c r="G11" s="6">
        <v>71.29</v>
      </c>
      <c r="H11" s="6">
        <v>72.045</v>
      </c>
      <c r="I11" s="6">
        <v>69.145</v>
      </c>
      <c r="J11" s="6">
        <v>71.86</v>
      </c>
      <c r="K11" s="6">
        <v>74.86</v>
      </c>
      <c r="L11" s="6">
        <v>65.93</v>
      </c>
      <c r="M11" s="14">
        <v>72.15</v>
      </c>
    </row>
    <row r="12" spans="1:13">
      <c r="A12" s="5">
        <v>20210614</v>
      </c>
      <c r="B12" s="6">
        <v>70.88</v>
      </c>
      <c r="C12" s="6">
        <v>72.86</v>
      </c>
      <c r="D12" s="6">
        <v>72.14</v>
      </c>
      <c r="E12" s="6"/>
      <c r="F12" s="6">
        <v>72.04</v>
      </c>
      <c r="G12" s="6">
        <v>72.09</v>
      </c>
      <c r="H12" s="6">
        <v>72.535</v>
      </c>
      <c r="I12" s="6">
        <v>69.885</v>
      </c>
      <c r="J12" s="6">
        <v>72.54</v>
      </c>
      <c r="K12" s="6">
        <v>75.59</v>
      </c>
      <c r="L12" s="6">
        <v>66.72</v>
      </c>
      <c r="M12" s="14">
        <v>72.92</v>
      </c>
    </row>
    <row r="13" spans="1:13">
      <c r="A13" s="5">
        <v>20210615</v>
      </c>
      <c r="B13" s="6">
        <v>72.12</v>
      </c>
      <c r="C13" s="6">
        <v>73.99</v>
      </c>
      <c r="D13" s="6">
        <v>71.92</v>
      </c>
      <c r="E13" s="6">
        <v>457</v>
      </c>
      <c r="F13" s="6">
        <v>71.755</v>
      </c>
      <c r="G13" s="6">
        <v>71.84</v>
      </c>
      <c r="H13" s="6">
        <v>73.135</v>
      </c>
      <c r="I13" s="6">
        <v>69.645</v>
      </c>
      <c r="J13" s="6">
        <v>72.25</v>
      </c>
      <c r="K13" s="6">
        <v>75.35</v>
      </c>
      <c r="L13" s="6">
        <v>66.405</v>
      </c>
      <c r="M13" s="14">
        <v>72.65</v>
      </c>
    </row>
    <row r="14" spans="1:13">
      <c r="A14" s="5">
        <v>20210616</v>
      </c>
      <c r="B14" s="6">
        <v>72.15</v>
      </c>
      <c r="C14" s="6">
        <v>74.39</v>
      </c>
      <c r="D14" s="6">
        <v>72.76</v>
      </c>
      <c r="E14" s="6">
        <v>459.2</v>
      </c>
      <c r="F14" s="6">
        <v>72.74</v>
      </c>
      <c r="G14" s="6">
        <v>72.79</v>
      </c>
      <c r="H14" s="6">
        <v>74.465</v>
      </c>
      <c r="I14" s="6">
        <v>71.075</v>
      </c>
      <c r="J14" s="6">
        <v>73.45</v>
      </c>
      <c r="K14" s="6">
        <v>76.45</v>
      </c>
      <c r="L14" s="6">
        <v>67.95</v>
      </c>
      <c r="M14" s="14">
        <v>74.21</v>
      </c>
    </row>
    <row r="15" spans="1:13">
      <c r="A15" s="5">
        <v>20210617</v>
      </c>
      <c r="B15" s="6">
        <v>71.04</v>
      </c>
      <c r="C15" s="6">
        <v>73.08</v>
      </c>
      <c r="D15" s="6">
        <v>72.39</v>
      </c>
      <c r="E15" s="6">
        <v>458.6</v>
      </c>
      <c r="F15" s="6">
        <v>72.31</v>
      </c>
      <c r="G15" s="6">
        <v>72.35</v>
      </c>
      <c r="H15" s="6">
        <v>72.575</v>
      </c>
      <c r="I15" s="6">
        <v>70.82</v>
      </c>
      <c r="J15" s="6">
        <v>73.36</v>
      </c>
      <c r="K15" s="6">
        <v>76.21</v>
      </c>
      <c r="L15" s="6">
        <v>67.8</v>
      </c>
      <c r="M15" s="14">
        <v>73.85</v>
      </c>
    </row>
    <row r="16" spans="1:13">
      <c r="A16" s="5">
        <v>20210618</v>
      </c>
      <c r="B16" s="6">
        <v>71.64</v>
      </c>
      <c r="C16" s="6">
        <v>73.51</v>
      </c>
      <c r="D16" s="6">
        <v>70.96</v>
      </c>
      <c r="E16" s="6">
        <v>449.9</v>
      </c>
      <c r="F16" s="6">
        <v>70.95</v>
      </c>
      <c r="G16" s="6">
        <v>71.01</v>
      </c>
      <c r="H16" s="6">
        <v>73.375</v>
      </c>
      <c r="I16" s="6">
        <v>69.45</v>
      </c>
      <c r="J16" s="6">
        <v>72.11</v>
      </c>
      <c r="K16" s="6">
        <v>74.91</v>
      </c>
      <c r="L16" s="6">
        <v>66.435</v>
      </c>
      <c r="M16" s="14">
        <v>72.46</v>
      </c>
    </row>
    <row r="17" spans="1:13">
      <c r="A17" s="5">
        <v>20210621</v>
      </c>
      <c r="B17" s="6">
        <v>73.66</v>
      </c>
      <c r="C17" s="6">
        <v>74.9</v>
      </c>
      <c r="D17" s="6">
        <v>71.91</v>
      </c>
      <c r="E17" s="6">
        <v>450.2</v>
      </c>
      <c r="F17" s="6">
        <v>71.75</v>
      </c>
      <c r="G17" s="6">
        <v>71.83</v>
      </c>
      <c r="H17" s="6">
        <v>74.285</v>
      </c>
      <c r="I17" s="6">
        <v>70.225</v>
      </c>
      <c r="J17" s="6">
        <v>72.96</v>
      </c>
      <c r="K17" s="6">
        <v>75.76</v>
      </c>
      <c r="L17" s="6">
        <v>67.295</v>
      </c>
      <c r="M17" s="14">
        <v>73.28</v>
      </c>
    </row>
    <row r="18" spans="1:13">
      <c r="A18" s="5">
        <v>20210622</v>
      </c>
      <c r="B18" s="6">
        <v>73.06</v>
      </c>
      <c r="C18" s="6">
        <v>74.81</v>
      </c>
      <c r="D18" s="6">
        <v>72.86</v>
      </c>
      <c r="E18" s="6">
        <v>455.2</v>
      </c>
      <c r="F18" s="6">
        <v>72.5</v>
      </c>
      <c r="G18" s="6">
        <v>72.7</v>
      </c>
      <c r="H18" s="6">
        <v>74.845</v>
      </c>
      <c r="I18" s="6">
        <v>71.09</v>
      </c>
      <c r="J18" s="6">
        <v>74.06</v>
      </c>
      <c r="K18" s="6">
        <v>76.71</v>
      </c>
      <c r="L18" s="6">
        <v>68.16</v>
      </c>
      <c r="M18" s="14">
        <v>74.1</v>
      </c>
    </row>
    <row r="19" spans="1:13">
      <c r="A19" s="5">
        <v>20210623</v>
      </c>
      <c r="B19" s="6">
        <v>73.08</v>
      </c>
      <c r="C19" s="6">
        <v>75.19</v>
      </c>
      <c r="D19" s="6">
        <v>73.59</v>
      </c>
      <c r="E19" s="6">
        <v>461.4</v>
      </c>
      <c r="F19" s="6">
        <v>73.4</v>
      </c>
      <c r="G19" s="6">
        <v>73.59</v>
      </c>
      <c r="H19" s="6">
        <v>75.87</v>
      </c>
      <c r="I19" s="6">
        <v>72.03</v>
      </c>
      <c r="J19" s="6">
        <v>75.1</v>
      </c>
      <c r="K19" s="6">
        <v>77.65</v>
      </c>
      <c r="L19" s="6">
        <v>69.165</v>
      </c>
      <c r="M19" s="14">
        <v>74.99</v>
      </c>
    </row>
    <row r="20" spans="1:13">
      <c r="A20" s="5">
        <v>20210624</v>
      </c>
      <c r="B20" s="6">
        <v>73.3</v>
      </c>
      <c r="C20" s="6">
        <v>75.56</v>
      </c>
      <c r="D20" s="6">
        <v>73.58</v>
      </c>
      <c r="E20" s="6">
        <v>466.1</v>
      </c>
      <c r="F20" s="6">
        <v>73.7</v>
      </c>
      <c r="G20" s="6">
        <v>73.79</v>
      </c>
      <c r="H20" s="6">
        <v>75.77</v>
      </c>
      <c r="I20" s="6">
        <v>72.485</v>
      </c>
      <c r="J20" s="6">
        <v>75.87</v>
      </c>
      <c r="K20" s="6">
        <v>77.97</v>
      </c>
      <c r="L20" s="6">
        <v>69.645</v>
      </c>
      <c r="M20" s="14">
        <v>75.21</v>
      </c>
    </row>
    <row r="21" spans="1:13">
      <c r="A21" s="5">
        <v>20210625</v>
      </c>
      <c r="B21" s="6">
        <v>74.05</v>
      </c>
      <c r="C21" s="6">
        <v>76.18</v>
      </c>
      <c r="D21" s="6">
        <v>73.41</v>
      </c>
      <c r="E21" s="6">
        <v>466.2</v>
      </c>
      <c r="F21" s="6">
        <v>73.45</v>
      </c>
      <c r="G21" s="6">
        <v>73.45</v>
      </c>
      <c r="H21" s="6">
        <v>76.435</v>
      </c>
      <c r="I21" s="6">
        <v>72.425</v>
      </c>
      <c r="J21" s="6">
        <v>75.75</v>
      </c>
      <c r="K21" s="6">
        <v>77.9</v>
      </c>
      <c r="L21" s="6">
        <v>69.765</v>
      </c>
      <c r="M21" s="14">
        <v>75.03</v>
      </c>
    </row>
    <row r="22" spans="1:13">
      <c r="A22" s="5">
        <v>20210628</v>
      </c>
      <c r="B22" s="6">
        <v>72.91</v>
      </c>
      <c r="C22" s="6">
        <v>74.68</v>
      </c>
      <c r="D22" s="6">
        <v>73.72</v>
      </c>
      <c r="E22" s="6">
        <v>467.4</v>
      </c>
      <c r="F22" s="6">
        <v>73.85</v>
      </c>
      <c r="G22" s="6">
        <v>73.9</v>
      </c>
      <c r="H22" s="6">
        <v>75.165</v>
      </c>
      <c r="I22" s="6">
        <v>72.525</v>
      </c>
      <c r="J22" s="6">
        <v>75.61</v>
      </c>
      <c r="K22" s="6">
        <v>78.16</v>
      </c>
      <c r="L22" s="6">
        <v>69.935</v>
      </c>
      <c r="M22" s="14">
        <v>75.08</v>
      </c>
    </row>
    <row r="23" spans="1:13">
      <c r="A23" s="5">
        <v>20210629</v>
      </c>
      <c r="B23" s="6">
        <v>72.98</v>
      </c>
      <c r="C23" s="6">
        <v>74.76</v>
      </c>
      <c r="D23" s="6">
        <v>72</v>
      </c>
      <c r="E23" s="6">
        <v>459.9</v>
      </c>
      <c r="F23" s="6">
        <v>72.81</v>
      </c>
      <c r="G23" s="6">
        <v>72.84</v>
      </c>
      <c r="H23" s="6">
        <v>75.95</v>
      </c>
      <c r="I23" s="6">
        <v>71.525</v>
      </c>
      <c r="J23" s="6">
        <v>74.56</v>
      </c>
      <c r="K23" s="6">
        <v>77.16</v>
      </c>
      <c r="L23" s="6">
        <v>68.915</v>
      </c>
      <c r="M23" s="14">
        <v>74.1</v>
      </c>
    </row>
    <row r="24" spans="1:13">
      <c r="A24" s="5">
        <v>20210630</v>
      </c>
      <c r="B24" s="6">
        <v>73.47</v>
      </c>
      <c r="C24" s="6">
        <v>75.13</v>
      </c>
      <c r="D24" s="6">
        <v>72.52</v>
      </c>
      <c r="E24" s="6">
        <v>460.6</v>
      </c>
      <c r="F24" s="6">
        <v>72.85</v>
      </c>
      <c r="G24" s="6">
        <v>72.95</v>
      </c>
      <c r="H24" s="6">
        <v>76.19</v>
      </c>
      <c r="I24" s="6">
        <v>71.53</v>
      </c>
      <c r="J24" s="6">
        <v>74.67</v>
      </c>
      <c r="K24" s="6">
        <v>77.27</v>
      </c>
      <c r="L24" s="6">
        <v>69.01</v>
      </c>
      <c r="M24" s="14">
        <v>74.12</v>
      </c>
    </row>
    <row r="25" spans="1:13">
      <c r="A25" s="7" t="s">
        <v>17</v>
      </c>
      <c r="B25" s="8">
        <f>AVERAGE(B22:B24)</f>
        <v>73.12</v>
      </c>
      <c r="C25" s="8">
        <f t="shared" ref="C25:M25" si="0">AVERAGE(C22:C24)</f>
        <v>74.8566666666667</v>
      </c>
      <c r="D25" s="8">
        <f t="shared" si="0"/>
        <v>72.7466666666667</v>
      </c>
      <c r="E25" s="8">
        <f t="shared" si="0"/>
        <v>462.633333333333</v>
      </c>
      <c r="F25" s="8">
        <f t="shared" si="0"/>
        <v>73.17</v>
      </c>
      <c r="G25" s="8">
        <f t="shared" si="0"/>
        <v>73.23</v>
      </c>
      <c r="H25" s="8">
        <f t="shared" si="0"/>
        <v>75.7683333333333</v>
      </c>
      <c r="I25" s="8">
        <f t="shared" si="0"/>
        <v>71.86</v>
      </c>
      <c r="J25" s="8">
        <f t="shared" si="0"/>
        <v>74.9466666666667</v>
      </c>
      <c r="K25" s="8">
        <f t="shared" si="0"/>
        <v>77.53</v>
      </c>
      <c r="L25" s="8">
        <f t="shared" si="0"/>
        <v>69.2866666666667</v>
      </c>
      <c r="M25" s="15">
        <f t="shared" si="0"/>
        <v>74.4333333333333</v>
      </c>
    </row>
    <row r="26" ht="22.5" spans="1:13">
      <c r="A26" s="3" t="s">
        <v>33</v>
      </c>
      <c r="B26" s="9">
        <f>AVERAGE(B3:B24)</f>
        <v>71.3527272727273</v>
      </c>
      <c r="C26" s="9">
        <f t="shared" ref="C26:M26" si="1">AVERAGE(C3:C24)</f>
        <v>73.4081818181818</v>
      </c>
      <c r="D26" s="9">
        <f t="shared" si="1"/>
        <v>71.6604545454545</v>
      </c>
      <c r="E26" s="9">
        <f t="shared" si="1"/>
        <v>453.02380952381</v>
      </c>
      <c r="F26" s="9">
        <f t="shared" si="1"/>
        <v>71.5729545454545</v>
      </c>
      <c r="G26" s="9">
        <f t="shared" si="1"/>
        <v>71.7090909090909</v>
      </c>
      <c r="H26" s="9">
        <f t="shared" si="1"/>
        <v>73.0422727272727</v>
      </c>
      <c r="I26" s="9">
        <f t="shared" si="1"/>
        <v>69.9456818181818</v>
      </c>
      <c r="J26" s="9">
        <f t="shared" si="1"/>
        <v>72.8772727272727</v>
      </c>
      <c r="K26" s="9">
        <f t="shared" si="1"/>
        <v>75.7068181818182</v>
      </c>
      <c r="L26" s="9">
        <f t="shared" si="1"/>
        <v>66.8754545454545</v>
      </c>
      <c r="M26" s="16">
        <f t="shared" si="1"/>
        <v>72.8381818181818</v>
      </c>
    </row>
    <row r="27" ht="23.25" spans="1:13">
      <c r="A27" s="10" t="s">
        <v>19</v>
      </c>
      <c r="B27" s="11">
        <f>(B26-B2)/B2</f>
        <v>0.0950892041181649</v>
      </c>
      <c r="C27" s="11">
        <f t="shared" ref="C27:M27" si="2">(C26-C2)/C2</f>
        <v>0.0746480060382558</v>
      </c>
      <c r="D27" s="11">
        <f t="shared" si="2"/>
        <v>0.0787363321609898</v>
      </c>
      <c r="E27" s="11">
        <f t="shared" si="2"/>
        <v>0.0719919771031933</v>
      </c>
      <c r="F27" s="11">
        <f t="shared" si="2"/>
        <v>0.079296126005386</v>
      </c>
      <c r="G27" s="11">
        <f t="shared" si="2"/>
        <v>0.0802387492548995</v>
      </c>
      <c r="H27" s="11">
        <f t="shared" si="2"/>
        <v>0.0624981295070181</v>
      </c>
      <c r="I27" s="11">
        <f t="shared" si="2"/>
        <v>0.0847832458945837</v>
      </c>
      <c r="J27" s="11">
        <f t="shared" si="2"/>
        <v>0.076582552709348</v>
      </c>
      <c r="K27" s="11">
        <f t="shared" si="2"/>
        <v>0.0576532296984941</v>
      </c>
      <c r="L27" s="11">
        <f t="shared" si="2"/>
        <v>0.095062298107983</v>
      </c>
      <c r="M27" s="17">
        <f t="shared" si="2"/>
        <v>0.0792019827080185</v>
      </c>
    </row>
    <row r="28" ht="15"/>
  </sheetData>
  <pageMargins left="0.75" right="0.75" top="1" bottom="1" header="0.5" footer="0.5"/>
  <pageSetup paperSize="9" orientation="portrait"/>
  <headerFooter/>
  <legacy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2"/>
  <dimension ref="A1:M27"/>
  <sheetViews>
    <sheetView workbookViewId="0">
      <selection activeCell="B4" sqref="B4"/>
    </sheetView>
  </sheetViews>
  <sheetFormatPr defaultColWidth="9" defaultRowHeight="14.25"/>
  <sheetData>
    <row r="1" ht="15" spans="1:1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2" t="s">
        <v>15</v>
      </c>
    </row>
    <row r="2" ht="22.5" spans="1:13">
      <c r="A2" s="3" t="s">
        <v>20</v>
      </c>
      <c r="B2" s="9">
        <v>61.704</v>
      </c>
      <c r="C2" s="9">
        <v>65.329</v>
      </c>
      <c r="D2" s="9">
        <v>63.097</v>
      </c>
      <c r="E2" s="9">
        <v>399.433</v>
      </c>
      <c r="F2" s="9">
        <v>62.894</v>
      </c>
      <c r="G2" s="9">
        <v>62.966</v>
      </c>
      <c r="H2" s="9">
        <v>64.696</v>
      </c>
      <c r="I2" s="9">
        <v>61.116</v>
      </c>
      <c r="J2" s="9">
        <v>64.368</v>
      </c>
      <c r="K2" s="9">
        <v>68.858</v>
      </c>
      <c r="L2" s="9">
        <v>58.195</v>
      </c>
      <c r="M2" s="16">
        <v>63.452</v>
      </c>
    </row>
    <row r="3" spans="1:13">
      <c r="A3" s="5">
        <v>20210503</v>
      </c>
      <c r="B3" s="6">
        <v>64.49</v>
      </c>
      <c r="C3" s="6">
        <v>67.56</v>
      </c>
      <c r="D3" s="6">
        <v>64.48</v>
      </c>
      <c r="E3" s="6"/>
      <c r="F3" s="6">
        <v>64.35</v>
      </c>
      <c r="G3" s="6">
        <v>64.35</v>
      </c>
      <c r="H3" s="6"/>
      <c r="I3" s="6">
        <v>63.055</v>
      </c>
      <c r="J3" s="6">
        <v>66.27</v>
      </c>
      <c r="K3" s="6">
        <v>70.62</v>
      </c>
      <c r="L3" s="6">
        <v>60.445</v>
      </c>
      <c r="M3" s="14">
        <v>65.11</v>
      </c>
    </row>
    <row r="4" spans="1:13">
      <c r="A4" s="5">
        <v>20210504</v>
      </c>
      <c r="B4" s="6">
        <v>65.69</v>
      </c>
      <c r="C4" s="6">
        <v>68.88</v>
      </c>
      <c r="D4" s="6">
        <v>65.9</v>
      </c>
      <c r="E4" s="6"/>
      <c r="F4" s="6">
        <v>65.79</v>
      </c>
      <c r="G4" s="6">
        <v>65.8</v>
      </c>
      <c r="H4" s="6">
        <v>69.235</v>
      </c>
      <c r="I4" s="6">
        <v>64.475</v>
      </c>
      <c r="J4" s="6">
        <v>67.89</v>
      </c>
      <c r="K4" s="6">
        <v>72.19</v>
      </c>
      <c r="L4" s="6">
        <v>61.83</v>
      </c>
      <c r="M4" s="14">
        <v>66.54</v>
      </c>
    </row>
    <row r="5" spans="1:13">
      <c r="A5" s="5">
        <v>20210505</v>
      </c>
      <c r="B5" s="6">
        <v>65.63</v>
      </c>
      <c r="C5" s="6">
        <v>68.96</v>
      </c>
      <c r="D5" s="6">
        <v>67.8</v>
      </c>
      <c r="E5" s="6"/>
      <c r="F5" s="6">
        <v>67.71</v>
      </c>
      <c r="G5" s="6">
        <v>67.74</v>
      </c>
      <c r="H5" s="6">
        <v>70.3</v>
      </c>
      <c r="I5" s="6">
        <v>66.12</v>
      </c>
      <c r="J5" s="6">
        <v>69.29</v>
      </c>
      <c r="K5" s="6">
        <v>73.54</v>
      </c>
      <c r="L5" s="6">
        <v>63.42</v>
      </c>
      <c r="M5" s="14">
        <v>68.25</v>
      </c>
    </row>
    <row r="6" spans="1:13">
      <c r="A6" s="5">
        <v>20210506</v>
      </c>
      <c r="B6" s="6">
        <v>64.71</v>
      </c>
      <c r="C6" s="6">
        <v>68.09</v>
      </c>
      <c r="D6" s="6">
        <v>67.28</v>
      </c>
      <c r="E6" s="6">
        <v>429.1</v>
      </c>
      <c r="F6" s="6">
        <v>67.11</v>
      </c>
      <c r="G6" s="6">
        <v>67.14</v>
      </c>
      <c r="H6" s="6">
        <v>69.09</v>
      </c>
      <c r="I6" s="6">
        <v>65.375</v>
      </c>
      <c r="J6" s="6">
        <v>68.73</v>
      </c>
      <c r="K6" s="6">
        <v>72.83</v>
      </c>
      <c r="L6" s="6">
        <v>62.48</v>
      </c>
      <c r="M6" s="14">
        <v>67.72</v>
      </c>
    </row>
    <row r="7" spans="1:13">
      <c r="A7" s="5">
        <v>20210507</v>
      </c>
      <c r="B7" s="6">
        <v>64.9</v>
      </c>
      <c r="C7" s="6">
        <v>68.28</v>
      </c>
      <c r="D7" s="6">
        <v>66.71</v>
      </c>
      <c r="E7" s="6">
        <v>424.4</v>
      </c>
      <c r="F7" s="6">
        <v>65.89</v>
      </c>
      <c r="G7" s="6">
        <v>65.94</v>
      </c>
      <c r="H7" s="6">
        <v>68.8</v>
      </c>
      <c r="I7" s="6">
        <v>64.21</v>
      </c>
      <c r="J7" s="6">
        <v>67.51</v>
      </c>
      <c r="K7" s="6">
        <v>71.61</v>
      </c>
      <c r="L7" s="6">
        <v>61.23</v>
      </c>
      <c r="M7" s="14">
        <v>66.54</v>
      </c>
    </row>
    <row r="8" spans="1:13">
      <c r="A8" s="5">
        <v>20210510</v>
      </c>
      <c r="B8" s="6">
        <v>64.92</v>
      </c>
      <c r="C8" s="6">
        <v>68.32</v>
      </c>
      <c r="D8" s="6">
        <v>66.85</v>
      </c>
      <c r="E8" s="6">
        <v>424</v>
      </c>
      <c r="F8" s="6">
        <v>66.71</v>
      </c>
      <c r="G8" s="6">
        <v>66.79</v>
      </c>
      <c r="H8" s="6">
        <v>68.645</v>
      </c>
      <c r="I8" s="6">
        <v>64.835</v>
      </c>
      <c r="J8" s="6">
        <v>68.19</v>
      </c>
      <c r="K8" s="6">
        <v>72.19</v>
      </c>
      <c r="L8" s="6">
        <v>61.61</v>
      </c>
      <c r="M8" s="14">
        <v>67.45</v>
      </c>
    </row>
    <row r="9" spans="1:13">
      <c r="A9" s="5">
        <v>20210511</v>
      </c>
      <c r="B9" s="6">
        <v>65.28</v>
      </c>
      <c r="C9" s="6">
        <v>68.55</v>
      </c>
      <c r="D9" s="6">
        <v>65.63</v>
      </c>
      <c r="E9" s="6">
        <v>421.1</v>
      </c>
      <c r="F9" s="6">
        <v>65.5</v>
      </c>
      <c r="G9" s="6">
        <v>65.6</v>
      </c>
      <c r="H9" s="6">
        <v>68.905</v>
      </c>
      <c r="I9" s="6">
        <v>63.575</v>
      </c>
      <c r="J9" s="6">
        <v>66.99</v>
      </c>
      <c r="K9" s="6">
        <v>70.94</v>
      </c>
      <c r="L9" s="6">
        <v>60.225</v>
      </c>
      <c r="M9" s="14">
        <v>66.23</v>
      </c>
    </row>
    <row r="10" spans="1:13">
      <c r="A10" s="5">
        <v>20210512</v>
      </c>
      <c r="B10" s="6">
        <v>66.08</v>
      </c>
      <c r="C10" s="6">
        <v>69.32</v>
      </c>
      <c r="D10" s="6">
        <v>66.73</v>
      </c>
      <c r="E10" s="6">
        <v>420.6</v>
      </c>
      <c r="F10" s="6">
        <v>66.52</v>
      </c>
      <c r="G10" s="6">
        <v>66.59</v>
      </c>
      <c r="H10" s="6">
        <v>70.21</v>
      </c>
      <c r="I10" s="6">
        <v>64.53</v>
      </c>
      <c r="J10" s="6">
        <v>67.98</v>
      </c>
      <c r="K10" s="6">
        <v>71.98</v>
      </c>
      <c r="L10" s="6">
        <v>60.98</v>
      </c>
      <c r="M10" s="14">
        <v>67.34</v>
      </c>
    </row>
    <row r="11" spans="1:13">
      <c r="A11" s="5">
        <v>20210513</v>
      </c>
      <c r="B11" s="6">
        <v>63.82</v>
      </c>
      <c r="C11" s="6">
        <v>67.05</v>
      </c>
      <c r="D11" s="6">
        <v>65.98</v>
      </c>
      <c r="E11" s="6">
        <v>428.7</v>
      </c>
      <c r="F11" s="6"/>
      <c r="G11" s="6"/>
      <c r="H11" s="6">
        <v>68.005</v>
      </c>
      <c r="I11" s="6"/>
      <c r="J11" s="6"/>
      <c r="K11" s="6"/>
      <c r="L11" s="6"/>
      <c r="M11" s="14"/>
    </row>
    <row r="12" spans="1:13">
      <c r="A12" s="5">
        <v>20210514</v>
      </c>
      <c r="B12" s="6">
        <v>65.37</v>
      </c>
      <c r="C12" s="6">
        <v>68.71</v>
      </c>
      <c r="D12" s="6">
        <v>65.39</v>
      </c>
      <c r="E12" s="6">
        <v>417.5</v>
      </c>
      <c r="F12" s="6">
        <v>65.29</v>
      </c>
      <c r="G12" s="6">
        <v>65.44</v>
      </c>
      <c r="H12" s="6">
        <v>69.035</v>
      </c>
      <c r="I12" s="6">
        <v>63.045</v>
      </c>
      <c r="J12" s="6">
        <v>66.38</v>
      </c>
      <c r="K12" s="6">
        <v>70.33</v>
      </c>
      <c r="L12" s="6">
        <v>59.55</v>
      </c>
      <c r="M12" s="14">
        <v>65.75</v>
      </c>
    </row>
    <row r="13" spans="1:13">
      <c r="A13" s="5">
        <v>20210517</v>
      </c>
      <c r="B13" s="6">
        <v>66.27</v>
      </c>
      <c r="C13" s="6">
        <v>69.46</v>
      </c>
      <c r="D13" s="6">
        <v>67.25</v>
      </c>
      <c r="E13" s="6">
        <v>424.9</v>
      </c>
      <c r="F13" s="6">
        <v>67.13</v>
      </c>
      <c r="G13" s="6">
        <v>67.19</v>
      </c>
      <c r="H13" s="6">
        <v>69.72</v>
      </c>
      <c r="I13" s="6">
        <v>64.47</v>
      </c>
      <c r="J13" s="6">
        <v>67.89</v>
      </c>
      <c r="K13" s="6">
        <v>71.79</v>
      </c>
      <c r="L13" s="6">
        <v>60.755</v>
      </c>
      <c r="M13" s="14">
        <v>67.4</v>
      </c>
    </row>
    <row r="14" spans="1:13">
      <c r="A14" s="5">
        <v>20210518</v>
      </c>
      <c r="B14" s="6">
        <v>65.49</v>
      </c>
      <c r="C14" s="6">
        <v>68.71</v>
      </c>
      <c r="D14" s="6">
        <v>68.43</v>
      </c>
      <c r="E14" s="6">
        <v>432.5</v>
      </c>
      <c r="F14" s="6">
        <v>68.38</v>
      </c>
      <c r="G14" s="6">
        <v>68.38</v>
      </c>
      <c r="H14" s="6">
        <v>69.67</v>
      </c>
      <c r="I14" s="6">
        <v>66.33</v>
      </c>
      <c r="J14" s="6">
        <v>69.14</v>
      </c>
      <c r="K14" s="6">
        <v>73.04</v>
      </c>
      <c r="L14" s="6">
        <v>62.54</v>
      </c>
      <c r="M14" s="14">
        <v>70.14</v>
      </c>
    </row>
    <row r="15" spans="1:13">
      <c r="A15" s="5">
        <v>20210519</v>
      </c>
      <c r="B15" s="6">
        <v>63.36</v>
      </c>
      <c r="C15" s="6">
        <v>66.66</v>
      </c>
      <c r="D15" s="6">
        <v>66.21</v>
      </c>
      <c r="E15" s="6">
        <v>427.5</v>
      </c>
      <c r="F15" s="6">
        <v>66.09</v>
      </c>
      <c r="G15" s="6">
        <v>66.09</v>
      </c>
      <c r="H15" s="6">
        <v>66.44</v>
      </c>
      <c r="I15" s="6">
        <v>64.135</v>
      </c>
      <c r="J15" s="6">
        <v>67.01</v>
      </c>
      <c r="K15" s="6">
        <v>70.91</v>
      </c>
      <c r="L15" s="6">
        <v>60.35</v>
      </c>
      <c r="M15" s="14">
        <v>67.99</v>
      </c>
    </row>
    <row r="16" spans="1:13">
      <c r="A16" s="5">
        <v>20210520</v>
      </c>
      <c r="B16" s="6">
        <v>62.05</v>
      </c>
      <c r="C16" s="6">
        <v>65.11</v>
      </c>
      <c r="D16" s="6">
        <v>65.12</v>
      </c>
      <c r="E16" s="6">
        <v>411.6</v>
      </c>
      <c r="F16" s="6">
        <v>65</v>
      </c>
      <c r="G16" s="6">
        <v>65</v>
      </c>
      <c r="H16" s="6">
        <v>66.6</v>
      </c>
      <c r="I16" s="6">
        <v>62.965</v>
      </c>
      <c r="J16" s="6">
        <v>66.05</v>
      </c>
      <c r="K16" s="6">
        <v>69.95</v>
      </c>
      <c r="L16" s="6">
        <v>59.065</v>
      </c>
      <c r="M16" s="14">
        <v>66.87</v>
      </c>
    </row>
    <row r="17" spans="1:13">
      <c r="A17" s="5">
        <v>20210521</v>
      </c>
      <c r="B17" s="6">
        <v>63.58</v>
      </c>
      <c r="C17" s="6">
        <v>66.44</v>
      </c>
      <c r="D17" s="6">
        <v>63.25</v>
      </c>
      <c r="E17" s="6">
        <v>405.5</v>
      </c>
      <c r="F17" s="6">
        <v>63.2</v>
      </c>
      <c r="G17" s="6">
        <v>63.25</v>
      </c>
      <c r="H17" s="6">
        <v>66.885</v>
      </c>
      <c r="I17" s="6">
        <v>61.205</v>
      </c>
      <c r="J17" s="6">
        <v>64.52</v>
      </c>
      <c r="K17" s="6">
        <v>68.17</v>
      </c>
      <c r="L17" s="6">
        <v>57.345</v>
      </c>
      <c r="M17" s="14">
        <v>64.83</v>
      </c>
    </row>
    <row r="18" spans="1:13">
      <c r="A18" s="5">
        <v>20210524</v>
      </c>
      <c r="B18" s="6">
        <v>66.05</v>
      </c>
      <c r="C18" s="6">
        <v>68.46</v>
      </c>
      <c r="D18" s="6">
        <v>66.43</v>
      </c>
      <c r="E18" s="6">
        <v>410.2</v>
      </c>
      <c r="F18" s="6">
        <v>66.22</v>
      </c>
      <c r="G18" s="6">
        <v>66.26</v>
      </c>
      <c r="H18" s="6">
        <v>68.365</v>
      </c>
      <c r="I18" s="6">
        <v>64.175</v>
      </c>
      <c r="J18" s="6">
        <v>67.33</v>
      </c>
      <c r="K18" s="6">
        <v>70.93</v>
      </c>
      <c r="L18" s="6">
        <v>60.35</v>
      </c>
      <c r="M18" s="14">
        <v>67.81</v>
      </c>
    </row>
    <row r="19" spans="1:13">
      <c r="A19" s="5">
        <v>20210525</v>
      </c>
      <c r="B19" s="6">
        <v>66.07</v>
      </c>
      <c r="C19" s="6">
        <v>68.65</v>
      </c>
      <c r="D19" s="6">
        <v>66.54</v>
      </c>
      <c r="E19" s="6">
        <v>421.3</v>
      </c>
      <c r="F19" s="6">
        <v>67.345</v>
      </c>
      <c r="G19" s="6">
        <v>67.5</v>
      </c>
      <c r="H19" s="6">
        <v>68.75</v>
      </c>
      <c r="I19" s="6">
        <v>65.38</v>
      </c>
      <c r="J19" s="6">
        <v>68.48</v>
      </c>
      <c r="K19" s="6">
        <v>71.98</v>
      </c>
      <c r="L19" s="6">
        <v>61.505</v>
      </c>
      <c r="M19" s="14">
        <v>69</v>
      </c>
    </row>
    <row r="20" spans="1:13">
      <c r="A20" s="5">
        <v>20210526</v>
      </c>
      <c r="B20" s="6">
        <v>66.21</v>
      </c>
      <c r="C20" s="6">
        <v>68.87</v>
      </c>
      <c r="D20" s="6">
        <v>66.85</v>
      </c>
      <c r="E20" s="6">
        <v>425.3</v>
      </c>
      <c r="F20" s="6"/>
      <c r="G20" s="6"/>
      <c r="H20" s="6">
        <v>68.93</v>
      </c>
      <c r="I20" s="6"/>
      <c r="J20" s="6"/>
      <c r="K20" s="6"/>
      <c r="L20" s="6"/>
      <c r="M20" s="14"/>
    </row>
    <row r="21" spans="1:13">
      <c r="A21" s="5">
        <v>20210527</v>
      </c>
      <c r="B21" s="6">
        <v>66.85</v>
      </c>
      <c r="C21" s="6">
        <v>69.46</v>
      </c>
      <c r="D21" s="6">
        <v>66.45</v>
      </c>
      <c r="E21" s="6">
        <v>423.6</v>
      </c>
      <c r="F21" s="6">
        <v>66.38</v>
      </c>
      <c r="G21" s="6">
        <v>66.4</v>
      </c>
      <c r="H21" s="6">
        <v>69.08</v>
      </c>
      <c r="I21" s="6">
        <v>64.8</v>
      </c>
      <c r="J21" s="6">
        <v>68.04</v>
      </c>
      <c r="K21" s="6">
        <v>71.54</v>
      </c>
      <c r="L21" s="6">
        <v>61.19</v>
      </c>
      <c r="M21" s="14">
        <v>68.27</v>
      </c>
    </row>
    <row r="22" spans="1:13">
      <c r="A22" s="5">
        <v>20210528</v>
      </c>
      <c r="B22" s="6">
        <v>66.32</v>
      </c>
      <c r="C22" s="6">
        <v>69.63</v>
      </c>
      <c r="D22" s="6">
        <v>67.72</v>
      </c>
      <c r="E22" s="6">
        <v>429.5</v>
      </c>
      <c r="F22" s="6">
        <v>67.46</v>
      </c>
      <c r="G22" s="6">
        <v>67.56</v>
      </c>
      <c r="H22" s="6">
        <v>69.505</v>
      </c>
      <c r="I22" s="6">
        <v>65.915</v>
      </c>
      <c r="J22" s="6">
        <v>69</v>
      </c>
      <c r="K22" s="6">
        <v>72.5</v>
      </c>
      <c r="L22" s="6">
        <v>62.44</v>
      </c>
      <c r="M22" s="14">
        <v>69.3</v>
      </c>
    </row>
    <row r="23" spans="1:13">
      <c r="A23" s="5">
        <v>20210531</v>
      </c>
      <c r="B23" s="6"/>
      <c r="C23" s="6">
        <v>69.32</v>
      </c>
      <c r="D23" s="6">
        <v>68.03</v>
      </c>
      <c r="E23" s="6">
        <v>429.5</v>
      </c>
      <c r="F23" s="6">
        <v>67.9</v>
      </c>
      <c r="G23" s="6">
        <v>68.25</v>
      </c>
      <c r="H23" s="6"/>
      <c r="I23" s="6">
        <v>66.505</v>
      </c>
      <c r="J23" s="6">
        <v>69.48</v>
      </c>
      <c r="K23" s="6">
        <v>72.98</v>
      </c>
      <c r="L23" s="6">
        <v>63.02</v>
      </c>
      <c r="M23" s="14">
        <v>69.82</v>
      </c>
    </row>
    <row r="24" spans="1:13">
      <c r="A24" s="7" t="s">
        <v>17</v>
      </c>
      <c r="B24" s="6"/>
      <c r="C24" s="8">
        <f t="shared" ref="C24:M24" si="0">AVERAGE(C23)</f>
        <v>69.32</v>
      </c>
      <c r="D24" s="8">
        <f t="shared" si="0"/>
        <v>68.03</v>
      </c>
      <c r="E24" s="8">
        <f t="shared" si="0"/>
        <v>429.5</v>
      </c>
      <c r="F24" s="8">
        <f t="shared" si="0"/>
        <v>67.9</v>
      </c>
      <c r="G24" s="8">
        <f t="shared" si="0"/>
        <v>68.25</v>
      </c>
      <c r="H24" s="6"/>
      <c r="I24" s="8">
        <f t="shared" si="0"/>
        <v>66.505</v>
      </c>
      <c r="J24" s="8">
        <f t="shared" si="0"/>
        <v>69.48</v>
      </c>
      <c r="K24" s="8">
        <f t="shared" si="0"/>
        <v>72.98</v>
      </c>
      <c r="L24" s="8">
        <f t="shared" si="0"/>
        <v>63.02</v>
      </c>
      <c r="M24" s="15">
        <f t="shared" si="0"/>
        <v>69.82</v>
      </c>
    </row>
    <row r="25" ht="22.5" spans="1:13">
      <c r="A25" s="3" t="s">
        <v>53</v>
      </c>
      <c r="B25" s="9">
        <f>AVERAGE(B3:B23)</f>
        <v>65.157</v>
      </c>
      <c r="C25" s="9">
        <f t="shared" ref="C25:M25" si="1">AVERAGE(C3:C23)</f>
        <v>68.3090476190476</v>
      </c>
      <c r="D25" s="9">
        <f t="shared" si="1"/>
        <v>66.43</v>
      </c>
      <c r="E25" s="9">
        <f t="shared" si="1"/>
        <v>422.6</v>
      </c>
      <c r="F25" s="9">
        <f t="shared" si="1"/>
        <v>66.3144736842105</v>
      </c>
      <c r="G25" s="9">
        <f t="shared" si="1"/>
        <v>66.3826315789474</v>
      </c>
      <c r="H25" s="9">
        <f t="shared" si="1"/>
        <v>68.7457894736842</v>
      </c>
      <c r="I25" s="9">
        <f t="shared" si="1"/>
        <v>64.478947368421</v>
      </c>
      <c r="J25" s="9">
        <f t="shared" si="1"/>
        <v>67.6931578947368</v>
      </c>
      <c r="K25" s="9">
        <f t="shared" si="1"/>
        <v>71.58</v>
      </c>
      <c r="L25" s="9">
        <f t="shared" si="1"/>
        <v>61.07</v>
      </c>
      <c r="M25" s="16">
        <f t="shared" si="1"/>
        <v>67.4926315789474</v>
      </c>
    </row>
    <row r="26" ht="23.25" spans="1:13">
      <c r="A26" s="10" t="s">
        <v>19</v>
      </c>
      <c r="B26" s="11">
        <f>(B25-B2)/B2</f>
        <v>0.0559607156748346</v>
      </c>
      <c r="C26" s="11">
        <f t="shared" ref="C26:M26" si="2">(C25-C2)/C2</f>
        <v>0.0456159993119082</v>
      </c>
      <c r="D26" s="11">
        <f t="shared" si="2"/>
        <v>0.0528234305909947</v>
      </c>
      <c r="E26" s="11">
        <f t="shared" si="2"/>
        <v>0.0579997145954391</v>
      </c>
      <c r="F26" s="11">
        <f t="shared" si="2"/>
        <v>0.054384737561779</v>
      </c>
      <c r="G26" s="11">
        <f t="shared" si="2"/>
        <v>0.0542615312858905</v>
      </c>
      <c r="H26" s="11">
        <f t="shared" si="2"/>
        <v>0.0625972158044425</v>
      </c>
      <c r="I26" s="11">
        <f t="shared" si="2"/>
        <v>0.0550256457952262</v>
      </c>
      <c r="J26" s="11">
        <f t="shared" si="2"/>
        <v>0.0516585554116461</v>
      </c>
      <c r="K26" s="11">
        <f t="shared" si="2"/>
        <v>0.0395306282494408</v>
      </c>
      <c r="L26" s="11">
        <f t="shared" si="2"/>
        <v>0.0494028696623422</v>
      </c>
      <c r="M26" s="17">
        <f t="shared" si="2"/>
        <v>0.0636801295301546</v>
      </c>
    </row>
    <row r="27" ht="15"/>
  </sheetData>
  <pageMargins left="0.75" right="0.75" top="1" bottom="1" header="0.5" footer="0.5"/>
  <pageSetup paperSize="9" orientation="portrait" horizontalDpi="600" verticalDpi="600"/>
  <headerFooter/>
  <legacy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3"/>
  <dimension ref="A1:M28"/>
  <sheetViews>
    <sheetView workbookViewId="0">
      <selection activeCell="N24" sqref="N24"/>
    </sheetView>
  </sheetViews>
  <sheetFormatPr defaultColWidth="9" defaultRowHeight="14.25"/>
  <sheetData>
    <row r="1" ht="15" spans="1:1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2" t="s">
        <v>15</v>
      </c>
    </row>
    <row r="2" ht="22.5" spans="1:13">
      <c r="A2" s="3" t="s">
        <v>21</v>
      </c>
      <c r="B2" s="9">
        <v>62.3573913043478</v>
      </c>
      <c r="C2" s="9">
        <v>65.7021739130435</v>
      </c>
      <c r="D2" s="9">
        <v>64.43</v>
      </c>
      <c r="E2" s="9">
        <v>404.578260869565</v>
      </c>
      <c r="F2" s="9">
        <v>64.414347826087</v>
      </c>
      <c r="G2" s="9">
        <v>64.4665217391304</v>
      </c>
      <c r="H2" s="9">
        <v>65.6260869565217</v>
      </c>
      <c r="I2" s="9">
        <v>62.3289130434783</v>
      </c>
      <c r="J2" s="9">
        <v>65.8926086956522</v>
      </c>
      <c r="K2" s="9">
        <v>70.5469565217391</v>
      </c>
      <c r="L2" s="9">
        <v>59.2017391304348</v>
      </c>
      <c r="M2" s="16">
        <v>64.86</v>
      </c>
    </row>
    <row r="3" spans="1:13">
      <c r="A3" s="5">
        <v>20210401</v>
      </c>
      <c r="B3" s="6">
        <v>61.45</v>
      </c>
      <c r="C3" s="6">
        <v>64.86</v>
      </c>
      <c r="D3" s="6">
        <v>62.44</v>
      </c>
      <c r="E3" s="6">
        <v>393.4</v>
      </c>
      <c r="F3" s="6">
        <v>61.45</v>
      </c>
      <c r="G3" s="6">
        <v>61.45</v>
      </c>
      <c r="H3" s="6">
        <v>62.19</v>
      </c>
      <c r="I3" s="6">
        <v>58.56</v>
      </c>
      <c r="J3" s="6">
        <v>62.82</v>
      </c>
      <c r="K3" s="6">
        <v>67.32</v>
      </c>
      <c r="L3" s="6">
        <v>55.235</v>
      </c>
      <c r="M3" s="14">
        <v>61.17</v>
      </c>
    </row>
    <row r="4" spans="1:13">
      <c r="A4" s="5">
        <v>20210402</v>
      </c>
      <c r="B4" s="6"/>
      <c r="C4" s="6"/>
      <c r="D4" s="6"/>
      <c r="E4" s="6">
        <v>396.5</v>
      </c>
      <c r="F4" s="6"/>
      <c r="G4" s="6"/>
      <c r="H4" s="6"/>
      <c r="I4" s="6"/>
      <c r="J4" s="6"/>
      <c r="K4" s="6"/>
      <c r="L4" s="6"/>
      <c r="M4" s="14"/>
    </row>
    <row r="5" spans="1:13">
      <c r="A5" s="5">
        <v>20210405</v>
      </c>
      <c r="B5" s="6">
        <v>58.65</v>
      </c>
      <c r="C5" s="6">
        <v>62.15</v>
      </c>
      <c r="D5" s="6">
        <v>62.07</v>
      </c>
      <c r="E5" s="6"/>
      <c r="F5" s="6">
        <v>61.95</v>
      </c>
      <c r="G5" s="6">
        <v>61.99</v>
      </c>
      <c r="H5" s="6"/>
      <c r="I5" s="6">
        <v>59.305</v>
      </c>
      <c r="J5" s="6">
        <v>63.6</v>
      </c>
      <c r="K5" s="6">
        <v>68.1</v>
      </c>
      <c r="L5" s="6">
        <v>55.92</v>
      </c>
      <c r="M5" s="14">
        <v>61.93</v>
      </c>
    </row>
    <row r="6" spans="1:13">
      <c r="A6" s="5">
        <v>20210406</v>
      </c>
      <c r="B6" s="6">
        <v>59.33</v>
      </c>
      <c r="C6" s="6">
        <v>62.74</v>
      </c>
      <c r="D6" s="6">
        <v>61.41</v>
      </c>
      <c r="E6" s="6">
        <v>388.5</v>
      </c>
      <c r="F6" s="6">
        <v>61.31</v>
      </c>
      <c r="G6" s="6">
        <v>61.35</v>
      </c>
      <c r="H6" s="6">
        <v>62.365</v>
      </c>
      <c r="I6" s="6">
        <v>58.76</v>
      </c>
      <c r="J6" s="6">
        <v>63.2</v>
      </c>
      <c r="K6" s="6">
        <v>67.7</v>
      </c>
      <c r="L6" s="6">
        <v>55.41</v>
      </c>
      <c r="M6" s="14">
        <v>61.2</v>
      </c>
    </row>
    <row r="7" spans="1:13">
      <c r="A7" s="5">
        <v>20210407</v>
      </c>
      <c r="B7" s="6">
        <v>59.77</v>
      </c>
      <c r="C7" s="6">
        <v>63.16</v>
      </c>
      <c r="D7" s="6">
        <v>60.92</v>
      </c>
      <c r="E7" s="6">
        <v>389.3</v>
      </c>
      <c r="F7" s="6">
        <v>60.85</v>
      </c>
      <c r="G7" s="6">
        <v>60.94</v>
      </c>
      <c r="H7" s="6">
        <v>61.025</v>
      </c>
      <c r="I7" s="6">
        <v>58.37</v>
      </c>
      <c r="J7" s="6">
        <v>62.23</v>
      </c>
      <c r="K7" s="6">
        <v>66.83</v>
      </c>
      <c r="L7" s="6">
        <v>55.325</v>
      </c>
      <c r="M7" s="14">
        <v>60.62</v>
      </c>
    </row>
    <row r="8" spans="1:13">
      <c r="A8" s="5">
        <v>20210408</v>
      </c>
      <c r="B8" s="6">
        <v>59.6</v>
      </c>
      <c r="C8" s="6">
        <v>63.2</v>
      </c>
      <c r="D8" s="6">
        <v>61.31</v>
      </c>
      <c r="E8" s="6">
        <v>384.4</v>
      </c>
      <c r="F8" s="6">
        <v>61.2</v>
      </c>
      <c r="G8" s="6">
        <v>61.3</v>
      </c>
      <c r="H8" s="6">
        <v>62</v>
      </c>
      <c r="I8" s="6">
        <v>58.755</v>
      </c>
      <c r="J8" s="6">
        <v>62.56</v>
      </c>
      <c r="K8" s="6">
        <v>67.16</v>
      </c>
      <c r="L8" s="6">
        <v>55.64</v>
      </c>
      <c r="M8" s="14">
        <v>60.92</v>
      </c>
    </row>
    <row r="9" spans="1:13">
      <c r="A9" s="5">
        <v>20210409</v>
      </c>
      <c r="B9" s="6">
        <v>59.32</v>
      </c>
      <c r="C9" s="6">
        <v>62.95</v>
      </c>
      <c r="D9" s="6">
        <v>61.07</v>
      </c>
      <c r="E9" s="6">
        <v>386.4</v>
      </c>
      <c r="F9" s="6">
        <v>60.9</v>
      </c>
      <c r="G9" s="6">
        <v>60.99</v>
      </c>
      <c r="H9" s="6">
        <v>62.27</v>
      </c>
      <c r="I9" s="6">
        <v>58.515</v>
      </c>
      <c r="J9" s="6">
        <v>62.16</v>
      </c>
      <c r="K9" s="6">
        <v>66.76</v>
      </c>
      <c r="L9" s="6">
        <v>55.445</v>
      </c>
      <c r="M9" s="14">
        <v>60.7</v>
      </c>
    </row>
    <row r="10" spans="1:13">
      <c r="A10" s="5">
        <v>20210412</v>
      </c>
      <c r="B10" s="6">
        <v>59.7</v>
      </c>
      <c r="C10" s="6">
        <v>63.28</v>
      </c>
      <c r="D10" s="6">
        <v>61.26</v>
      </c>
      <c r="E10" s="6">
        <v>387.3</v>
      </c>
      <c r="F10" s="6">
        <v>61.055</v>
      </c>
      <c r="G10" s="6">
        <v>61.1</v>
      </c>
      <c r="H10" s="6">
        <v>62.57</v>
      </c>
      <c r="I10" s="6">
        <v>58.865</v>
      </c>
      <c r="J10" s="6">
        <v>62.54</v>
      </c>
      <c r="K10" s="6">
        <v>67.09</v>
      </c>
      <c r="L10" s="6">
        <v>55.87</v>
      </c>
      <c r="M10" s="14">
        <v>60.86</v>
      </c>
    </row>
    <row r="11" spans="1:13">
      <c r="A11" s="5">
        <v>20210413</v>
      </c>
      <c r="B11" s="6">
        <v>60.18</v>
      </c>
      <c r="C11" s="6">
        <v>63.67</v>
      </c>
      <c r="D11" s="6">
        <v>61.75</v>
      </c>
      <c r="E11" s="6">
        <v>391.1</v>
      </c>
      <c r="F11" s="6">
        <v>61.55</v>
      </c>
      <c r="G11" s="6">
        <v>61.6</v>
      </c>
      <c r="H11" s="6">
        <v>63.09</v>
      </c>
      <c r="I11" s="6">
        <v>59.355</v>
      </c>
      <c r="J11" s="6">
        <v>63.04</v>
      </c>
      <c r="K11" s="6">
        <v>67.39</v>
      </c>
      <c r="L11" s="6">
        <v>56.305</v>
      </c>
      <c r="M11" s="14">
        <v>61.39</v>
      </c>
    </row>
    <row r="12" spans="1:13">
      <c r="A12" s="5">
        <v>20210414</v>
      </c>
      <c r="B12" s="6">
        <v>63.15</v>
      </c>
      <c r="C12" s="6">
        <v>66.58</v>
      </c>
      <c r="D12" s="6">
        <v>62.7</v>
      </c>
      <c r="E12" s="6">
        <v>394</v>
      </c>
      <c r="F12" s="6">
        <v>62.54</v>
      </c>
      <c r="G12" s="6">
        <v>62.54</v>
      </c>
      <c r="H12" s="6">
        <v>65.665</v>
      </c>
      <c r="I12" s="6">
        <v>60.415</v>
      </c>
      <c r="J12" s="6">
        <v>63.9</v>
      </c>
      <c r="K12" s="6">
        <v>68.25</v>
      </c>
      <c r="L12" s="6">
        <v>57.37</v>
      </c>
      <c r="M12" s="14">
        <v>62.31</v>
      </c>
    </row>
    <row r="13" spans="1:13">
      <c r="A13" s="5">
        <v>20210415</v>
      </c>
      <c r="B13" s="6">
        <v>63.46</v>
      </c>
      <c r="C13" s="6">
        <v>66.94</v>
      </c>
      <c r="D13" s="6">
        <v>64.32</v>
      </c>
      <c r="E13" s="6">
        <v>406.3</v>
      </c>
      <c r="F13" s="6">
        <v>64.145</v>
      </c>
      <c r="G13" s="6">
        <v>64.19</v>
      </c>
      <c r="H13" s="6">
        <v>65.535</v>
      </c>
      <c r="I13" s="6">
        <v>62.16</v>
      </c>
      <c r="J13" s="6">
        <v>65.53</v>
      </c>
      <c r="K13" s="6">
        <v>69.88</v>
      </c>
      <c r="L13" s="6">
        <v>59.21</v>
      </c>
      <c r="M13" s="14">
        <v>64.07</v>
      </c>
    </row>
    <row r="14" spans="1:13">
      <c r="A14" s="5">
        <v>20210416</v>
      </c>
      <c r="B14" s="6">
        <v>63.13</v>
      </c>
      <c r="C14" s="6">
        <v>66.77</v>
      </c>
      <c r="D14" s="6">
        <v>65.26</v>
      </c>
      <c r="E14" s="6">
        <v>410.1</v>
      </c>
      <c r="F14" s="6">
        <v>65.11</v>
      </c>
      <c r="G14" s="6">
        <v>65.2</v>
      </c>
      <c r="H14" s="6">
        <v>65.91</v>
      </c>
      <c r="I14" s="6">
        <v>63.655</v>
      </c>
      <c r="J14" s="6">
        <v>66.01</v>
      </c>
      <c r="K14" s="6">
        <v>70.61</v>
      </c>
      <c r="L14" s="6">
        <v>60.905</v>
      </c>
      <c r="M14" s="14">
        <v>66.36</v>
      </c>
    </row>
    <row r="15" spans="1:13">
      <c r="A15" s="5">
        <v>20210419</v>
      </c>
      <c r="B15" s="6">
        <v>63.38</v>
      </c>
      <c r="C15" s="6">
        <v>67.05</v>
      </c>
      <c r="D15" s="6">
        <v>64.97</v>
      </c>
      <c r="E15" s="6">
        <v>412.8</v>
      </c>
      <c r="F15" s="6">
        <v>64.79</v>
      </c>
      <c r="G15" s="6">
        <v>64.89</v>
      </c>
      <c r="H15" s="6">
        <v>66.255</v>
      </c>
      <c r="I15" s="6">
        <v>63.39</v>
      </c>
      <c r="J15" s="6">
        <v>65.71</v>
      </c>
      <c r="K15" s="6">
        <v>70.31</v>
      </c>
      <c r="L15" s="6">
        <v>60.63</v>
      </c>
      <c r="M15" s="14">
        <v>66.03</v>
      </c>
    </row>
    <row r="16" spans="1:13">
      <c r="A16" s="5">
        <v>20210420</v>
      </c>
      <c r="B16" s="6">
        <v>62.44</v>
      </c>
      <c r="C16" s="6">
        <v>66.57</v>
      </c>
      <c r="D16" s="6">
        <v>65.92</v>
      </c>
      <c r="E16" s="6">
        <v>413.8</v>
      </c>
      <c r="F16" s="6">
        <v>65.7</v>
      </c>
      <c r="G16" s="6">
        <v>65.85</v>
      </c>
      <c r="H16" s="6">
        <v>65.065</v>
      </c>
      <c r="I16" s="6">
        <v>64.275</v>
      </c>
      <c r="J16" s="6">
        <v>66.69</v>
      </c>
      <c r="K16" s="6">
        <v>71.24</v>
      </c>
      <c r="L16" s="6">
        <v>61.47</v>
      </c>
      <c r="M16" s="14">
        <v>66.88</v>
      </c>
    </row>
    <row r="17" spans="1:13">
      <c r="A17" s="5">
        <v>20210421</v>
      </c>
      <c r="B17" s="6">
        <v>61.35</v>
      </c>
      <c r="C17" s="6">
        <v>65.32</v>
      </c>
      <c r="D17" s="6">
        <v>63.85</v>
      </c>
      <c r="E17" s="6">
        <v>405.4</v>
      </c>
      <c r="F17" s="6">
        <v>63.69</v>
      </c>
      <c r="G17" s="6">
        <v>63.69</v>
      </c>
      <c r="H17" s="6">
        <v>65.33</v>
      </c>
      <c r="I17" s="6">
        <v>62.33</v>
      </c>
      <c r="J17" s="6">
        <v>64.95</v>
      </c>
      <c r="K17" s="6">
        <v>69.5</v>
      </c>
      <c r="L17" s="6">
        <v>59.62</v>
      </c>
      <c r="M17" s="14">
        <v>64.88</v>
      </c>
    </row>
    <row r="18" spans="1:13">
      <c r="A18" s="5">
        <v>20210422</v>
      </c>
      <c r="B18" s="6">
        <v>61.43</v>
      </c>
      <c r="C18" s="6">
        <v>65.4</v>
      </c>
      <c r="D18" s="6">
        <v>62.65</v>
      </c>
      <c r="E18" s="6">
        <v>396.9</v>
      </c>
      <c r="F18" s="6">
        <v>62.21</v>
      </c>
      <c r="G18" s="6">
        <v>62.4</v>
      </c>
      <c r="H18" s="6">
        <v>65.165</v>
      </c>
      <c r="I18" s="6">
        <v>60.905</v>
      </c>
      <c r="J18" s="6">
        <v>63.74</v>
      </c>
      <c r="K18" s="6">
        <v>68.24</v>
      </c>
      <c r="L18" s="6">
        <v>58.145</v>
      </c>
      <c r="M18" s="14">
        <v>63.34</v>
      </c>
    </row>
    <row r="19" spans="1:13">
      <c r="A19" s="5">
        <v>20210423</v>
      </c>
      <c r="B19" s="6">
        <v>62.14</v>
      </c>
      <c r="C19" s="6">
        <v>66.11</v>
      </c>
      <c r="D19" s="6">
        <v>63.22</v>
      </c>
      <c r="E19" s="6">
        <v>397.2</v>
      </c>
      <c r="F19" s="6">
        <v>62.89</v>
      </c>
      <c r="G19" s="6">
        <v>63.09</v>
      </c>
      <c r="H19" s="6">
        <v>65.565</v>
      </c>
      <c r="I19" s="6">
        <v>61.61</v>
      </c>
      <c r="J19" s="6">
        <v>64.43</v>
      </c>
      <c r="K19" s="6">
        <v>68.88</v>
      </c>
      <c r="L19" s="6">
        <v>58.84</v>
      </c>
      <c r="M19" s="14">
        <v>63.96</v>
      </c>
    </row>
    <row r="20" spans="1:13">
      <c r="A20" s="5">
        <v>20210426</v>
      </c>
      <c r="B20" s="6">
        <v>61.91</v>
      </c>
      <c r="C20" s="6">
        <v>65.65</v>
      </c>
      <c r="D20" s="6">
        <v>62.66</v>
      </c>
      <c r="E20" s="6">
        <v>400.1</v>
      </c>
      <c r="F20" s="6">
        <v>62.35</v>
      </c>
      <c r="G20" s="6">
        <v>62.5</v>
      </c>
      <c r="H20" s="6">
        <v>65.56</v>
      </c>
      <c r="I20" s="6">
        <v>61.135</v>
      </c>
      <c r="J20" s="6">
        <v>64.24</v>
      </c>
      <c r="K20" s="6">
        <v>68.69</v>
      </c>
      <c r="L20" s="6">
        <v>58.265</v>
      </c>
      <c r="M20" s="14">
        <v>63.52</v>
      </c>
    </row>
    <row r="21" spans="1:13">
      <c r="A21" s="5">
        <v>20210427</v>
      </c>
      <c r="B21" s="6">
        <v>62.94</v>
      </c>
      <c r="C21" s="6">
        <v>66.42</v>
      </c>
      <c r="D21" s="6">
        <v>63.37</v>
      </c>
      <c r="E21" s="6">
        <v>398.8</v>
      </c>
      <c r="F21" s="6">
        <v>63.24</v>
      </c>
      <c r="G21" s="6">
        <v>63.29</v>
      </c>
      <c r="H21" s="6">
        <v>65.68</v>
      </c>
      <c r="I21" s="6">
        <v>62.345</v>
      </c>
      <c r="J21" s="6">
        <v>65.23</v>
      </c>
      <c r="K21" s="6">
        <v>69.68</v>
      </c>
      <c r="L21" s="6">
        <v>59.635</v>
      </c>
      <c r="M21" s="14">
        <v>64.62</v>
      </c>
    </row>
    <row r="22" spans="1:13">
      <c r="A22" s="5">
        <v>20210428</v>
      </c>
      <c r="B22" s="6">
        <v>63.86</v>
      </c>
      <c r="C22" s="6">
        <v>67.27</v>
      </c>
      <c r="D22" s="6">
        <v>63.71</v>
      </c>
      <c r="E22" s="6">
        <v>403.8</v>
      </c>
      <c r="F22" s="6">
        <v>63.54</v>
      </c>
      <c r="G22" s="6">
        <v>63.54</v>
      </c>
      <c r="H22" s="6">
        <v>67.5</v>
      </c>
      <c r="I22" s="6">
        <v>62.605</v>
      </c>
      <c r="J22" s="6">
        <v>65.28</v>
      </c>
      <c r="K22" s="6">
        <v>69.73</v>
      </c>
      <c r="L22" s="6">
        <v>60</v>
      </c>
      <c r="M22" s="14">
        <v>64.95</v>
      </c>
    </row>
    <row r="23" spans="1:13">
      <c r="A23" s="5">
        <v>20210429</v>
      </c>
      <c r="B23" s="6">
        <v>65.01</v>
      </c>
      <c r="C23" s="6">
        <v>68.56</v>
      </c>
      <c r="D23" s="6">
        <v>64.96</v>
      </c>
      <c r="E23" s="6">
        <v>412.6</v>
      </c>
      <c r="F23" s="6">
        <v>65.05</v>
      </c>
      <c r="G23" s="6">
        <v>65.09</v>
      </c>
      <c r="H23" s="6">
        <v>68.15</v>
      </c>
      <c r="I23" s="6">
        <v>63.915</v>
      </c>
      <c r="J23" s="6">
        <v>66.67</v>
      </c>
      <c r="K23" s="6">
        <v>71.07</v>
      </c>
      <c r="L23" s="6">
        <v>61.29</v>
      </c>
      <c r="M23" s="14">
        <v>66.27</v>
      </c>
    </row>
    <row r="24" spans="1:13">
      <c r="A24" s="5">
        <v>20210430</v>
      </c>
      <c r="B24" s="6">
        <v>63.58</v>
      </c>
      <c r="C24" s="6">
        <v>67.25</v>
      </c>
      <c r="D24" s="6">
        <v>65.22</v>
      </c>
      <c r="E24" s="6">
        <v>419.4</v>
      </c>
      <c r="F24" s="6">
        <v>65.26</v>
      </c>
      <c r="G24" s="6">
        <v>65.3</v>
      </c>
      <c r="H24" s="6">
        <v>67.025</v>
      </c>
      <c r="I24" s="6">
        <v>64.21</v>
      </c>
      <c r="J24" s="6">
        <v>67.19</v>
      </c>
      <c r="K24" s="6">
        <v>71.59</v>
      </c>
      <c r="L24" s="6">
        <v>61.56</v>
      </c>
      <c r="M24" s="6">
        <v>66.51</v>
      </c>
    </row>
    <row r="25" spans="1:13">
      <c r="A25" s="7" t="s">
        <v>17</v>
      </c>
      <c r="B25" s="8">
        <f t="shared" ref="B25:M25" si="0">AVERAGE(B20:B24)</f>
        <v>63.46</v>
      </c>
      <c r="C25" s="8">
        <f t="shared" si="0"/>
        <v>67.03</v>
      </c>
      <c r="D25" s="8">
        <f t="shared" si="0"/>
        <v>63.984</v>
      </c>
      <c r="E25" s="8">
        <f t="shared" si="0"/>
        <v>406.94</v>
      </c>
      <c r="F25" s="8">
        <f t="shared" si="0"/>
        <v>63.888</v>
      </c>
      <c r="G25" s="8">
        <f t="shared" si="0"/>
        <v>63.944</v>
      </c>
      <c r="H25" s="8">
        <f t="shared" si="0"/>
        <v>66.783</v>
      </c>
      <c r="I25" s="8">
        <f t="shared" si="0"/>
        <v>62.842</v>
      </c>
      <c r="J25" s="8">
        <f t="shared" si="0"/>
        <v>65.722</v>
      </c>
      <c r="K25" s="8">
        <f t="shared" si="0"/>
        <v>70.152</v>
      </c>
      <c r="L25" s="8">
        <f t="shared" si="0"/>
        <v>60.15</v>
      </c>
      <c r="M25" s="15">
        <f t="shared" si="0"/>
        <v>65.174</v>
      </c>
    </row>
    <row r="26" ht="22.5" spans="1:13">
      <c r="A26" s="3" t="s">
        <v>20</v>
      </c>
      <c r="B26" s="9">
        <f t="shared" ref="B26:M26" si="1">AVERAGE(B3:B24)</f>
        <v>61.7038095238095</v>
      </c>
      <c r="C26" s="9">
        <f t="shared" si="1"/>
        <v>65.3285714285714</v>
      </c>
      <c r="D26" s="9">
        <f t="shared" si="1"/>
        <v>63.0971428571429</v>
      </c>
      <c r="E26" s="9">
        <f t="shared" si="1"/>
        <v>399.433333333333</v>
      </c>
      <c r="F26" s="9">
        <f t="shared" si="1"/>
        <v>62.8942857142857</v>
      </c>
      <c r="G26" s="9">
        <f t="shared" si="1"/>
        <v>62.9661904761905</v>
      </c>
      <c r="H26" s="9">
        <f t="shared" si="1"/>
        <v>64.69575</v>
      </c>
      <c r="I26" s="9">
        <f t="shared" si="1"/>
        <v>61.1159523809524</v>
      </c>
      <c r="J26" s="9">
        <f t="shared" si="1"/>
        <v>64.3676190476191</v>
      </c>
      <c r="K26" s="9">
        <f t="shared" si="1"/>
        <v>68.8580952380952</v>
      </c>
      <c r="L26" s="9">
        <f t="shared" si="1"/>
        <v>58.1947619047619</v>
      </c>
      <c r="M26" s="16">
        <f t="shared" si="1"/>
        <v>63.4519047619048</v>
      </c>
    </row>
    <row r="27" ht="23.25" spans="1:13">
      <c r="A27" s="10" t="s">
        <v>19</v>
      </c>
      <c r="B27" s="18">
        <f t="shared" ref="B27:M27" si="2">(B26-B2)/B2</f>
        <v>-0.0104812239073368</v>
      </c>
      <c r="C27" s="18">
        <f t="shared" si="2"/>
        <v>-0.00568630324114572</v>
      </c>
      <c r="D27" s="18">
        <f t="shared" si="2"/>
        <v>-0.0206869027294298</v>
      </c>
      <c r="E27" s="18">
        <f t="shared" si="2"/>
        <v>-0.0127167671470382</v>
      </c>
      <c r="F27" s="18">
        <f t="shared" si="2"/>
        <v>-0.0235981914449444</v>
      </c>
      <c r="G27" s="18">
        <f t="shared" si="2"/>
        <v>-0.0232730295115219</v>
      </c>
      <c r="H27" s="18">
        <f t="shared" si="2"/>
        <v>-0.0141763283423878</v>
      </c>
      <c r="I27" s="18">
        <f t="shared" si="2"/>
        <v>-0.0194606419925817</v>
      </c>
      <c r="J27" s="18">
        <f t="shared" si="2"/>
        <v>-0.0231435615954561</v>
      </c>
      <c r="K27" s="18">
        <f t="shared" si="2"/>
        <v>-0.023939534274926</v>
      </c>
      <c r="L27" s="18">
        <f t="shared" si="2"/>
        <v>-0.0170092507494463</v>
      </c>
      <c r="M27" s="19">
        <f t="shared" si="2"/>
        <v>-0.021709763152871</v>
      </c>
    </row>
    <row r="28" ht="15"/>
  </sheetData>
  <pageMargins left="0.75" right="0.75" top="1" bottom="1" header="0.5" footer="0.5"/>
  <pageSetup paperSize="9" orientation="portrait"/>
  <headerFooter/>
  <legacy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4"/>
  <dimension ref="A1:M29"/>
  <sheetViews>
    <sheetView workbookViewId="0">
      <selection activeCell="A1" sqref="A1:N1"/>
    </sheetView>
  </sheetViews>
  <sheetFormatPr defaultColWidth="9" defaultRowHeight="14.25"/>
  <sheetData>
    <row r="1" ht="15" spans="1:1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2" t="s">
        <v>15</v>
      </c>
    </row>
    <row r="2" ht="22.5" spans="1:13">
      <c r="A2" s="3" t="s">
        <v>54</v>
      </c>
      <c r="B2" s="9">
        <v>59.0610526315789</v>
      </c>
      <c r="C2" s="9">
        <v>62.2815</v>
      </c>
      <c r="D2" s="9">
        <v>60.8525</v>
      </c>
      <c r="E2" s="9">
        <v>377.4</v>
      </c>
      <c r="F2" s="9">
        <v>60.855</v>
      </c>
      <c r="G2" s="9">
        <v>60.9226315789474</v>
      </c>
      <c r="H2" s="9">
        <v>62.222</v>
      </c>
      <c r="I2" s="9">
        <v>59.8863157894737</v>
      </c>
      <c r="J2" s="9">
        <v>61.4368421052632</v>
      </c>
      <c r="K2" s="9">
        <v>66.4052631578947</v>
      </c>
      <c r="L2" s="9">
        <v>57.9736842105263</v>
      </c>
      <c r="M2" s="16">
        <v>61.4578947368421</v>
      </c>
    </row>
    <row r="3" spans="1:13">
      <c r="A3" s="5">
        <v>20210301</v>
      </c>
      <c r="B3" s="6">
        <v>60.64</v>
      </c>
      <c r="C3" s="6">
        <v>63.69</v>
      </c>
      <c r="D3" s="6">
        <v>64.23</v>
      </c>
      <c r="E3" s="6">
        <v>407.2</v>
      </c>
      <c r="F3" s="6">
        <v>64.19</v>
      </c>
      <c r="G3" s="6">
        <v>64.2</v>
      </c>
      <c r="H3" s="6">
        <v>65.625</v>
      </c>
      <c r="I3" s="6">
        <v>62.855</v>
      </c>
      <c r="J3" s="6">
        <v>66.03</v>
      </c>
      <c r="K3" s="6">
        <v>70.73</v>
      </c>
      <c r="L3" s="6">
        <v>60.145</v>
      </c>
      <c r="M3" s="14">
        <v>65.03</v>
      </c>
    </row>
    <row r="4" spans="1:13">
      <c r="A4" s="5">
        <v>20210302</v>
      </c>
      <c r="B4" s="6">
        <v>59.75</v>
      </c>
      <c r="C4" s="6">
        <v>62.7</v>
      </c>
      <c r="D4" s="6">
        <v>61.45</v>
      </c>
      <c r="E4" s="6">
        <v>397.2</v>
      </c>
      <c r="F4" s="6">
        <v>61.355</v>
      </c>
      <c r="G4" s="6">
        <v>61.36</v>
      </c>
      <c r="H4" s="6">
        <v>64.055</v>
      </c>
      <c r="I4" s="6">
        <v>60.065</v>
      </c>
      <c r="J4" s="6">
        <v>63.42</v>
      </c>
      <c r="K4" s="6">
        <v>68.07</v>
      </c>
      <c r="L4" s="6">
        <v>57.23</v>
      </c>
      <c r="M4" s="14">
        <v>62.42</v>
      </c>
    </row>
    <row r="5" spans="1:13">
      <c r="A5" s="5">
        <v>20210303</v>
      </c>
      <c r="B5" s="6">
        <v>61.28</v>
      </c>
      <c r="C5" s="6">
        <v>64.07</v>
      </c>
      <c r="D5" s="6">
        <v>61.36</v>
      </c>
      <c r="E5" s="6">
        <v>392.9</v>
      </c>
      <c r="F5" s="6">
        <v>61.39</v>
      </c>
      <c r="G5" s="6">
        <v>61.39</v>
      </c>
      <c r="H5" s="6">
        <v>64.555</v>
      </c>
      <c r="I5" s="6">
        <v>60.145</v>
      </c>
      <c r="J5" s="6">
        <v>63.44</v>
      </c>
      <c r="K5" s="6">
        <v>68.09</v>
      </c>
      <c r="L5" s="6">
        <v>57.255</v>
      </c>
      <c r="M5" s="14">
        <v>62.58</v>
      </c>
    </row>
    <row r="6" spans="1:13">
      <c r="A6" s="5">
        <v>20210304</v>
      </c>
      <c r="B6" s="6">
        <v>63.83</v>
      </c>
      <c r="C6" s="6">
        <v>66.74</v>
      </c>
      <c r="D6" s="6">
        <v>63.04</v>
      </c>
      <c r="E6" s="6">
        <v>396.5</v>
      </c>
      <c r="F6" s="6">
        <v>63.04</v>
      </c>
      <c r="G6" s="6">
        <v>63.04</v>
      </c>
      <c r="H6" s="6">
        <v>67.475</v>
      </c>
      <c r="I6" s="6">
        <v>61.87</v>
      </c>
      <c r="J6" s="6">
        <v>64.99</v>
      </c>
      <c r="K6" s="6">
        <v>69.59</v>
      </c>
      <c r="L6" s="6">
        <v>59.22</v>
      </c>
      <c r="M6" s="14">
        <v>64.19</v>
      </c>
    </row>
    <row r="7" spans="1:13">
      <c r="A7" s="5">
        <v>20210305</v>
      </c>
      <c r="B7" s="6">
        <v>66.09</v>
      </c>
      <c r="C7" s="6">
        <v>69.36</v>
      </c>
      <c r="D7" s="6">
        <v>66.41</v>
      </c>
      <c r="E7" s="6">
        <v>411.7</v>
      </c>
      <c r="F7" s="6">
        <v>66.42</v>
      </c>
      <c r="G7" s="6">
        <v>66.42</v>
      </c>
      <c r="H7" s="6">
        <v>69.005</v>
      </c>
      <c r="I7" s="6">
        <v>65.37</v>
      </c>
      <c r="J7" s="6">
        <v>68.16</v>
      </c>
      <c r="K7" s="6">
        <v>72.71</v>
      </c>
      <c r="L7" s="6">
        <v>62.785</v>
      </c>
      <c r="M7" s="14">
        <v>67.44</v>
      </c>
    </row>
    <row r="8" spans="1:13">
      <c r="A8" s="5">
        <v>20210308</v>
      </c>
      <c r="B8" s="6">
        <v>65.05</v>
      </c>
      <c r="C8" s="6">
        <v>68.24</v>
      </c>
      <c r="D8" s="6">
        <v>68.35</v>
      </c>
      <c r="E8" s="6">
        <v>433.6</v>
      </c>
      <c r="F8" s="6">
        <v>68.3</v>
      </c>
      <c r="G8" s="6">
        <v>68.35</v>
      </c>
      <c r="H8" s="6">
        <v>68.735</v>
      </c>
      <c r="I8" s="6">
        <v>67.18</v>
      </c>
      <c r="J8" s="6">
        <v>70.45</v>
      </c>
      <c r="K8" s="6">
        <v>75</v>
      </c>
      <c r="L8" s="6">
        <v>64.57</v>
      </c>
      <c r="M8" s="14">
        <v>69.25</v>
      </c>
    </row>
    <row r="9" spans="1:13">
      <c r="A9" s="5">
        <v>20210309</v>
      </c>
      <c r="B9" s="6">
        <v>64.01</v>
      </c>
      <c r="C9" s="6">
        <v>67.52</v>
      </c>
      <c r="D9" s="6">
        <v>66.42</v>
      </c>
      <c r="E9" s="6">
        <v>428.1</v>
      </c>
      <c r="F9" s="6">
        <v>66.36</v>
      </c>
      <c r="G9" s="6">
        <v>66.41</v>
      </c>
      <c r="H9" s="6">
        <v>67.255</v>
      </c>
      <c r="I9" s="6">
        <v>64.885</v>
      </c>
      <c r="J9" s="6">
        <v>68.15</v>
      </c>
      <c r="K9" s="6">
        <v>72.65</v>
      </c>
      <c r="L9" s="6">
        <v>62.065</v>
      </c>
      <c r="M9" s="14">
        <v>67.04</v>
      </c>
    </row>
    <row r="10" spans="1:13">
      <c r="A10" s="5">
        <v>20210310</v>
      </c>
      <c r="B10" s="6">
        <v>64.44</v>
      </c>
      <c r="C10" s="6">
        <v>67.9</v>
      </c>
      <c r="D10" s="6">
        <v>65.28</v>
      </c>
      <c r="E10" s="6">
        <v>417.9</v>
      </c>
      <c r="F10" s="6">
        <v>65.25</v>
      </c>
      <c r="G10" s="6">
        <v>65.29</v>
      </c>
      <c r="H10" s="6">
        <v>66.76</v>
      </c>
      <c r="I10" s="6">
        <v>63.445</v>
      </c>
      <c r="J10" s="6">
        <v>67.11</v>
      </c>
      <c r="K10" s="6">
        <v>71.66</v>
      </c>
      <c r="L10" s="6">
        <v>60.505</v>
      </c>
      <c r="M10" s="14">
        <v>65.61</v>
      </c>
    </row>
    <row r="11" spans="1:13">
      <c r="A11" s="5">
        <v>20210311</v>
      </c>
      <c r="B11" s="6">
        <v>66.02</v>
      </c>
      <c r="C11" s="6">
        <v>69.63</v>
      </c>
      <c r="D11" s="6">
        <v>66.85</v>
      </c>
      <c r="E11" s="6">
        <v>416.3</v>
      </c>
      <c r="F11" s="6">
        <v>66.79</v>
      </c>
      <c r="G11" s="6">
        <v>66.82</v>
      </c>
      <c r="H11" s="6">
        <v>69.16</v>
      </c>
      <c r="I11" s="6">
        <v>64.985</v>
      </c>
      <c r="J11" s="6">
        <v>68.46</v>
      </c>
      <c r="K11" s="6">
        <v>73.06</v>
      </c>
      <c r="L11" s="6">
        <v>62.15</v>
      </c>
      <c r="M11" s="14">
        <v>67.19</v>
      </c>
    </row>
    <row r="12" spans="1:13">
      <c r="A12" s="5">
        <v>20210312</v>
      </c>
      <c r="B12" s="6">
        <v>65.61</v>
      </c>
      <c r="C12" s="6">
        <v>69.22</v>
      </c>
      <c r="D12" s="6">
        <v>67.91</v>
      </c>
      <c r="E12" s="6">
        <v>426.1</v>
      </c>
      <c r="F12" s="6">
        <v>67.895</v>
      </c>
      <c r="G12" s="6">
        <v>67.93</v>
      </c>
      <c r="H12" s="6">
        <v>69.285</v>
      </c>
      <c r="I12" s="6">
        <v>65.885</v>
      </c>
      <c r="J12" s="6">
        <v>69.21</v>
      </c>
      <c r="K12" s="6">
        <v>73.96</v>
      </c>
      <c r="L12" s="6">
        <v>62.965</v>
      </c>
      <c r="M12" s="14">
        <v>68.19</v>
      </c>
    </row>
    <row r="13" spans="1:13">
      <c r="A13" s="5">
        <v>20210315</v>
      </c>
      <c r="B13" s="6">
        <v>65.39</v>
      </c>
      <c r="C13" s="6">
        <v>68.88</v>
      </c>
      <c r="D13" s="6">
        <v>68.24</v>
      </c>
      <c r="E13" s="6">
        <v>426.6</v>
      </c>
      <c r="F13" s="6">
        <v>68.2</v>
      </c>
      <c r="G13" s="6">
        <v>68.21</v>
      </c>
      <c r="H13" s="6">
        <v>68.51</v>
      </c>
      <c r="I13" s="6">
        <v>66.19</v>
      </c>
      <c r="J13" s="6">
        <v>69.65</v>
      </c>
      <c r="K13" s="6">
        <v>74.4</v>
      </c>
      <c r="L13" s="6">
        <v>63.275</v>
      </c>
      <c r="M13" s="14">
        <v>68.62</v>
      </c>
    </row>
    <row r="14" spans="1:13">
      <c r="A14" s="5">
        <v>20210316</v>
      </c>
      <c r="B14" s="6">
        <v>64.8</v>
      </c>
      <c r="C14" s="6">
        <v>68.39</v>
      </c>
      <c r="D14" s="6">
        <v>66.62</v>
      </c>
      <c r="E14" s="6">
        <v>417.6</v>
      </c>
      <c r="F14" s="6">
        <v>66.505</v>
      </c>
      <c r="G14" s="6">
        <v>66.54</v>
      </c>
      <c r="H14" s="6">
        <v>67.965</v>
      </c>
      <c r="I14" s="6">
        <v>64.69</v>
      </c>
      <c r="J14" s="6">
        <v>68.17</v>
      </c>
      <c r="K14" s="6">
        <v>72.82</v>
      </c>
      <c r="L14" s="6">
        <v>61.64</v>
      </c>
      <c r="M14" s="14">
        <v>67.34</v>
      </c>
    </row>
    <row r="15" spans="1:13">
      <c r="A15" s="5">
        <v>20210317</v>
      </c>
      <c r="B15" s="6">
        <v>64.6</v>
      </c>
      <c r="C15" s="6">
        <v>68</v>
      </c>
      <c r="D15" s="6">
        <v>66.63</v>
      </c>
      <c r="E15" s="6">
        <v>415.5</v>
      </c>
      <c r="F15" s="6">
        <v>66.6</v>
      </c>
      <c r="G15" s="6">
        <v>66.64</v>
      </c>
      <c r="H15" s="6">
        <v>67.45</v>
      </c>
      <c r="I15" s="6">
        <v>64.77</v>
      </c>
      <c r="J15" s="6">
        <v>68.4</v>
      </c>
      <c r="K15" s="6">
        <v>73.1</v>
      </c>
      <c r="L15" s="6">
        <v>61.69</v>
      </c>
      <c r="M15" s="14">
        <v>67.38</v>
      </c>
    </row>
    <row r="16" spans="1:13">
      <c r="A16" s="5">
        <v>20210318</v>
      </c>
      <c r="B16" s="6">
        <v>60</v>
      </c>
      <c r="C16" s="6">
        <v>63.28</v>
      </c>
      <c r="D16" s="6">
        <v>65.24</v>
      </c>
      <c r="E16" s="6">
        <v>412.6</v>
      </c>
      <c r="F16" s="6">
        <v>65.25</v>
      </c>
      <c r="G16" s="6">
        <v>65.3</v>
      </c>
      <c r="H16" s="6">
        <v>64.92</v>
      </c>
      <c r="I16" s="6">
        <v>63.015</v>
      </c>
      <c r="J16" s="6">
        <v>66.99</v>
      </c>
      <c r="K16" s="6">
        <v>71.69</v>
      </c>
      <c r="L16" s="6">
        <v>59.75</v>
      </c>
      <c r="M16" s="14">
        <v>65.51</v>
      </c>
    </row>
    <row r="17" spans="1:13">
      <c r="A17" s="5">
        <v>20210319</v>
      </c>
      <c r="B17" s="6">
        <v>61.42</v>
      </c>
      <c r="C17" s="6">
        <v>64.53</v>
      </c>
      <c r="D17" s="6">
        <v>62.45</v>
      </c>
      <c r="E17" s="6">
        <v>395.9</v>
      </c>
      <c r="F17" s="6">
        <v>62.25</v>
      </c>
      <c r="G17" s="6">
        <v>62.4</v>
      </c>
      <c r="H17" s="6">
        <v>63.72</v>
      </c>
      <c r="I17" s="6">
        <v>59.72</v>
      </c>
      <c r="J17" s="6">
        <v>63.62</v>
      </c>
      <c r="K17" s="6">
        <v>68.32</v>
      </c>
      <c r="L17" s="6">
        <v>56.38</v>
      </c>
      <c r="M17" s="14">
        <v>62.35</v>
      </c>
    </row>
    <row r="18" spans="1:13">
      <c r="A18" s="5">
        <v>20210322</v>
      </c>
      <c r="B18" s="6">
        <v>61.55</v>
      </c>
      <c r="C18" s="6">
        <v>64.62</v>
      </c>
      <c r="D18" s="6">
        <v>63.28</v>
      </c>
      <c r="E18" s="6">
        <v>386.1</v>
      </c>
      <c r="F18" s="6">
        <v>63.16</v>
      </c>
      <c r="G18" s="6">
        <v>63.35</v>
      </c>
      <c r="H18" s="6">
        <v>63.805</v>
      </c>
      <c r="I18" s="6">
        <v>60.46</v>
      </c>
      <c r="J18" s="6">
        <v>64.18</v>
      </c>
      <c r="K18" s="6">
        <v>68.88</v>
      </c>
      <c r="L18" s="6">
        <v>56.965</v>
      </c>
      <c r="M18" s="14">
        <v>63.11</v>
      </c>
    </row>
    <row r="19" spans="1:13">
      <c r="A19" s="5">
        <v>20210323</v>
      </c>
      <c r="B19" s="6">
        <v>57.76</v>
      </c>
      <c r="C19" s="6">
        <v>60.79</v>
      </c>
      <c r="D19" s="6">
        <v>63.02</v>
      </c>
      <c r="E19" s="6">
        <v>392.2</v>
      </c>
      <c r="F19" s="6">
        <v>62.955</v>
      </c>
      <c r="G19" s="6">
        <v>63</v>
      </c>
      <c r="H19" s="6">
        <v>61.885</v>
      </c>
      <c r="I19" s="6">
        <v>59.92</v>
      </c>
      <c r="J19" s="6">
        <v>63.83</v>
      </c>
      <c r="K19" s="6">
        <v>68.58</v>
      </c>
      <c r="L19" s="6">
        <v>56.215</v>
      </c>
      <c r="M19" s="14">
        <v>62.89</v>
      </c>
    </row>
    <row r="20" spans="1:13">
      <c r="A20" s="5">
        <v>20210324</v>
      </c>
      <c r="B20" s="6">
        <v>61.18</v>
      </c>
      <c r="C20" s="6">
        <v>64.41</v>
      </c>
      <c r="D20" s="6">
        <v>61.1</v>
      </c>
      <c r="E20" s="6">
        <v>380.7</v>
      </c>
      <c r="F20" s="6">
        <v>60.95</v>
      </c>
      <c r="G20" s="6">
        <v>60.96</v>
      </c>
      <c r="H20" s="6">
        <v>63.635</v>
      </c>
      <c r="I20" s="6">
        <v>57.875</v>
      </c>
      <c r="J20" s="6">
        <v>61.82</v>
      </c>
      <c r="K20" s="6">
        <v>66.57</v>
      </c>
      <c r="L20" s="6">
        <v>54.1</v>
      </c>
      <c r="M20" s="14">
        <v>60.81</v>
      </c>
    </row>
    <row r="21" spans="1:13">
      <c r="A21" s="5">
        <v>20210325</v>
      </c>
      <c r="B21" s="6">
        <v>58.56</v>
      </c>
      <c r="C21" s="6">
        <v>61.95</v>
      </c>
      <c r="D21" s="6">
        <v>62.21</v>
      </c>
      <c r="E21" s="6">
        <v>387</v>
      </c>
      <c r="F21" s="6">
        <v>62.4</v>
      </c>
      <c r="G21" s="6">
        <v>62.4</v>
      </c>
      <c r="H21" s="6">
        <v>61.255</v>
      </c>
      <c r="I21" s="6">
        <v>59.395</v>
      </c>
      <c r="J21" s="6">
        <v>63.3</v>
      </c>
      <c r="K21" s="6">
        <v>68</v>
      </c>
      <c r="L21" s="6">
        <v>55.79</v>
      </c>
      <c r="M21" s="14">
        <v>62.33</v>
      </c>
    </row>
    <row r="22" spans="1:13">
      <c r="A22" s="5">
        <v>20210326</v>
      </c>
      <c r="B22" s="6">
        <v>60.97</v>
      </c>
      <c r="C22" s="6">
        <v>64.57</v>
      </c>
      <c r="D22" s="6">
        <v>62.24</v>
      </c>
      <c r="E22" s="6">
        <v>380.6</v>
      </c>
      <c r="F22" s="6">
        <v>62.05</v>
      </c>
      <c r="G22" s="6">
        <v>62.2</v>
      </c>
      <c r="H22" s="6">
        <v>63.8</v>
      </c>
      <c r="I22" s="6">
        <v>59.33</v>
      </c>
      <c r="J22" s="6">
        <v>63.15</v>
      </c>
      <c r="K22" s="6">
        <v>67.9</v>
      </c>
      <c r="L22" s="6">
        <v>55.755</v>
      </c>
      <c r="M22" s="14">
        <v>62.24</v>
      </c>
    </row>
    <row r="23" spans="1:13">
      <c r="A23" s="5">
        <v>20210329</v>
      </c>
      <c r="B23" s="6">
        <v>61.56</v>
      </c>
      <c r="C23" s="6">
        <v>64.98</v>
      </c>
      <c r="D23" s="6">
        <v>62.9</v>
      </c>
      <c r="E23" s="6">
        <v>391.7</v>
      </c>
      <c r="F23" s="6">
        <v>63.05</v>
      </c>
      <c r="G23" s="6">
        <v>63.35</v>
      </c>
      <c r="H23" s="6">
        <v>63.265</v>
      </c>
      <c r="I23" s="6">
        <v>60.21</v>
      </c>
      <c r="J23" s="6">
        <v>63.97</v>
      </c>
      <c r="K23" s="6">
        <v>68.67</v>
      </c>
      <c r="L23" s="6">
        <v>56.66</v>
      </c>
      <c r="M23" s="14">
        <v>63.09</v>
      </c>
    </row>
    <row r="24" spans="1:13">
      <c r="A24" s="5">
        <v>20210330</v>
      </c>
      <c r="B24" s="6">
        <v>60.55</v>
      </c>
      <c r="C24" s="6">
        <v>64.14</v>
      </c>
      <c r="D24" s="6">
        <v>63.48</v>
      </c>
      <c r="E24" s="6">
        <v>395.3</v>
      </c>
      <c r="F24" s="6">
        <v>63.86</v>
      </c>
      <c r="G24" s="6">
        <v>63.86</v>
      </c>
      <c r="H24" s="6">
        <v>63.535</v>
      </c>
      <c r="I24" s="6">
        <v>60.845</v>
      </c>
      <c r="J24" s="6">
        <v>64.67</v>
      </c>
      <c r="K24" s="6">
        <v>69.27</v>
      </c>
      <c r="L24" s="6">
        <v>57.36</v>
      </c>
      <c r="M24" s="14">
        <v>63.8</v>
      </c>
    </row>
    <row r="25" spans="1:13">
      <c r="A25" s="5">
        <v>20210331</v>
      </c>
      <c r="B25" s="6">
        <v>59.16</v>
      </c>
      <c r="C25" s="6">
        <v>63.54</v>
      </c>
      <c r="D25" s="6">
        <v>63.18</v>
      </c>
      <c r="E25" s="6">
        <v>396</v>
      </c>
      <c r="F25" s="6">
        <v>63.31</v>
      </c>
      <c r="G25" s="6">
        <v>63.31</v>
      </c>
      <c r="H25" s="6">
        <v>63.745</v>
      </c>
      <c r="I25" s="6">
        <v>60.46</v>
      </c>
      <c r="J25" s="6">
        <v>64.36</v>
      </c>
      <c r="K25" s="6">
        <v>68.86</v>
      </c>
      <c r="L25" s="6">
        <v>57.17</v>
      </c>
      <c r="M25" s="14">
        <v>63.37</v>
      </c>
    </row>
    <row r="26" spans="1:13">
      <c r="A26" s="7" t="s">
        <v>17</v>
      </c>
      <c r="B26" s="8">
        <f t="shared" ref="B26:M26" si="0">AVERAGE(B23:B25)</f>
        <v>60.4233333333333</v>
      </c>
      <c r="C26" s="8">
        <f t="shared" si="0"/>
        <v>64.22</v>
      </c>
      <c r="D26" s="8">
        <f t="shared" si="0"/>
        <v>63.1866666666667</v>
      </c>
      <c r="E26" s="8">
        <f t="shared" si="0"/>
        <v>394.333333333333</v>
      </c>
      <c r="F26" s="8">
        <f t="shared" si="0"/>
        <v>63.4066666666667</v>
      </c>
      <c r="G26" s="8">
        <f t="shared" si="0"/>
        <v>63.5066666666667</v>
      </c>
      <c r="H26" s="8">
        <f t="shared" si="0"/>
        <v>63.515</v>
      </c>
      <c r="I26" s="8">
        <f t="shared" si="0"/>
        <v>60.505</v>
      </c>
      <c r="J26" s="8">
        <f t="shared" si="0"/>
        <v>64.3333333333333</v>
      </c>
      <c r="K26" s="8">
        <f t="shared" si="0"/>
        <v>68.9333333333333</v>
      </c>
      <c r="L26" s="8">
        <f t="shared" si="0"/>
        <v>57.0633333333333</v>
      </c>
      <c r="M26" s="15">
        <f t="shared" si="0"/>
        <v>63.42</v>
      </c>
    </row>
    <row r="27" ht="22.5" spans="1:13">
      <c r="A27" s="3" t="s">
        <v>21</v>
      </c>
      <c r="B27" s="9">
        <f t="shared" ref="B27:M27" si="1">AVERAGE(B3:B25)</f>
        <v>62.3573913043478</v>
      </c>
      <c r="C27" s="9">
        <f t="shared" si="1"/>
        <v>65.7021739130435</v>
      </c>
      <c r="D27" s="9">
        <f t="shared" si="1"/>
        <v>64.43</v>
      </c>
      <c r="E27" s="9">
        <f t="shared" si="1"/>
        <v>404.578260869565</v>
      </c>
      <c r="F27" s="9">
        <f t="shared" si="1"/>
        <v>64.414347826087</v>
      </c>
      <c r="G27" s="9">
        <f t="shared" si="1"/>
        <v>64.4665217391304</v>
      </c>
      <c r="H27" s="9">
        <f t="shared" si="1"/>
        <v>65.6260869565217</v>
      </c>
      <c r="I27" s="9">
        <f t="shared" si="1"/>
        <v>62.3289130434783</v>
      </c>
      <c r="J27" s="9">
        <f t="shared" si="1"/>
        <v>65.8926086956522</v>
      </c>
      <c r="K27" s="9">
        <f t="shared" si="1"/>
        <v>70.5469565217391</v>
      </c>
      <c r="L27" s="9">
        <f t="shared" si="1"/>
        <v>59.2017391304348</v>
      </c>
      <c r="M27" s="16">
        <f t="shared" si="1"/>
        <v>64.86</v>
      </c>
    </row>
    <row r="28" ht="23.25" spans="1:13">
      <c r="A28" s="10" t="s">
        <v>19</v>
      </c>
      <c r="B28" s="11">
        <f t="shared" ref="B28:M28" si="2">(B27-B2)/B2</f>
        <v>0.0558123928696522</v>
      </c>
      <c r="C28" s="11">
        <f t="shared" si="2"/>
        <v>0.0549227926919466</v>
      </c>
      <c r="D28" s="11">
        <f t="shared" si="2"/>
        <v>0.058789696397026</v>
      </c>
      <c r="E28" s="11">
        <f t="shared" si="2"/>
        <v>0.0720144697126796</v>
      </c>
      <c r="F28" s="11">
        <f t="shared" si="2"/>
        <v>0.0584889955810855</v>
      </c>
      <c r="G28" s="11">
        <f t="shared" si="2"/>
        <v>0.058170339467209</v>
      </c>
      <c r="H28" s="11">
        <f t="shared" si="2"/>
        <v>0.0547087357610129</v>
      </c>
      <c r="I28" s="11">
        <f t="shared" si="2"/>
        <v>0.0407872353108409</v>
      </c>
      <c r="J28" s="11">
        <f t="shared" si="2"/>
        <v>0.0725259703738465</v>
      </c>
      <c r="K28" s="11">
        <f t="shared" si="2"/>
        <v>0.0623699563391011</v>
      </c>
      <c r="L28" s="11">
        <f t="shared" si="2"/>
        <v>0.0211829718368234</v>
      </c>
      <c r="M28" s="17">
        <f t="shared" si="2"/>
        <v>0.0553566840798145</v>
      </c>
    </row>
    <row r="29" ht="15"/>
  </sheetData>
  <pageMargins left="0.75" right="0.75" top="1" bottom="1" header="0.5" footer="0.5"/>
  <pageSetup paperSize="9" orientation="portrait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5"/>
  <dimension ref="A1:M26"/>
  <sheetViews>
    <sheetView workbookViewId="0">
      <selection activeCell="A1" sqref="$A1:$XFD1"/>
    </sheetView>
  </sheetViews>
  <sheetFormatPr defaultColWidth="9" defaultRowHeight="14.25"/>
  <sheetData>
    <row r="1" ht="15" spans="1:1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2" t="s">
        <v>15</v>
      </c>
    </row>
    <row r="2" ht="22.5" spans="1:13">
      <c r="A2" s="3" t="s">
        <v>55</v>
      </c>
      <c r="B2" s="4">
        <v>52.1021052631579</v>
      </c>
      <c r="C2" s="4">
        <v>55.3215</v>
      </c>
      <c r="D2" s="4">
        <v>54.79</v>
      </c>
      <c r="E2" s="4">
        <v>332.575</v>
      </c>
      <c r="F2" s="4">
        <v>54.77225</v>
      </c>
      <c r="G2" s="4">
        <v>54.78125</v>
      </c>
      <c r="H2" s="4">
        <v>54.84325</v>
      </c>
      <c r="I2" s="4">
        <v>54.14625</v>
      </c>
      <c r="J2" s="4">
        <v>55.252</v>
      </c>
      <c r="K2" s="4">
        <v>59.3095</v>
      </c>
      <c r="L2" s="4">
        <v>52.56375</v>
      </c>
      <c r="M2" s="13">
        <v>56.142</v>
      </c>
    </row>
    <row r="3" spans="1:13">
      <c r="A3" s="5">
        <v>20210201</v>
      </c>
      <c r="B3" s="6">
        <v>53.55</v>
      </c>
      <c r="C3" s="6">
        <v>56.35</v>
      </c>
      <c r="D3" s="6">
        <v>55.1</v>
      </c>
      <c r="E3" s="6">
        <v>336</v>
      </c>
      <c r="F3" s="6">
        <v>54.95</v>
      </c>
      <c r="G3" s="6">
        <v>54.99</v>
      </c>
      <c r="H3" s="6">
        <v>55.815</v>
      </c>
      <c r="I3" s="6">
        <v>53.755</v>
      </c>
      <c r="J3" s="6">
        <v>55.26</v>
      </c>
      <c r="K3" s="6">
        <v>59.86</v>
      </c>
      <c r="L3" s="6">
        <v>51.955</v>
      </c>
      <c r="M3" s="14">
        <v>55.28</v>
      </c>
    </row>
    <row r="4" spans="1:13">
      <c r="A4" s="5">
        <v>20210202</v>
      </c>
      <c r="B4" s="6">
        <v>54.76</v>
      </c>
      <c r="C4" s="6">
        <v>57.46</v>
      </c>
      <c r="D4" s="6">
        <v>56.89</v>
      </c>
      <c r="E4" s="6">
        <v>340.6</v>
      </c>
      <c r="F4" s="6">
        <v>56.705</v>
      </c>
      <c r="G4" s="6">
        <v>56.74</v>
      </c>
      <c r="H4" s="6">
        <v>57.74</v>
      </c>
      <c r="I4" s="6">
        <v>55.41</v>
      </c>
      <c r="J4" s="6">
        <v>56.8</v>
      </c>
      <c r="K4" s="6">
        <v>61.45</v>
      </c>
      <c r="L4" s="6">
        <v>53.635</v>
      </c>
      <c r="M4" s="14">
        <v>56.9</v>
      </c>
    </row>
    <row r="5" spans="1:13">
      <c r="A5" s="5">
        <v>20210203</v>
      </c>
      <c r="B5" s="6">
        <v>55.69</v>
      </c>
      <c r="C5" s="6">
        <v>58.46</v>
      </c>
      <c r="D5" s="6">
        <v>57.72</v>
      </c>
      <c r="E5" s="6">
        <v>347.5</v>
      </c>
      <c r="F5" s="6">
        <v>57.61</v>
      </c>
      <c r="G5" s="6">
        <v>57.65</v>
      </c>
      <c r="H5" s="6">
        <v>58.77</v>
      </c>
      <c r="I5" s="6">
        <v>56.29</v>
      </c>
      <c r="J5" s="6">
        <v>57.69</v>
      </c>
      <c r="K5" s="6">
        <v>62.29</v>
      </c>
      <c r="L5" s="6">
        <v>54.45</v>
      </c>
      <c r="M5" s="14">
        <v>57.87</v>
      </c>
    </row>
    <row r="6" spans="1:13">
      <c r="A6" s="5">
        <v>20210204</v>
      </c>
      <c r="B6" s="6">
        <v>56.23</v>
      </c>
      <c r="C6" s="6">
        <v>58.84</v>
      </c>
      <c r="D6" s="6">
        <v>58.43</v>
      </c>
      <c r="E6" s="6">
        <v>353.1</v>
      </c>
      <c r="F6" s="6">
        <v>58.31</v>
      </c>
      <c r="G6" s="6">
        <v>58.34</v>
      </c>
      <c r="H6" s="6">
        <v>58.635</v>
      </c>
      <c r="I6" s="6">
        <v>57.195</v>
      </c>
      <c r="J6" s="6">
        <v>58.55</v>
      </c>
      <c r="K6" s="6">
        <v>63.25</v>
      </c>
      <c r="L6" s="6">
        <v>55.53</v>
      </c>
      <c r="M6" s="14">
        <v>58.68</v>
      </c>
    </row>
    <row r="7" spans="1:13">
      <c r="A7" s="5">
        <v>20210205</v>
      </c>
      <c r="B7" s="6">
        <v>56.85</v>
      </c>
      <c r="C7" s="6">
        <v>59.34</v>
      </c>
      <c r="D7" s="6">
        <v>58.96</v>
      </c>
      <c r="E7" s="6">
        <v>356.3</v>
      </c>
      <c r="F7" s="6">
        <v>58.91</v>
      </c>
      <c r="G7" s="6">
        <v>58.99</v>
      </c>
      <c r="H7" s="6">
        <v>59.765</v>
      </c>
      <c r="I7" s="6">
        <v>57.78</v>
      </c>
      <c r="J7" s="6">
        <v>58.96</v>
      </c>
      <c r="K7" s="6">
        <v>63.71</v>
      </c>
      <c r="L7" s="6">
        <v>56.15</v>
      </c>
      <c r="M7" s="14">
        <v>59.14</v>
      </c>
    </row>
    <row r="8" spans="1:13">
      <c r="A8" s="5">
        <v>20210208</v>
      </c>
      <c r="B8" s="6">
        <v>57.97</v>
      </c>
      <c r="C8" s="6">
        <v>60.56</v>
      </c>
      <c r="D8" s="6">
        <v>59.74</v>
      </c>
      <c r="E8" s="6">
        <v>361.9</v>
      </c>
      <c r="F8" s="6">
        <v>59.74</v>
      </c>
      <c r="G8" s="6">
        <v>59.74</v>
      </c>
      <c r="H8" s="6">
        <v>59.905</v>
      </c>
      <c r="I8" s="6">
        <v>58.63</v>
      </c>
      <c r="J8" s="6">
        <v>59.74</v>
      </c>
      <c r="K8" s="6">
        <v>64.54</v>
      </c>
      <c r="L8" s="6">
        <v>57.03</v>
      </c>
      <c r="M8" s="14">
        <v>59.98</v>
      </c>
    </row>
    <row r="9" spans="1:13">
      <c r="A9" s="5">
        <v>20210209</v>
      </c>
      <c r="B9" s="6">
        <v>58.36</v>
      </c>
      <c r="C9" s="6">
        <v>61.09</v>
      </c>
      <c r="D9" s="6">
        <v>60.5</v>
      </c>
      <c r="E9" s="6">
        <v>374.4</v>
      </c>
      <c r="F9" s="6">
        <v>60.46</v>
      </c>
      <c r="G9" s="6">
        <v>60.46</v>
      </c>
      <c r="H9" s="6">
        <v>60.595</v>
      </c>
      <c r="I9" s="6">
        <v>59.43</v>
      </c>
      <c r="J9" s="6">
        <v>60.37</v>
      </c>
      <c r="K9" s="6">
        <v>65.47</v>
      </c>
      <c r="L9" s="6">
        <v>57.655</v>
      </c>
      <c r="M9" s="14">
        <v>60.73</v>
      </c>
    </row>
    <row r="10" spans="1:13">
      <c r="A10" s="5">
        <v>20210210</v>
      </c>
      <c r="B10" s="6">
        <v>58.68</v>
      </c>
      <c r="C10" s="6">
        <v>61.47</v>
      </c>
      <c r="D10" s="6">
        <v>60.45</v>
      </c>
      <c r="E10" s="6">
        <v>371.9</v>
      </c>
      <c r="F10" s="6">
        <v>60.35</v>
      </c>
      <c r="G10" s="6">
        <v>60.44</v>
      </c>
      <c r="H10" s="6">
        <v>61.235</v>
      </c>
      <c r="I10" s="6">
        <v>59.325</v>
      </c>
      <c r="J10" s="6">
        <v>60.4</v>
      </c>
      <c r="K10" s="6">
        <v>65.5</v>
      </c>
      <c r="L10" s="6">
        <v>57.425</v>
      </c>
      <c r="M10" s="14">
        <v>60.51</v>
      </c>
    </row>
    <row r="11" spans="1:13">
      <c r="A11" s="5">
        <v>20210211</v>
      </c>
      <c r="B11" s="6">
        <v>58.24</v>
      </c>
      <c r="C11" s="6">
        <v>61.14</v>
      </c>
      <c r="D11" s="6">
        <v>60.39</v>
      </c>
      <c r="E11" s="6"/>
      <c r="F11" s="6">
        <v>60.51</v>
      </c>
      <c r="G11" s="6">
        <v>60.59</v>
      </c>
      <c r="H11" s="6">
        <v>61.315</v>
      </c>
      <c r="I11" s="6">
        <v>59.445</v>
      </c>
      <c r="J11" s="6">
        <v>60.61</v>
      </c>
      <c r="K11" s="6">
        <v>65.71</v>
      </c>
      <c r="L11" s="6">
        <v>57.515</v>
      </c>
      <c r="M11" s="14">
        <v>60.7</v>
      </c>
    </row>
    <row r="12" spans="1:13">
      <c r="A12" s="5">
        <v>20210212</v>
      </c>
      <c r="B12" s="6">
        <v>59.47</v>
      </c>
      <c r="C12" s="6">
        <v>62.43</v>
      </c>
      <c r="D12" s="6">
        <v>59.86</v>
      </c>
      <c r="E12" s="6"/>
      <c r="F12" s="6"/>
      <c r="G12" s="6"/>
      <c r="H12" s="6">
        <v>62.045</v>
      </c>
      <c r="I12" s="6"/>
      <c r="J12" s="6"/>
      <c r="K12" s="6"/>
      <c r="L12" s="6"/>
      <c r="M12" s="14"/>
    </row>
    <row r="13" spans="1:13">
      <c r="A13" s="5">
        <v>20210215</v>
      </c>
      <c r="B13" s="6"/>
      <c r="C13" s="6">
        <v>63.3</v>
      </c>
      <c r="D13" s="6">
        <v>62.54</v>
      </c>
      <c r="E13" s="6"/>
      <c r="F13" s="6">
        <v>62.46</v>
      </c>
      <c r="G13" s="6">
        <v>62.54</v>
      </c>
      <c r="H13" s="6">
        <v>64.065</v>
      </c>
      <c r="I13" s="6">
        <v>61.185</v>
      </c>
      <c r="J13" s="6">
        <v>62.58</v>
      </c>
      <c r="K13" s="6">
        <v>67.63</v>
      </c>
      <c r="L13" s="6">
        <v>59.215</v>
      </c>
      <c r="M13" s="14">
        <v>62.42</v>
      </c>
    </row>
    <row r="14" spans="1:13">
      <c r="A14" s="5">
        <v>20210216</v>
      </c>
      <c r="B14" s="6">
        <v>60.05</v>
      </c>
      <c r="C14" s="6">
        <v>63.35</v>
      </c>
      <c r="D14" s="6">
        <v>62.44</v>
      </c>
      <c r="E14" s="6"/>
      <c r="F14" s="6">
        <v>62.255</v>
      </c>
      <c r="G14" s="6">
        <v>62.44</v>
      </c>
      <c r="H14" s="6">
        <v>63.565</v>
      </c>
      <c r="I14" s="6">
        <v>61.09</v>
      </c>
      <c r="J14" s="6">
        <v>62.53</v>
      </c>
      <c r="K14" s="6">
        <v>67.53</v>
      </c>
      <c r="L14" s="6">
        <v>59.23</v>
      </c>
      <c r="M14" s="14">
        <v>62.33</v>
      </c>
    </row>
    <row r="15" spans="1:13">
      <c r="A15" s="5">
        <v>20210217</v>
      </c>
      <c r="B15" s="6">
        <v>61.14</v>
      </c>
      <c r="C15" s="6">
        <v>64.34</v>
      </c>
      <c r="D15" s="6">
        <v>63.03</v>
      </c>
      <c r="E15" s="6"/>
      <c r="F15" s="6">
        <v>62.76</v>
      </c>
      <c r="G15" s="6">
        <v>62.99</v>
      </c>
      <c r="H15" s="6">
        <v>64.155</v>
      </c>
      <c r="I15" s="6">
        <v>61.94</v>
      </c>
      <c r="J15" s="6">
        <v>63.04</v>
      </c>
      <c r="K15" s="6">
        <v>68.04</v>
      </c>
      <c r="L15" s="6">
        <v>60.035</v>
      </c>
      <c r="M15" s="14">
        <v>63.7</v>
      </c>
    </row>
    <row r="16" spans="1:13">
      <c r="A16" s="5">
        <v>20210218</v>
      </c>
      <c r="B16" s="6">
        <v>60.52</v>
      </c>
      <c r="C16" s="6">
        <v>63.93</v>
      </c>
      <c r="D16" s="6">
        <v>63.58</v>
      </c>
      <c r="E16" s="6">
        <v>399.5</v>
      </c>
      <c r="F16" s="6">
        <v>63.21</v>
      </c>
      <c r="G16" s="6">
        <v>63.44</v>
      </c>
      <c r="H16" s="6">
        <v>64.66</v>
      </c>
      <c r="I16" s="6">
        <v>62.47</v>
      </c>
      <c r="J16" s="6">
        <v>63.87</v>
      </c>
      <c r="K16" s="6">
        <v>68.87</v>
      </c>
      <c r="L16" s="6">
        <v>60.64</v>
      </c>
      <c r="M16" s="14">
        <v>63.51</v>
      </c>
    </row>
    <row r="17" spans="1:13">
      <c r="A17" s="5">
        <v>20210219</v>
      </c>
      <c r="B17" s="6">
        <v>59.24</v>
      </c>
      <c r="C17" s="6">
        <v>62.91</v>
      </c>
      <c r="D17" s="6">
        <v>60.69</v>
      </c>
      <c r="E17" s="6">
        <v>391.3</v>
      </c>
      <c r="F17" s="6">
        <v>60.795</v>
      </c>
      <c r="G17" s="6">
        <v>60.84</v>
      </c>
      <c r="H17" s="6">
        <v>63.44</v>
      </c>
      <c r="I17" s="6">
        <v>60</v>
      </c>
      <c r="J17" s="6">
        <v>61.81</v>
      </c>
      <c r="K17" s="6">
        <v>66.81</v>
      </c>
      <c r="L17" s="6">
        <v>57.965</v>
      </c>
      <c r="M17" s="14">
        <v>62</v>
      </c>
    </row>
    <row r="18" spans="1:13">
      <c r="A18" s="5">
        <v>20210222</v>
      </c>
      <c r="B18" s="6">
        <v>61.49</v>
      </c>
      <c r="C18" s="6">
        <v>65.24</v>
      </c>
      <c r="D18" s="6">
        <v>61.36</v>
      </c>
      <c r="E18" s="6">
        <v>390.7</v>
      </c>
      <c r="F18" s="6">
        <v>61.24</v>
      </c>
      <c r="G18" s="6">
        <v>61.3</v>
      </c>
      <c r="H18" s="6">
        <v>64.25</v>
      </c>
      <c r="I18" s="6">
        <v>60.535</v>
      </c>
      <c r="J18" s="6">
        <v>62.59</v>
      </c>
      <c r="K18" s="6">
        <v>67.79</v>
      </c>
      <c r="L18" s="6">
        <v>58.535</v>
      </c>
      <c r="M18" s="14">
        <v>62.51</v>
      </c>
    </row>
    <row r="19" spans="1:13">
      <c r="A19" s="5">
        <v>20210223</v>
      </c>
      <c r="B19" s="6">
        <v>61.67</v>
      </c>
      <c r="C19" s="6">
        <v>65.37</v>
      </c>
      <c r="D19" s="6">
        <v>63.07</v>
      </c>
      <c r="E19" s="6">
        <v>405.1</v>
      </c>
      <c r="F19" s="6">
        <v>63.5</v>
      </c>
      <c r="G19" s="6">
        <v>63.54</v>
      </c>
      <c r="H19" s="6">
        <v>65.08</v>
      </c>
      <c r="I19" s="6">
        <v>63.025</v>
      </c>
      <c r="J19" s="6">
        <v>65.17</v>
      </c>
      <c r="K19" s="6">
        <v>70.57</v>
      </c>
      <c r="L19" s="6">
        <v>60.97</v>
      </c>
      <c r="M19" s="14">
        <v>64.95</v>
      </c>
    </row>
    <row r="20" spans="1:13">
      <c r="A20" s="5">
        <v>20210224</v>
      </c>
      <c r="B20" s="6">
        <v>63.22</v>
      </c>
      <c r="C20" s="6">
        <v>67.04</v>
      </c>
      <c r="D20" s="6">
        <v>63.33</v>
      </c>
      <c r="E20" s="6">
        <v>406</v>
      </c>
      <c r="F20" s="6">
        <v>62.85</v>
      </c>
      <c r="G20" s="6">
        <v>62.86</v>
      </c>
      <c r="H20" s="6">
        <v>66.68</v>
      </c>
      <c r="I20" s="6">
        <v>62.25</v>
      </c>
      <c r="J20" s="6">
        <v>64.47</v>
      </c>
      <c r="K20" s="6">
        <v>69.77</v>
      </c>
      <c r="L20" s="6">
        <v>60.015</v>
      </c>
      <c r="M20" s="14">
        <v>64.32</v>
      </c>
    </row>
    <row r="21" spans="1:13">
      <c r="A21" s="5">
        <v>20210225</v>
      </c>
      <c r="B21" s="6">
        <v>63.53</v>
      </c>
      <c r="C21" s="6">
        <v>66.88</v>
      </c>
      <c r="D21" s="6">
        <v>64.88</v>
      </c>
      <c r="E21" s="6">
        <v>415.9</v>
      </c>
      <c r="F21" s="6">
        <v>65.35</v>
      </c>
      <c r="G21" s="6">
        <v>65.35</v>
      </c>
      <c r="H21" s="6">
        <v>66.805</v>
      </c>
      <c r="I21" s="6">
        <v>64.675</v>
      </c>
      <c r="J21" s="6">
        <v>66.91</v>
      </c>
      <c r="K21" s="6">
        <v>72.06</v>
      </c>
      <c r="L21" s="6">
        <v>62.45</v>
      </c>
      <c r="M21" s="14">
        <v>66.65</v>
      </c>
    </row>
    <row r="22" spans="1:13">
      <c r="A22" s="5">
        <v>20210226</v>
      </c>
      <c r="B22" s="6">
        <v>61.5</v>
      </c>
      <c r="C22" s="6">
        <v>66.13</v>
      </c>
      <c r="D22" s="6">
        <v>64.09</v>
      </c>
      <c r="E22" s="6">
        <v>410.8</v>
      </c>
      <c r="F22" s="6">
        <v>64.28</v>
      </c>
      <c r="G22" s="6">
        <v>64.29</v>
      </c>
      <c r="H22" s="6">
        <v>65.92</v>
      </c>
      <c r="I22" s="6">
        <v>63.41</v>
      </c>
      <c r="J22" s="6">
        <v>65.95</v>
      </c>
      <c r="K22" s="6">
        <v>70.85</v>
      </c>
      <c r="L22" s="6">
        <v>61.1</v>
      </c>
      <c r="M22" s="14">
        <v>65.52</v>
      </c>
    </row>
    <row r="23" spans="1:13">
      <c r="A23" s="7" t="s">
        <v>17</v>
      </c>
      <c r="B23" s="8">
        <f t="shared" ref="B23:M23" si="0">AVERAGE(B18:B22)</f>
        <v>62.282</v>
      </c>
      <c r="C23" s="8">
        <f t="shared" si="0"/>
        <v>66.132</v>
      </c>
      <c r="D23" s="8">
        <f t="shared" si="0"/>
        <v>63.346</v>
      </c>
      <c r="E23" s="8">
        <f t="shared" si="0"/>
        <v>405.7</v>
      </c>
      <c r="F23" s="8">
        <f t="shared" si="0"/>
        <v>63.444</v>
      </c>
      <c r="G23" s="8">
        <f t="shared" si="0"/>
        <v>63.468</v>
      </c>
      <c r="H23" s="8">
        <f t="shared" si="0"/>
        <v>65.747</v>
      </c>
      <c r="I23" s="8">
        <f t="shared" si="0"/>
        <v>62.779</v>
      </c>
      <c r="J23" s="8">
        <f t="shared" si="0"/>
        <v>65.018</v>
      </c>
      <c r="K23" s="8">
        <f t="shared" si="0"/>
        <v>70.208</v>
      </c>
      <c r="L23" s="8">
        <f t="shared" si="0"/>
        <v>60.614</v>
      </c>
      <c r="M23" s="15">
        <f t="shared" si="0"/>
        <v>64.79</v>
      </c>
    </row>
    <row r="24" ht="22.5" spans="1:13">
      <c r="A24" s="3" t="s">
        <v>54</v>
      </c>
      <c r="B24" s="9">
        <f t="shared" ref="B24:M24" si="1">AVERAGE(B3:B22)</f>
        <v>59.0610526315789</v>
      </c>
      <c r="C24" s="9">
        <f t="shared" si="1"/>
        <v>62.2815</v>
      </c>
      <c r="D24" s="9">
        <f t="shared" si="1"/>
        <v>60.8525</v>
      </c>
      <c r="E24" s="9">
        <f t="shared" si="1"/>
        <v>377.4</v>
      </c>
      <c r="F24" s="9">
        <f t="shared" si="1"/>
        <v>60.855</v>
      </c>
      <c r="G24" s="9">
        <f t="shared" si="1"/>
        <v>60.9226315789474</v>
      </c>
      <c r="H24" s="9">
        <f t="shared" si="1"/>
        <v>62.222</v>
      </c>
      <c r="I24" s="9">
        <f t="shared" si="1"/>
        <v>59.8863157894737</v>
      </c>
      <c r="J24" s="9">
        <f t="shared" si="1"/>
        <v>61.4368421052632</v>
      </c>
      <c r="K24" s="9">
        <f t="shared" si="1"/>
        <v>66.4052631578947</v>
      </c>
      <c r="L24" s="9">
        <f t="shared" si="1"/>
        <v>57.9736842105263</v>
      </c>
      <c r="M24" s="16">
        <f t="shared" si="1"/>
        <v>61.4578947368421</v>
      </c>
    </row>
    <row r="25" ht="23.25" spans="1:13">
      <c r="A25" s="10" t="s">
        <v>19</v>
      </c>
      <c r="B25" s="11">
        <f t="shared" ref="B25:M25" si="2">(B24-B2)/B2</f>
        <v>0.133563650322242</v>
      </c>
      <c r="C25" s="11">
        <f t="shared" si="2"/>
        <v>0.125810037688783</v>
      </c>
      <c r="D25" s="11">
        <f t="shared" si="2"/>
        <v>0.110649753604672</v>
      </c>
      <c r="E25" s="11">
        <f t="shared" si="2"/>
        <v>0.134781628204165</v>
      </c>
      <c r="F25" s="11">
        <f t="shared" si="2"/>
        <v>0.111055324548471</v>
      </c>
      <c r="G25" s="11">
        <f t="shared" si="2"/>
        <v>0.112107364818206</v>
      </c>
      <c r="H25" s="11">
        <f t="shared" si="2"/>
        <v>0.13454253713994</v>
      </c>
      <c r="I25" s="11">
        <f t="shared" si="2"/>
        <v>0.106010403111456</v>
      </c>
      <c r="J25" s="11">
        <f t="shared" si="2"/>
        <v>0.111938791451227</v>
      </c>
      <c r="K25" s="11">
        <f t="shared" si="2"/>
        <v>0.119639571365375</v>
      </c>
      <c r="L25" s="11">
        <f t="shared" si="2"/>
        <v>0.102921389941287</v>
      </c>
      <c r="M25" s="17">
        <f t="shared" si="2"/>
        <v>0.0946865935813139</v>
      </c>
    </row>
    <row r="26" ht="15"/>
  </sheetData>
  <pageMargins left="0.75" right="0.75" top="1" bottom="1" header="0.5" footer="0.5"/>
  <pageSetup paperSize="9" orientation="portrait"/>
  <headerFooter/>
  <legacy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6"/>
  <dimension ref="A1:M27"/>
  <sheetViews>
    <sheetView workbookViewId="0">
      <selection activeCell="P13" sqref="P13"/>
    </sheetView>
  </sheetViews>
  <sheetFormatPr defaultColWidth="9" defaultRowHeight="14.25"/>
  <sheetData>
    <row r="1" ht="15" spans="1:1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2" t="s">
        <v>15</v>
      </c>
    </row>
    <row r="2" ht="22.5" spans="1:13">
      <c r="A2" s="3" t="s">
        <v>24</v>
      </c>
      <c r="B2" s="4">
        <v>47.0681818181818</v>
      </c>
      <c r="C2" s="4">
        <v>50.2181818181818</v>
      </c>
      <c r="D2" s="4">
        <v>49.9981818181818</v>
      </c>
      <c r="E2" s="4">
        <v>298.904347826087</v>
      </c>
      <c r="F2" s="4">
        <v>49.8152272727273</v>
      </c>
      <c r="G2" s="4">
        <v>49.9647727272727</v>
      </c>
      <c r="H2" s="4">
        <v>49.8621428571429</v>
      </c>
      <c r="I2" s="4">
        <v>49.6370454545455</v>
      </c>
      <c r="J2" s="4">
        <v>50.3454545454545</v>
      </c>
      <c r="K2" s="4">
        <v>54.0477272727273</v>
      </c>
      <c r="L2" s="4">
        <v>47.4736363636364</v>
      </c>
      <c r="M2" s="13">
        <v>52.0913636363636</v>
      </c>
    </row>
    <row r="3" spans="1:13">
      <c r="A3" s="5">
        <v>20210101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14"/>
    </row>
    <row r="4" spans="1:13">
      <c r="A4" s="5">
        <v>20210104</v>
      </c>
      <c r="B4" s="6">
        <v>47.62</v>
      </c>
      <c r="C4" s="6">
        <v>51.09</v>
      </c>
      <c r="D4" s="6">
        <v>52.55</v>
      </c>
      <c r="E4" s="6">
        <v>313.9</v>
      </c>
      <c r="F4" s="6">
        <v>52.44</v>
      </c>
      <c r="G4" s="6">
        <v>52.52</v>
      </c>
      <c r="H4" s="6">
        <v>50.335</v>
      </c>
      <c r="I4" s="6">
        <v>52.375</v>
      </c>
      <c r="J4" s="6">
        <v>53.45</v>
      </c>
      <c r="K4" s="6">
        <v>57.05</v>
      </c>
      <c r="L4" s="6">
        <v>50.89</v>
      </c>
      <c r="M4" s="14">
        <v>54.71</v>
      </c>
    </row>
    <row r="5" spans="1:13">
      <c r="A5" s="5">
        <v>20210105</v>
      </c>
      <c r="B5" s="6">
        <v>49.93</v>
      </c>
      <c r="C5" s="6">
        <v>53.6</v>
      </c>
      <c r="D5" s="6">
        <v>50.54</v>
      </c>
      <c r="E5" s="6">
        <v>313.4</v>
      </c>
      <c r="F5" s="6">
        <v>50.45</v>
      </c>
      <c r="G5" s="6">
        <v>50.54</v>
      </c>
      <c r="H5" s="6">
        <v>52.41</v>
      </c>
      <c r="I5" s="6">
        <v>50.495</v>
      </c>
      <c r="J5" s="6">
        <v>51.41</v>
      </c>
      <c r="K5" s="6">
        <v>55.11</v>
      </c>
      <c r="L5" s="6">
        <v>49.035</v>
      </c>
      <c r="M5" s="14">
        <v>52.1</v>
      </c>
    </row>
    <row r="6" spans="1:13">
      <c r="A6" s="5">
        <v>20210106</v>
      </c>
      <c r="B6" s="6">
        <v>50.63</v>
      </c>
      <c r="C6" s="6">
        <v>54.3</v>
      </c>
      <c r="D6" s="6">
        <v>53.52</v>
      </c>
      <c r="E6" s="6">
        <v>319.3</v>
      </c>
      <c r="F6" s="6">
        <v>53.44</v>
      </c>
      <c r="G6" s="6">
        <v>53.49</v>
      </c>
      <c r="H6" s="6">
        <v>54.23</v>
      </c>
      <c r="I6" s="6">
        <v>53.2</v>
      </c>
      <c r="J6" s="6">
        <v>54.17</v>
      </c>
      <c r="K6" s="6">
        <v>57.87</v>
      </c>
      <c r="L6" s="6">
        <v>51.715</v>
      </c>
      <c r="M6" s="14">
        <v>55.53</v>
      </c>
    </row>
    <row r="7" spans="1:13">
      <c r="A7" s="5">
        <v>20210107</v>
      </c>
      <c r="B7" s="6">
        <v>50.83</v>
      </c>
      <c r="C7" s="6">
        <v>54.38</v>
      </c>
      <c r="D7" s="6">
        <v>54.46</v>
      </c>
      <c r="E7" s="6">
        <v>327.6</v>
      </c>
      <c r="F7" s="6">
        <v>54.46</v>
      </c>
      <c r="G7" s="6">
        <v>54.46</v>
      </c>
      <c r="H7" s="6">
        <v>54.145</v>
      </c>
      <c r="I7" s="6">
        <v>54.255</v>
      </c>
      <c r="J7" s="6">
        <v>55.15</v>
      </c>
      <c r="K7" s="6">
        <v>58.85</v>
      </c>
      <c r="L7" s="6">
        <v>52.97</v>
      </c>
      <c r="M7" s="14">
        <v>56.51</v>
      </c>
    </row>
    <row r="8" spans="1:13">
      <c r="A8" s="5">
        <v>20210108</v>
      </c>
      <c r="B8" s="6">
        <v>52.24</v>
      </c>
      <c r="C8" s="6">
        <v>55.99</v>
      </c>
      <c r="D8" s="6">
        <v>54.58</v>
      </c>
      <c r="E8" s="6">
        <v>332.7</v>
      </c>
      <c r="F8" s="6">
        <v>54.56</v>
      </c>
      <c r="G8" s="6">
        <v>54.555</v>
      </c>
      <c r="H8" s="6">
        <v>55.29</v>
      </c>
      <c r="I8" s="6">
        <v>54.3</v>
      </c>
      <c r="J8" s="6">
        <v>55.18</v>
      </c>
      <c r="K8" s="6">
        <v>58.88</v>
      </c>
      <c r="L8" s="6">
        <v>52.935</v>
      </c>
      <c r="M8" s="14">
        <v>56.6</v>
      </c>
    </row>
    <row r="9" spans="1:13">
      <c r="A9" s="5">
        <v>20210111</v>
      </c>
      <c r="B9" s="6">
        <v>52.25</v>
      </c>
      <c r="C9" s="6">
        <v>55.66</v>
      </c>
      <c r="D9" s="6">
        <v>55.24</v>
      </c>
      <c r="E9" s="6">
        <v>336</v>
      </c>
      <c r="F9" s="6">
        <v>55.255</v>
      </c>
      <c r="G9" s="6">
        <v>55.26</v>
      </c>
      <c r="H9" s="6">
        <v>54.98</v>
      </c>
      <c r="I9" s="6">
        <v>54.98</v>
      </c>
      <c r="J9" s="6">
        <v>55.82</v>
      </c>
      <c r="K9" s="6">
        <v>59.57</v>
      </c>
      <c r="L9" s="6">
        <v>53.705</v>
      </c>
      <c r="M9" s="14">
        <v>57.17</v>
      </c>
    </row>
    <row r="10" spans="1:13">
      <c r="A10" s="5">
        <v>20210112</v>
      </c>
      <c r="B10" s="6">
        <v>53.21</v>
      </c>
      <c r="C10" s="6">
        <v>56.58</v>
      </c>
      <c r="D10" s="6">
        <v>55.72</v>
      </c>
      <c r="E10" s="6">
        <v>332.2</v>
      </c>
      <c r="F10" s="6">
        <v>55.65</v>
      </c>
      <c r="G10" s="6">
        <v>55.65</v>
      </c>
      <c r="H10" s="6">
        <v>56.115</v>
      </c>
      <c r="I10" s="6">
        <v>55.52</v>
      </c>
      <c r="J10" s="6">
        <v>56.36</v>
      </c>
      <c r="K10" s="6">
        <v>60.21</v>
      </c>
      <c r="L10" s="6">
        <v>54.125</v>
      </c>
      <c r="M10" s="14">
        <v>57.64</v>
      </c>
    </row>
    <row r="11" spans="1:13">
      <c r="A11" s="5">
        <v>20210113</v>
      </c>
      <c r="B11" s="6">
        <v>52.91</v>
      </c>
      <c r="C11" s="6">
        <v>56.06</v>
      </c>
      <c r="D11" s="6">
        <v>56.42</v>
      </c>
      <c r="E11" s="6">
        <v>340</v>
      </c>
      <c r="F11" s="6">
        <v>56.38</v>
      </c>
      <c r="G11" s="6">
        <v>56.39</v>
      </c>
      <c r="H11" s="6">
        <v>55.86</v>
      </c>
      <c r="I11" s="6">
        <v>56.24</v>
      </c>
      <c r="J11" s="6">
        <v>57.3</v>
      </c>
      <c r="K11" s="6">
        <v>61.15</v>
      </c>
      <c r="L11" s="6">
        <v>54.765</v>
      </c>
      <c r="M11" s="14">
        <v>58.49</v>
      </c>
    </row>
    <row r="12" spans="1:13">
      <c r="A12" s="5">
        <v>20210114</v>
      </c>
      <c r="B12" s="6">
        <v>53.57</v>
      </c>
      <c r="C12" s="6">
        <v>56.42</v>
      </c>
      <c r="D12" s="6">
        <v>55.69</v>
      </c>
      <c r="E12" s="6">
        <v>343.9</v>
      </c>
      <c r="F12" s="6">
        <v>55.64</v>
      </c>
      <c r="G12" s="6">
        <v>55.64</v>
      </c>
      <c r="H12" s="6">
        <v>55.285</v>
      </c>
      <c r="I12" s="6">
        <v>55.6</v>
      </c>
      <c r="J12" s="6">
        <v>56.65</v>
      </c>
      <c r="K12" s="6">
        <v>60.55</v>
      </c>
      <c r="L12" s="6">
        <v>54.24</v>
      </c>
      <c r="M12" s="14">
        <v>57.82</v>
      </c>
    </row>
    <row r="13" spans="1:13">
      <c r="A13" s="5">
        <v>20210115</v>
      </c>
      <c r="B13" s="6">
        <v>52.36</v>
      </c>
      <c r="C13" s="6">
        <v>55.1</v>
      </c>
      <c r="D13" s="6">
        <v>55.38</v>
      </c>
      <c r="E13" s="6">
        <v>341.2</v>
      </c>
      <c r="F13" s="6">
        <v>55.34</v>
      </c>
      <c r="G13" s="6">
        <v>55.34</v>
      </c>
      <c r="H13" s="6">
        <v>54.515</v>
      </c>
      <c r="I13" s="6">
        <v>55.055</v>
      </c>
      <c r="J13" s="6">
        <v>56.08</v>
      </c>
      <c r="K13" s="6">
        <v>60.03</v>
      </c>
      <c r="L13" s="6">
        <v>53.5</v>
      </c>
      <c r="M13" s="14">
        <v>57.49</v>
      </c>
    </row>
    <row r="14" spans="1:13">
      <c r="A14" s="5">
        <v>20210118</v>
      </c>
      <c r="B14" s="6"/>
      <c r="C14" s="6">
        <v>54.75</v>
      </c>
      <c r="D14" s="6">
        <v>54.2</v>
      </c>
      <c r="E14" s="6">
        <v>332.5</v>
      </c>
      <c r="F14" s="6">
        <v>54.14</v>
      </c>
      <c r="G14" s="6">
        <v>54.14</v>
      </c>
      <c r="H14" s="6">
        <v>54.62</v>
      </c>
      <c r="I14" s="6">
        <v>53.94</v>
      </c>
      <c r="J14" s="6">
        <v>54.94</v>
      </c>
      <c r="K14" s="6">
        <v>58.89</v>
      </c>
      <c r="L14" s="6">
        <v>52.365</v>
      </c>
      <c r="M14" s="14">
        <v>56.33</v>
      </c>
    </row>
    <row r="15" spans="1:13">
      <c r="A15" s="5">
        <v>20210119</v>
      </c>
      <c r="B15" s="6">
        <v>52.98</v>
      </c>
      <c r="C15" s="6">
        <v>55.9</v>
      </c>
      <c r="D15" s="6">
        <v>55.06</v>
      </c>
      <c r="E15" s="6">
        <v>335.4</v>
      </c>
      <c r="F15" s="6">
        <v>55.15</v>
      </c>
      <c r="G15" s="6">
        <v>55.06</v>
      </c>
      <c r="H15" s="6">
        <v>55.63</v>
      </c>
      <c r="I15" s="6">
        <v>53.95</v>
      </c>
      <c r="J15" s="6">
        <v>55.36</v>
      </c>
      <c r="K15" s="6">
        <v>59.51</v>
      </c>
      <c r="L15" s="6">
        <v>52.185</v>
      </c>
      <c r="M15" s="14">
        <v>55.72</v>
      </c>
    </row>
    <row r="16" spans="1:13">
      <c r="A16" s="5">
        <v>20210120</v>
      </c>
      <c r="B16" s="6">
        <v>53.24</v>
      </c>
      <c r="C16" s="6">
        <v>56.08</v>
      </c>
      <c r="D16" s="6">
        <v>56.23</v>
      </c>
      <c r="E16" s="6">
        <v>339.7</v>
      </c>
      <c r="F16" s="6">
        <v>56.205</v>
      </c>
      <c r="G16" s="6">
        <v>56.21</v>
      </c>
      <c r="H16" s="6">
        <v>56.125</v>
      </c>
      <c r="I16" s="6">
        <v>55.15</v>
      </c>
      <c r="J16" s="6">
        <v>56.48</v>
      </c>
      <c r="K16" s="6">
        <v>60.63</v>
      </c>
      <c r="L16" s="6">
        <v>53.36</v>
      </c>
      <c r="M16" s="14">
        <v>56.97</v>
      </c>
    </row>
    <row r="17" spans="1:13">
      <c r="A17" s="5">
        <v>20210121</v>
      </c>
      <c r="B17" s="6">
        <v>53.13</v>
      </c>
      <c r="C17" s="6">
        <v>56.1</v>
      </c>
      <c r="D17" s="6">
        <v>55.56</v>
      </c>
      <c r="E17" s="6">
        <v>341.1</v>
      </c>
      <c r="F17" s="6">
        <v>55.45</v>
      </c>
      <c r="G17" s="6">
        <v>55.45</v>
      </c>
      <c r="H17" s="6">
        <v>55.755</v>
      </c>
      <c r="I17" s="6">
        <v>54.44</v>
      </c>
      <c r="J17" s="6">
        <v>55.63</v>
      </c>
      <c r="K17" s="6">
        <v>59.93</v>
      </c>
      <c r="L17" s="6">
        <v>52.575</v>
      </c>
      <c r="M17" s="14">
        <v>56.21</v>
      </c>
    </row>
    <row r="18" spans="1:13">
      <c r="A18" s="5">
        <v>20210122</v>
      </c>
      <c r="B18" s="6">
        <v>52.27</v>
      </c>
      <c r="C18" s="6">
        <v>55.41</v>
      </c>
      <c r="D18" s="6">
        <v>55.14</v>
      </c>
      <c r="E18" s="6">
        <v>337.4</v>
      </c>
      <c r="F18" s="6">
        <v>55.15</v>
      </c>
      <c r="G18" s="6">
        <v>55.15</v>
      </c>
      <c r="H18" s="6">
        <v>55.22</v>
      </c>
      <c r="I18" s="6">
        <v>53.95</v>
      </c>
      <c r="J18" s="6">
        <v>55.12</v>
      </c>
      <c r="K18" s="6">
        <v>59.42</v>
      </c>
      <c r="L18" s="6">
        <v>52.02</v>
      </c>
      <c r="M18" s="14">
        <v>55.81</v>
      </c>
    </row>
    <row r="19" spans="1:13">
      <c r="A19" s="5">
        <v>20210125</v>
      </c>
      <c r="B19" s="6">
        <v>52.77</v>
      </c>
      <c r="C19" s="6">
        <v>55.88</v>
      </c>
      <c r="D19" s="6">
        <v>55.4</v>
      </c>
      <c r="E19" s="6">
        <v>331.7</v>
      </c>
      <c r="F19" s="6">
        <v>55.345</v>
      </c>
      <c r="G19" s="6">
        <v>55.35</v>
      </c>
      <c r="H19" s="6">
        <v>54.98</v>
      </c>
      <c r="I19" s="6">
        <v>54.16</v>
      </c>
      <c r="J19" s="6">
        <v>55.26</v>
      </c>
      <c r="K19" s="6">
        <v>59.71</v>
      </c>
      <c r="L19" s="6">
        <v>52.41</v>
      </c>
      <c r="M19" s="14">
        <v>56.05</v>
      </c>
    </row>
    <row r="20" spans="1:13">
      <c r="A20" s="5">
        <v>20210126</v>
      </c>
      <c r="B20" s="6">
        <v>52.61</v>
      </c>
      <c r="C20" s="6">
        <v>55.91</v>
      </c>
      <c r="D20" s="6">
        <v>55.3</v>
      </c>
      <c r="E20" s="6">
        <v>330.2</v>
      </c>
      <c r="F20" s="6">
        <v>55.26</v>
      </c>
      <c r="G20" s="6">
        <v>55.29</v>
      </c>
      <c r="H20" s="6">
        <v>55.38</v>
      </c>
      <c r="I20" s="6">
        <v>53.925</v>
      </c>
      <c r="J20" s="6">
        <v>55.21</v>
      </c>
      <c r="K20" s="6">
        <v>59.66</v>
      </c>
      <c r="L20" s="6">
        <v>52.25</v>
      </c>
      <c r="M20" s="14">
        <v>55.5</v>
      </c>
    </row>
    <row r="21" spans="1:13">
      <c r="A21" s="5">
        <v>20210127</v>
      </c>
      <c r="B21" s="6">
        <v>52.85</v>
      </c>
      <c r="C21" s="6">
        <v>55.81</v>
      </c>
      <c r="D21" s="6">
        <v>55.77</v>
      </c>
      <c r="E21" s="6">
        <v>332.9</v>
      </c>
      <c r="F21" s="6">
        <v>55.7</v>
      </c>
      <c r="G21" s="6">
        <v>55.7</v>
      </c>
      <c r="H21" s="6">
        <v>55.73</v>
      </c>
      <c r="I21" s="6">
        <v>54.42</v>
      </c>
      <c r="J21" s="6">
        <v>55.76</v>
      </c>
      <c r="K21" s="6">
        <v>60.31</v>
      </c>
      <c r="L21" s="6">
        <v>52.74</v>
      </c>
      <c r="M21" s="14">
        <v>56</v>
      </c>
    </row>
    <row r="22" spans="1:13">
      <c r="A22" s="5">
        <v>20210128</v>
      </c>
      <c r="B22" s="6">
        <v>52.34</v>
      </c>
      <c r="C22" s="6">
        <v>55.53</v>
      </c>
      <c r="D22" s="6">
        <v>54.41</v>
      </c>
      <c r="E22" s="6">
        <v>334</v>
      </c>
      <c r="F22" s="6">
        <v>54.79</v>
      </c>
      <c r="G22" s="6">
        <v>54.79</v>
      </c>
      <c r="H22" s="6">
        <v>55.135</v>
      </c>
      <c r="I22" s="6">
        <v>53.515</v>
      </c>
      <c r="J22" s="6">
        <v>54.89</v>
      </c>
      <c r="K22" s="6">
        <v>59.44</v>
      </c>
      <c r="L22" s="6">
        <v>51.715</v>
      </c>
      <c r="M22" s="14">
        <v>55.1</v>
      </c>
    </row>
    <row r="23" spans="1:13">
      <c r="A23" s="5">
        <v>20210129</v>
      </c>
      <c r="B23" s="6">
        <v>52.2</v>
      </c>
      <c r="C23" s="6">
        <v>55.88</v>
      </c>
      <c r="D23" s="6">
        <v>54.63</v>
      </c>
      <c r="E23" s="6">
        <v>336.4</v>
      </c>
      <c r="F23" s="6">
        <v>54.64</v>
      </c>
      <c r="G23" s="6">
        <v>54.64</v>
      </c>
      <c r="H23" s="6">
        <v>55.125</v>
      </c>
      <c r="I23" s="6">
        <v>53.455</v>
      </c>
      <c r="J23" s="6">
        <v>54.82</v>
      </c>
      <c r="K23" s="6">
        <v>59.42</v>
      </c>
      <c r="L23" s="6">
        <v>51.775</v>
      </c>
      <c r="M23" s="14">
        <v>55.09</v>
      </c>
    </row>
    <row r="24" spans="1:13">
      <c r="A24" s="7" t="s">
        <v>17</v>
      </c>
      <c r="B24" s="8">
        <f t="shared" ref="B24:M24" si="0">AVERAGE(B19:B23)</f>
        <v>52.554</v>
      </c>
      <c r="C24" s="8">
        <f t="shared" si="0"/>
        <v>55.802</v>
      </c>
      <c r="D24" s="8">
        <f t="shared" si="0"/>
        <v>55.102</v>
      </c>
      <c r="E24" s="8">
        <f t="shared" si="0"/>
        <v>333.04</v>
      </c>
      <c r="F24" s="8">
        <f t="shared" si="0"/>
        <v>55.147</v>
      </c>
      <c r="G24" s="8">
        <f t="shared" si="0"/>
        <v>55.154</v>
      </c>
      <c r="H24" s="8">
        <f t="shared" si="0"/>
        <v>55.27</v>
      </c>
      <c r="I24" s="8">
        <f t="shared" si="0"/>
        <v>53.895</v>
      </c>
      <c r="J24" s="8">
        <f t="shared" si="0"/>
        <v>55.188</v>
      </c>
      <c r="K24" s="8">
        <f t="shared" si="0"/>
        <v>59.708</v>
      </c>
      <c r="L24" s="8">
        <f t="shared" si="0"/>
        <v>52.178</v>
      </c>
      <c r="M24" s="15">
        <f t="shared" si="0"/>
        <v>55.548</v>
      </c>
    </row>
    <row r="25" ht="22.5" spans="1:13">
      <c r="A25" s="3" t="s">
        <v>55</v>
      </c>
      <c r="B25" s="9">
        <f t="shared" ref="B25:M25" si="1">AVERAGE(B4:B23)</f>
        <v>52.1021052631579</v>
      </c>
      <c r="C25" s="9">
        <f t="shared" si="1"/>
        <v>55.3215</v>
      </c>
      <c r="D25" s="9">
        <f t="shared" si="1"/>
        <v>54.79</v>
      </c>
      <c r="E25" s="9">
        <f t="shared" si="1"/>
        <v>332.575</v>
      </c>
      <c r="F25" s="9">
        <f t="shared" si="1"/>
        <v>54.77225</v>
      </c>
      <c r="G25" s="9">
        <f t="shared" si="1"/>
        <v>54.78125</v>
      </c>
      <c r="H25" s="9">
        <f t="shared" si="1"/>
        <v>54.84325</v>
      </c>
      <c r="I25" s="9">
        <f t="shared" si="1"/>
        <v>54.14625</v>
      </c>
      <c r="J25" s="9">
        <f t="shared" si="1"/>
        <v>55.252</v>
      </c>
      <c r="K25" s="9">
        <f t="shared" si="1"/>
        <v>59.3095</v>
      </c>
      <c r="L25" s="9">
        <f t="shared" si="1"/>
        <v>52.56375</v>
      </c>
      <c r="M25" s="16">
        <f t="shared" si="1"/>
        <v>56.142</v>
      </c>
    </row>
    <row r="26" ht="23.25" spans="1:13">
      <c r="A26" s="10" t="s">
        <v>19</v>
      </c>
      <c r="B26" s="11">
        <f t="shared" ref="B26:M26" si="2">(B25-B2)/B2</f>
        <v>0.10694960481842</v>
      </c>
      <c r="C26" s="11">
        <f t="shared" si="2"/>
        <v>0.101622918175235</v>
      </c>
      <c r="D26" s="11">
        <f t="shared" si="2"/>
        <v>0.0958398487217719</v>
      </c>
      <c r="E26" s="11">
        <f t="shared" si="2"/>
        <v>0.112646913364752</v>
      </c>
      <c r="F26" s="11">
        <f t="shared" si="2"/>
        <v>0.0995081825108243</v>
      </c>
      <c r="G26" s="11">
        <f t="shared" si="2"/>
        <v>0.0963974618481202</v>
      </c>
      <c r="H26" s="11">
        <f t="shared" si="2"/>
        <v>0.0998975747417883</v>
      </c>
      <c r="I26" s="11">
        <f t="shared" si="2"/>
        <v>0.0908435323690607</v>
      </c>
      <c r="J26" s="11">
        <f t="shared" si="2"/>
        <v>0.0974575659082701</v>
      </c>
      <c r="K26" s="11">
        <f t="shared" si="2"/>
        <v>0.0973541903200035</v>
      </c>
      <c r="L26" s="11">
        <f t="shared" si="2"/>
        <v>0.107219796633538</v>
      </c>
      <c r="M26" s="17">
        <f t="shared" si="2"/>
        <v>0.0777602289683333</v>
      </c>
    </row>
    <row r="27" ht="15"/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vbhn</Company>
  <Application>WPS Office</Application>
  <HeadingPairs>
    <vt:vector size="2" baseType="variant">
      <vt:variant>
        <vt:lpstr>工作表</vt:lpstr>
      </vt:variant>
      <vt:variant>
        <vt:i4>66</vt:i4>
      </vt:variant>
    </vt:vector>
  </HeadingPairs>
  <TitlesOfParts>
    <vt:vector size="66" baseType="lpstr">
      <vt:lpstr>2026年6月</vt:lpstr>
      <vt:lpstr>2026年5月</vt:lpstr>
      <vt:lpstr>2026年4月</vt:lpstr>
      <vt:lpstr>2026年3月</vt:lpstr>
      <vt:lpstr>2026年2月</vt:lpstr>
      <vt:lpstr>2026年1月</vt:lpstr>
      <vt:lpstr>2025年12月</vt:lpstr>
      <vt:lpstr>2025年11月</vt:lpstr>
      <vt:lpstr>2025年10月</vt:lpstr>
      <vt:lpstr>2025年9月</vt:lpstr>
      <vt:lpstr>2025年8月</vt:lpstr>
      <vt:lpstr>2025年7月</vt:lpstr>
      <vt:lpstr>2025年6月</vt:lpstr>
      <vt:lpstr>2025年5月</vt:lpstr>
      <vt:lpstr>2025年4月</vt:lpstr>
      <vt:lpstr>2025年3月</vt:lpstr>
      <vt:lpstr>2025年2月</vt:lpstr>
      <vt:lpstr>2025年1月</vt:lpstr>
      <vt:lpstr>2024年12月</vt:lpstr>
      <vt:lpstr>2024年11月</vt:lpstr>
      <vt:lpstr>2024年10月</vt:lpstr>
      <vt:lpstr>2024年9月</vt:lpstr>
      <vt:lpstr>2024年8月</vt:lpstr>
      <vt:lpstr>2024年7月</vt:lpstr>
      <vt:lpstr>2024年6月</vt:lpstr>
      <vt:lpstr>2024年5月</vt:lpstr>
      <vt:lpstr>2024年4月</vt:lpstr>
      <vt:lpstr>2024年3月</vt:lpstr>
      <vt:lpstr>2024年2月</vt:lpstr>
      <vt:lpstr>2024年1月</vt:lpstr>
      <vt:lpstr>2023年12月</vt:lpstr>
      <vt:lpstr>2023年11月</vt:lpstr>
      <vt:lpstr>2023年10月</vt:lpstr>
      <vt:lpstr>2023年9月</vt:lpstr>
      <vt:lpstr>2023年8月</vt:lpstr>
      <vt:lpstr>2023年7月</vt:lpstr>
      <vt:lpstr>2023年6月</vt:lpstr>
      <vt:lpstr>2023年5月</vt:lpstr>
      <vt:lpstr>2023年4月</vt:lpstr>
      <vt:lpstr>2023年3月</vt:lpstr>
      <vt:lpstr>2023年2月</vt:lpstr>
      <vt:lpstr>2023年1月</vt:lpstr>
      <vt:lpstr>2022年12月</vt:lpstr>
      <vt:lpstr>2022年11月</vt:lpstr>
      <vt:lpstr>2022年10月</vt:lpstr>
      <vt:lpstr>2022年9月</vt:lpstr>
      <vt:lpstr>2022年8月</vt:lpstr>
      <vt:lpstr>2022年7月</vt:lpstr>
      <vt:lpstr>2022年6月</vt:lpstr>
      <vt:lpstr>2022年5月</vt:lpstr>
      <vt:lpstr>2022年4月</vt:lpstr>
      <vt:lpstr>2022年3月</vt:lpstr>
      <vt:lpstr>2022年2月</vt:lpstr>
      <vt:lpstr>2022年1月</vt:lpstr>
      <vt:lpstr>2021年12月</vt:lpstr>
      <vt:lpstr>2021年11月</vt:lpstr>
      <vt:lpstr>2021年10月</vt:lpstr>
      <vt:lpstr>2021年9月</vt:lpstr>
      <vt:lpstr>2021年8月</vt:lpstr>
      <vt:lpstr>2021年7月</vt:lpstr>
      <vt:lpstr>2021年6月</vt:lpstr>
      <vt:lpstr>2021年5月</vt:lpstr>
      <vt:lpstr>2021年4月</vt:lpstr>
      <vt:lpstr>2021年3月</vt:lpstr>
      <vt:lpstr>2021年2月</vt:lpstr>
      <vt:lpstr>2021年1月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fdghtj</dc:creator>
  <cp:lastModifiedBy>ex_lijing5</cp:lastModifiedBy>
  <dcterms:created xsi:type="dcterms:W3CDTF">2019-10-15T22:16:00Z</dcterms:created>
  <dcterms:modified xsi:type="dcterms:W3CDTF">2026-06-04T00:37:53Z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commondata">
    <vt:lpwstr>eyJoZGlkIjoiOWIxZGY2MWE3ZGNjYjhkMzc2ZDM2MzZkOWNkYmZmMTMifQ==</vt:lpwstr>
  </property>
  <property fmtid="{D5CDD505-2E9C-101B-9397-08002B2CF9AE}" pid="4" name="KSOProductBuildVer">
    <vt:lpwstr>2052-11.8.2.12309</vt:lpwstr>
  </property>
  <property fmtid="{D5CDD505-2E9C-101B-9397-08002B2CF9AE}" pid="5" name="ICV">
    <vt:lpwstr>8122747B2F364F5594BC83A20260F184_13</vt:lpwstr>
  </property>
</Properties>
</file>