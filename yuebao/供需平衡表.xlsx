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52000\Desktop\AnalysisAgent\yuebao\"/>
    </mc:Choice>
  </mc:AlternateContent>
  <xr:revisionPtr revIDLastSave="0" documentId="13_ncr:1_{4DA13979-E230-4478-B58E-980CA5D62B5C}" xr6:coauthVersionLast="47" xr6:coauthVersionMax="47" xr10:uidLastSave="{00000000-0000-0000-0000-000000000000}"/>
  <bookViews>
    <workbookView xWindow="-28920" yWindow="135" windowWidth="29040" windowHeight="16440" tabRatio="699" firstSheet="27" activeTab="38" xr2:uid="{00000000-000D-0000-FFFF-FFFF00000000}"/>
  </bookViews>
  <sheets>
    <sheet name="202304" sheetId="1" r:id="rId1"/>
    <sheet name="202305" sheetId="4" r:id="rId2"/>
    <sheet name="202306" sheetId="5" r:id="rId3"/>
    <sheet name="202307" sheetId="6" r:id="rId4"/>
    <sheet name="202308" sheetId="7" r:id="rId5"/>
    <sheet name="202309" sheetId="9" r:id="rId6"/>
    <sheet name="202310" sheetId="8" r:id="rId7"/>
    <sheet name="202311" sheetId="10" r:id="rId8"/>
    <sheet name="202312" sheetId="11" r:id="rId9"/>
    <sheet name="202401" sheetId="13" r:id="rId10"/>
    <sheet name="202402" sheetId="14" r:id="rId11"/>
    <sheet name="202403" sheetId="15" r:id="rId12"/>
    <sheet name="202404" sheetId="16" r:id="rId13"/>
    <sheet name="202405" sheetId="17" r:id="rId14"/>
    <sheet name="202408" sheetId="20" r:id="rId15"/>
    <sheet name="202406" sheetId="18" r:id="rId16"/>
    <sheet name="202407" sheetId="19" r:id="rId17"/>
    <sheet name="202409" sheetId="21" r:id="rId18"/>
    <sheet name="202410" sheetId="22" r:id="rId19"/>
    <sheet name="202411" sheetId="23" r:id="rId20"/>
    <sheet name="202412" sheetId="24" r:id="rId21"/>
    <sheet name="202501" sheetId="25" r:id="rId22"/>
    <sheet name="202502" sheetId="26" r:id="rId23"/>
    <sheet name="202503" sheetId="27" r:id="rId24"/>
    <sheet name="202504" sheetId="28" r:id="rId25"/>
    <sheet name="202505" sheetId="29" r:id="rId26"/>
    <sheet name="202506" sheetId="30" r:id="rId27"/>
    <sheet name="202507" sheetId="32" r:id="rId28"/>
    <sheet name="202508" sheetId="33" r:id="rId29"/>
    <sheet name="202509" sheetId="34" r:id="rId30"/>
    <sheet name="202510" sheetId="36" r:id="rId31"/>
    <sheet name="202511" sheetId="37" r:id="rId32"/>
    <sheet name="202512" sheetId="38" r:id="rId33"/>
    <sheet name="202601" sheetId="39" r:id="rId34"/>
    <sheet name="202602" sheetId="40" r:id="rId35"/>
    <sheet name="202603" sheetId="41" r:id="rId36"/>
    <sheet name="202604" sheetId="42" r:id="rId37"/>
    <sheet name="202605" sheetId="43" r:id="rId38"/>
    <sheet name="202606" sheetId="44" r:id="rId39"/>
    <sheet name="2026年至2027年供需平衡表" sheetId="31" r:id="rId40"/>
    <sheet name="Sheet1" sheetId="35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5" l="1"/>
  <c r="G9" i="35"/>
  <c r="G8" i="35"/>
  <c r="G21" i="31"/>
  <c r="G28" i="31" s="1"/>
  <c r="F21" i="31"/>
  <c r="F28" i="31" s="1"/>
  <c r="E21" i="31"/>
  <c r="E28" i="31" s="1"/>
  <c r="D21" i="31"/>
  <c r="D28" i="31" s="1"/>
  <c r="G17" i="31"/>
  <c r="G27" i="31" s="1"/>
  <c r="F17" i="31"/>
  <c r="F27" i="31" s="1"/>
  <c r="E17" i="31"/>
  <c r="E27" i="31" s="1"/>
  <c r="D17" i="31"/>
  <c r="D27" i="31" s="1"/>
  <c r="G13" i="31"/>
  <c r="G26" i="31" s="1"/>
  <c r="F13" i="31"/>
  <c r="F26" i="31" s="1"/>
  <c r="E13" i="31"/>
  <c r="E26" i="31" s="1"/>
  <c r="D13" i="31"/>
  <c r="D26" i="31" s="1"/>
  <c r="G9" i="31"/>
  <c r="G25" i="31" s="1"/>
  <c r="F9" i="31"/>
  <c r="F25" i="31" s="1"/>
  <c r="E9" i="31"/>
  <c r="E25" i="31" s="1"/>
  <c r="D9" i="31"/>
  <c r="D25" i="31" s="1"/>
  <c r="G5" i="31"/>
  <c r="G24" i="31" s="1"/>
  <c r="F5" i="31"/>
  <c r="F24" i="31" s="1"/>
  <c r="E5" i="31"/>
  <c r="E24" i="31" s="1"/>
  <c r="D5" i="31"/>
  <c r="D24" i="31" s="1"/>
  <c r="G27" i="43"/>
  <c r="G35" i="43" s="1"/>
  <c r="E27" i="43"/>
  <c r="E35" i="43" s="1"/>
  <c r="D25" i="43"/>
  <c r="G24" i="43"/>
  <c r="G32" i="43" s="1"/>
  <c r="E24" i="43"/>
  <c r="E32" i="43" s="1"/>
  <c r="G21" i="43"/>
  <c r="G28" i="43" s="1"/>
  <c r="F21" i="43"/>
  <c r="F28" i="43" s="1"/>
  <c r="F36" i="43" s="1"/>
  <c r="E21" i="43"/>
  <c r="E28" i="43" s="1"/>
  <c r="D21" i="43"/>
  <c r="D28" i="43" s="1"/>
  <c r="G17" i="43"/>
  <c r="F17" i="43"/>
  <c r="F27" i="43" s="1"/>
  <c r="E17" i="43"/>
  <c r="D17" i="43"/>
  <c r="D27" i="43" s="1"/>
  <c r="G13" i="43"/>
  <c r="G26" i="43" s="1"/>
  <c r="G34" i="43" s="1"/>
  <c r="F13" i="43"/>
  <c r="F26" i="43" s="1"/>
  <c r="E13" i="43"/>
  <c r="E26" i="43" s="1"/>
  <c r="E34" i="43" s="1"/>
  <c r="D13" i="43"/>
  <c r="D26" i="43" s="1"/>
  <c r="D34" i="43" s="1"/>
  <c r="G9" i="43"/>
  <c r="G25" i="43" s="1"/>
  <c r="F9" i="43"/>
  <c r="F25" i="43" s="1"/>
  <c r="F33" i="43" s="1"/>
  <c r="E9" i="43"/>
  <c r="E25" i="43" s="1"/>
  <c r="D9" i="43"/>
  <c r="G5" i="43"/>
  <c r="F5" i="43"/>
  <c r="F24" i="43" s="1"/>
  <c r="E5" i="43"/>
  <c r="D5" i="43"/>
  <c r="D24" i="43" s="1"/>
  <c r="G28" i="42"/>
  <c r="E27" i="42"/>
  <c r="D26" i="42"/>
  <c r="D34" i="42" s="1"/>
  <c r="G21" i="42"/>
  <c r="F21" i="42"/>
  <c r="F28" i="42" s="1"/>
  <c r="F36" i="42" s="1"/>
  <c r="E21" i="42"/>
  <c r="E28" i="42" s="1"/>
  <c r="D21" i="42"/>
  <c r="D28" i="42" s="1"/>
  <c r="G17" i="42"/>
  <c r="G27" i="42" s="1"/>
  <c r="G35" i="42" s="1"/>
  <c r="F17" i="42"/>
  <c r="F27" i="42" s="1"/>
  <c r="E17" i="42"/>
  <c r="D17" i="42"/>
  <c r="D27" i="42" s="1"/>
  <c r="G13" i="42"/>
  <c r="G26" i="42" s="1"/>
  <c r="G34" i="42" s="1"/>
  <c r="F13" i="42"/>
  <c r="F26" i="42" s="1"/>
  <c r="E13" i="42"/>
  <c r="E26" i="42" s="1"/>
  <c r="E34" i="42" s="1"/>
  <c r="D13" i="42"/>
  <c r="G9" i="42"/>
  <c r="G25" i="42" s="1"/>
  <c r="F9" i="42"/>
  <c r="F25" i="42" s="1"/>
  <c r="F33" i="42" s="1"/>
  <c r="E9" i="42"/>
  <c r="E25" i="42" s="1"/>
  <c r="D9" i="42"/>
  <c r="D25" i="42" s="1"/>
  <c r="G5" i="42"/>
  <c r="G24" i="42" s="1"/>
  <c r="G32" i="42" s="1"/>
  <c r="F5" i="42"/>
  <c r="F24" i="42" s="1"/>
  <c r="E5" i="42"/>
  <c r="E24" i="42" s="1"/>
  <c r="E32" i="42" s="1"/>
  <c r="D5" i="42"/>
  <c r="D24" i="42" s="1"/>
  <c r="E28" i="41"/>
  <c r="E25" i="41"/>
  <c r="G24" i="41"/>
  <c r="G32" i="41" s="1"/>
  <c r="E24" i="41"/>
  <c r="E32" i="41" s="1"/>
  <c r="G21" i="41"/>
  <c r="G28" i="41" s="1"/>
  <c r="F21" i="41"/>
  <c r="F28" i="41" s="1"/>
  <c r="F36" i="41" s="1"/>
  <c r="E21" i="41"/>
  <c r="D21" i="41"/>
  <c r="D28" i="41" s="1"/>
  <c r="G17" i="41"/>
  <c r="G27" i="41" s="1"/>
  <c r="G35" i="41" s="1"/>
  <c r="F17" i="41"/>
  <c r="F27" i="41" s="1"/>
  <c r="E17" i="41"/>
  <c r="E27" i="41" s="1"/>
  <c r="E35" i="41" s="1"/>
  <c r="D17" i="41"/>
  <c r="D27" i="41" s="1"/>
  <c r="G13" i="41"/>
  <c r="G26" i="41" s="1"/>
  <c r="G34" i="41" s="1"/>
  <c r="F13" i="41"/>
  <c r="F26" i="41" s="1"/>
  <c r="F34" i="41" s="1"/>
  <c r="E13" i="41"/>
  <c r="E26" i="41" s="1"/>
  <c r="E34" i="41" s="1"/>
  <c r="D13" i="41"/>
  <c r="D26" i="41" s="1"/>
  <c r="G9" i="41"/>
  <c r="G25" i="41" s="1"/>
  <c r="F9" i="41"/>
  <c r="F25" i="41" s="1"/>
  <c r="F33" i="41" s="1"/>
  <c r="E9" i="41"/>
  <c r="D9" i="41"/>
  <c r="D25" i="41" s="1"/>
  <c r="G5" i="41"/>
  <c r="F5" i="41"/>
  <c r="F24" i="41" s="1"/>
  <c r="E5" i="41"/>
  <c r="D5" i="41"/>
  <c r="D24" i="41" s="1"/>
  <c r="G27" i="40"/>
  <c r="G35" i="40" s="1"/>
  <c r="E27" i="40"/>
  <c r="E35" i="40" s="1"/>
  <c r="D27" i="40"/>
  <c r="F26" i="40"/>
  <c r="F34" i="40" s="1"/>
  <c r="E24" i="40"/>
  <c r="D24" i="40"/>
  <c r="G21" i="40"/>
  <c r="G28" i="40" s="1"/>
  <c r="F21" i="40"/>
  <c r="F28" i="40" s="1"/>
  <c r="F36" i="40" s="1"/>
  <c r="E21" i="40"/>
  <c r="E28" i="40" s="1"/>
  <c r="D21" i="40"/>
  <c r="D28" i="40" s="1"/>
  <c r="G17" i="40"/>
  <c r="F17" i="40"/>
  <c r="F27" i="40" s="1"/>
  <c r="F35" i="40" s="1"/>
  <c r="E17" i="40"/>
  <c r="D17" i="40"/>
  <c r="G13" i="40"/>
  <c r="G26" i="40" s="1"/>
  <c r="G34" i="40" s="1"/>
  <c r="F13" i="40"/>
  <c r="E13" i="40"/>
  <c r="E26" i="40" s="1"/>
  <c r="E34" i="40" s="1"/>
  <c r="D13" i="40"/>
  <c r="D26" i="40" s="1"/>
  <c r="G9" i="40"/>
  <c r="G25" i="40" s="1"/>
  <c r="F9" i="40"/>
  <c r="F25" i="40" s="1"/>
  <c r="F33" i="40" s="1"/>
  <c r="E9" i="40"/>
  <c r="E25" i="40" s="1"/>
  <c r="D9" i="40"/>
  <c r="D25" i="40" s="1"/>
  <c r="G5" i="40"/>
  <c r="G24" i="40" s="1"/>
  <c r="G32" i="40" s="1"/>
  <c r="F5" i="40"/>
  <c r="F24" i="40" s="1"/>
  <c r="F32" i="40" s="1"/>
  <c r="E5" i="40"/>
  <c r="D5" i="40"/>
  <c r="I27" i="39"/>
  <c r="I35" i="39" s="1"/>
  <c r="G26" i="39"/>
  <c r="E26" i="39"/>
  <c r="E34" i="39" s="1"/>
  <c r="J25" i="39"/>
  <c r="J33" i="39" s="1"/>
  <c r="H25" i="39"/>
  <c r="H33" i="39" s="1"/>
  <c r="K21" i="39"/>
  <c r="K28" i="39" s="1"/>
  <c r="J21" i="39"/>
  <c r="J28" i="39" s="1"/>
  <c r="J36" i="39" s="1"/>
  <c r="I21" i="39"/>
  <c r="I28" i="39" s="1"/>
  <c r="I36" i="39" s="1"/>
  <c r="H21" i="39"/>
  <c r="H28" i="39" s="1"/>
  <c r="H36" i="39" s="1"/>
  <c r="G21" i="39"/>
  <c r="G28" i="39" s="1"/>
  <c r="G36" i="39" s="1"/>
  <c r="F21" i="39"/>
  <c r="F28" i="39" s="1"/>
  <c r="E21" i="39"/>
  <c r="E28" i="39" s="1"/>
  <c r="E36" i="39" s="1"/>
  <c r="D21" i="39"/>
  <c r="D28" i="39" s="1"/>
  <c r="D36" i="39" s="1"/>
  <c r="K17" i="39"/>
  <c r="K27" i="39" s="1"/>
  <c r="K35" i="39" s="1"/>
  <c r="J17" i="39"/>
  <c r="J27" i="39" s="1"/>
  <c r="I17" i="39"/>
  <c r="H17" i="39"/>
  <c r="H27" i="39" s="1"/>
  <c r="G17" i="39"/>
  <c r="G27" i="39" s="1"/>
  <c r="G35" i="39" s="1"/>
  <c r="F17" i="39"/>
  <c r="F27" i="39" s="1"/>
  <c r="F35" i="39" s="1"/>
  <c r="E17" i="39"/>
  <c r="E27" i="39" s="1"/>
  <c r="E35" i="39" s="1"/>
  <c r="D17" i="39"/>
  <c r="D27" i="39" s="1"/>
  <c r="K13" i="39"/>
  <c r="K26" i="39" s="1"/>
  <c r="K34" i="39" s="1"/>
  <c r="J13" i="39"/>
  <c r="J26" i="39" s="1"/>
  <c r="I13" i="39"/>
  <c r="I26" i="39" s="1"/>
  <c r="I34" i="39" s="1"/>
  <c r="H13" i="39"/>
  <c r="H26" i="39" s="1"/>
  <c r="H34" i="39" s="1"/>
  <c r="G13" i="39"/>
  <c r="F13" i="39"/>
  <c r="F26" i="39" s="1"/>
  <c r="E13" i="39"/>
  <c r="D13" i="39"/>
  <c r="D26" i="39" s="1"/>
  <c r="D34" i="39" s="1"/>
  <c r="K9" i="39"/>
  <c r="K25" i="39" s="1"/>
  <c r="J9" i="39"/>
  <c r="I9" i="39"/>
  <c r="I25" i="39" s="1"/>
  <c r="I33" i="39" s="1"/>
  <c r="H9" i="39"/>
  <c r="G9" i="39"/>
  <c r="G25" i="39" s="1"/>
  <c r="F9" i="39"/>
  <c r="F25" i="39" s="1"/>
  <c r="E9" i="39"/>
  <c r="E25" i="39" s="1"/>
  <c r="E33" i="39" s="1"/>
  <c r="D9" i="39"/>
  <c r="D25" i="39" s="1"/>
  <c r="D33" i="39" s="1"/>
  <c r="K5" i="39"/>
  <c r="K24" i="39" s="1"/>
  <c r="K32" i="39" s="1"/>
  <c r="J5" i="39"/>
  <c r="J24" i="39" s="1"/>
  <c r="I5" i="39"/>
  <c r="I24" i="39" s="1"/>
  <c r="I32" i="39" s="1"/>
  <c r="H5" i="39"/>
  <c r="H24" i="39" s="1"/>
  <c r="H32" i="39" s="1"/>
  <c r="G5" i="39"/>
  <c r="G24" i="39" s="1"/>
  <c r="F5" i="39"/>
  <c r="F24" i="39" s="1"/>
  <c r="E5" i="39"/>
  <c r="E24" i="39" s="1"/>
  <c r="D5" i="39"/>
  <c r="D24" i="39" s="1"/>
  <c r="D32" i="39" s="1"/>
  <c r="J28" i="38"/>
  <c r="G28" i="38"/>
  <c r="G36" i="38" s="1"/>
  <c r="E28" i="38"/>
  <c r="E36" i="38" s="1"/>
  <c r="K27" i="38"/>
  <c r="J25" i="38"/>
  <c r="G25" i="38"/>
  <c r="E25" i="38"/>
  <c r="E33" i="38" s="1"/>
  <c r="K24" i="38"/>
  <c r="F24" i="38"/>
  <c r="K21" i="38"/>
  <c r="K28" i="38" s="1"/>
  <c r="J21" i="38"/>
  <c r="I21" i="38"/>
  <c r="I28" i="38" s="1"/>
  <c r="H21" i="38"/>
  <c r="H28" i="38" s="1"/>
  <c r="H36" i="38" s="1"/>
  <c r="G21" i="38"/>
  <c r="F21" i="38"/>
  <c r="F28" i="38" s="1"/>
  <c r="E21" i="38"/>
  <c r="D21" i="38"/>
  <c r="D28" i="38" s="1"/>
  <c r="K17" i="38"/>
  <c r="J17" i="38"/>
  <c r="J27" i="38" s="1"/>
  <c r="I17" i="38"/>
  <c r="I27" i="38" s="1"/>
  <c r="H17" i="38"/>
  <c r="H27" i="38" s="1"/>
  <c r="G17" i="38"/>
  <c r="G27" i="38" s="1"/>
  <c r="G35" i="38" s="1"/>
  <c r="F17" i="38"/>
  <c r="F27" i="38" s="1"/>
  <c r="E17" i="38"/>
  <c r="E27" i="38" s="1"/>
  <c r="E35" i="38" s="1"/>
  <c r="D17" i="38"/>
  <c r="D27" i="38" s="1"/>
  <c r="D35" i="38" s="1"/>
  <c r="K13" i="38"/>
  <c r="K26" i="38" s="1"/>
  <c r="J13" i="38"/>
  <c r="J26" i="38" s="1"/>
  <c r="I13" i="38"/>
  <c r="I26" i="38" s="1"/>
  <c r="H13" i="38"/>
  <c r="H26" i="38" s="1"/>
  <c r="H34" i="38" s="1"/>
  <c r="G13" i="38"/>
  <c r="G26" i="38" s="1"/>
  <c r="F13" i="38"/>
  <c r="F26" i="38" s="1"/>
  <c r="F34" i="38" s="1"/>
  <c r="E13" i="38"/>
  <c r="E26" i="38" s="1"/>
  <c r="E34" i="38" s="1"/>
  <c r="D13" i="38"/>
  <c r="D26" i="38" s="1"/>
  <c r="K9" i="38"/>
  <c r="K25" i="38" s="1"/>
  <c r="J9" i="38"/>
  <c r="I9" i="38"/>
  <c r="I25" i="38" s="1"/>
  <c r="H9" i="38"/>
  <c r="H25" i="38" s="1"/>
  <c r="H33" i="38" s="1"/>
  <c r="G9" i="38"/>
  <c r="F9" i="38"/>
  <c r="F25" i="38" s="1"/>
  <c r="E9" i="38"/>
  <c r="D9" i="38"/>
  <c r="D25" i="38" s="1"/>
  <c r="K5" i="38"/>
  <c r="J5" i="38"/>
  <c r="J24" i="38" s="1"/>
  <c r="I5" i="38"/>
  <c r="I24" i="38" s="1"/>
  <c r="H5" i="38"/>
  <c r="H24" i="38" s="1"/>
  <c r="G5" i="38"/>
  <c r="G24" i="38" s="1"/>
  <c r="F5" i="38"/>
  <c r="E5" i="38"/>
  <c r="E24" i="38" s="1"/>
  <c r="D5" i="38"/>
  <c r="D24" i="38" s="1"/>
  <c r="D32" i="38" s="1"/>
  <c r="H27" i="37"/>
  <c r="H26" i="37"/>
  <c r="D26" i="37"/>
  <c r="D34" i="37" s="1"/>
  <c r="G25" i="37"/>
  <c r="G33" i="37" s="1"/>
  <c r="H21" i="37"/>
  <c r="H28" i="37" s="1"/>
  <c r="H36" i="37" s="1"/>
  <c r="G21" i="37"/>
  <c r="G28" i="37" s="1"/>
  <c r="G36" i="37" s="1"/>
  <c r="F21" i="37"/>
  <c r="F28" i="37" s="1"/>
  <c r="E21" i="37"/>
  <c r="E28" i="37" s="1"/>
  <c r="E36" i="37" s="1"/>
  <c r="D21" i="37"/>
  <c r="D28" i="37" s="1"/>
  <c r="H17" i="37"/>
  <c r="G17" i="37"/>
  <c r="G27" i="37" s="1"/>
  <c r="G35" i="37" s="1"/>
  <c r="F17" i="37"/>
  <c r="F27" i="37" s="1"/>
  <c r="E17" i="37"/>
  <c r="E27" i="37" s="1"/>
  <c r="E35" i="37" s="1"/>
  <c r="D17" i="37"/>
  <c r="D27" i="37" s="1"/>
  <c r="H13" i="37"/>
  <c r="G13" i="37"/>
  <c r="G26" i="37" s="1"/>
  <c r="F13" i="37"/>
  <c r="F26" i="37" s="1"/>
  <c r="F34" i="37" s="1"/>
  <c r="E13" i="37"/>
  <c r="E26" i="37" s="1"/>
  <c r="E34" i="37" s="1"/>
  <c r="D13" i="37"/>
  <c r="H9" i="37"/>
  <c r="H25" i="37" s="1"/>
  <c r="H33" i="37" s="1"/>
  <c r="G9" i="37"/>
  <c r="F9" i="37"/>
  <c r="F25" i="37" s="1"/>
  <c r="E9" i="37"/>
  <c r="E25" i="37" s="1"/>
  <c r="E33" i="37" s="1"/>
  <c r="D9" i="37"/>
  <c r="D25" i="37" s="1"/>
  <c r="H5" i="37"/>
  <c r="H24" i="37" s="1"/>
  <c r="H32" i="37" s="1"/>
  <c r="G5" i="37"/>
  <c r="G24" i="37" s="1"/>
  <c r="F5" i="37"/>
  <c r="F24" i="37" s="1"/>
  <c r="E5" i="37"/>
  <c r="E24" i="37" s="1"/>
  <c r="D5" i="37"/>
  <c r="D24" i="37" s="1"/>
  <c r="D32" i="37" s="1"/>
  <c r="G27" i="36"/>
  <c r="G35" i="36" s="1"/>
  <c r="E25" i="36"/>
  <c r="E33" i="36" s="1"/>
  <c r="H21" i="36"/>
  <c r="H28" i="36" s="1"/>
  <c r="G21" i="36"/>
  <c r="G28" i="36" s="1"/>
  <c r="G36" i="36" s="1"/>
  <c r="F21" i="36"/>
  <c r="F28" i="36" s="1"/>
  <c r="E21" i="36"/>
  <c r="E28" i="36" s="1"/>
  <c r="E36" i="36" s="1"/>
  <c r="D21" i="36"/>
  <c r="D28" i="36" s="1"/>
  <c r="H17" i="36"/>
  <c r="H27" i="36" s="1"/>
  <c r="G17" i="36"/>
  <c r="F17" i="36"/>
  <c r="F27" i="36" s="1"/>
  <c r="E17" i="36"/>
  <c r="E27" i="36" s="1"/>
  <c r="E35" i="36" s="1"/>
  <c r="D17" i="36"/>
  <c r="D27" i="36" s="1"/>
  <c r="H13" i="36"/>
  <c r="H26" i="36" s="1"/>
  <c r="G13" i="36"/>
  <c r="G26" i="36" s="1"/>
  <c r="F13" i="36"/>
  <c r="F26" i="36" s="1"/>
  <c r="F34" i="36" s="1"/>
  <c r="E13" i="36"/>
  <c r="E26" i="36" s="1"/>
  <c r="E34" i="36" s="1"/>
  <c r="D13" i="36"/>
  <c r="D26" i="36" s="1"/>
  <c r="H9" i="36"/>
  <c r="H25" i="36" s="1"/>
  <c r="G9" i="36"/>
  <c r="G25" i="36" s="1"/>
  <c r="F9" i="36"/>
  <c r="F25" i="36" s="1"/>
  <c r="F33" i="36" s="1"/>
  <c r="E9" i="36"/>
  <c r="D9" i="36"/>
  <c r="D25" i="36" s="1"/>
  <c r="H5" i="36"/>
  <c r="H24" i="36" s="1"/>
  <c r="D32" i="40" s="1"/>
  <c r="G5" i="36"/>
  <c r="G24" i="36" s="1"/>
  <c r="F5" i="36"/>
  <c r="F24" i="36" s="1"/>
  <c r="E5" i="36"/>
  <c r="E24" i="36" s="1"/>
  <c r="D5" i="36"/>
  <c r="D24" i="36" s="1"/>
  <c r="D32" i="36" s="1"/>
  <c r="G25" i="34"/>
  <c r="E25" i="34"/>
  <c r="E33" i="34" s="1"/>
  <c r="H24" i="34"/>
  <c r="H21" i="34"/>
  <c r="H28" i="34" s="1"/>
  <c r="G21" i="34"/>
  <c r="G28" i="34" s="1"/>
  <c r="G36" i="34" s="1"/>
  <c r="F21" i="34"/>
  <c r="F28" i="34" s="1"/>
  <c r="E21" i="34"/>
  <c r="E28" i="34" s="1"/>
  <c r="E36" i="34" s="1"/>
  <c r="D21" i="34"/>
  <c r="D28" i="34" s="1"/>
  <c r="H17" i="34"/>
  <c r="H27" i="34" s="1"/>
  <c r="G17" i="34"/>
  <c r="G27" i="34" s="1"/>
  <c r="G35" i="34" s="1"/>
  <c r="F17" i="34"/>
  <c r="F27" i="34" s="1"/>
  <c r="F35" i="34" s="1"/>
  <c r="E17" i="34"/>
  <c r="E27" i="34" s="1"/>
  <c r="E35" i="34" s="1"/>
  <c r="D17" i="34"/>
  <c r="D27" i="34" s="1"/>
  <c r="H13" i="34"/>
  <c r="H26" i="34" s="1"/>
  <c r="G13" i="34"/>
  <c r="G26" i="34" s="1"/>
  <c r="F13" i="34"/>
  <c r="F26" i="34" s="1"/>
  <c r="F34" i="34" s="1"/>
  <c r="E13" i="34"/>
  <c r="E26" i="34" s="1"/>
  <c r="E34" i="34" s="1"/>
  <c r="D13" i="34"/>
  <c r="D26" i="34" s="1"/>
  <c r="H9" i="34"/>
  <c r="H25" i="34" s="1"/>
  <c r="G9" i="34"/>
  <c r="F9" i="34"/>
  <c r="F25" i="34" s="1"/>
  <c r="F33" i="34" s="1"/>
  <c r="E9" i="34"/>
  <c r="D9" i="34"/>
  <c r="D25" i="34" s="1"/>
  <c r="D33" i="34" s="1"/>
  <c r="H5" i="34"/>
  <c r="G5" i="34"/>
  <c r="G24" i="34" s="1"/>
  <c r="G32" i="34" s="1"/>
  <c r="F5" i="34"/>
  <c r="F24" i="34" s="1"/>
  <c r="E5" i="34"/>
  <c r="E24" i="34" s="1"/>
  <c r="D5" i="34"/>
  <c r="D24" i="34" s="1"/>
  <c r="D32" i="34" s="1"/>
  <c r="E35" i="33"/>
  <c r="E27" i="33"/>
  <c r="H25" i="33"/>
  <c r="H24" i="33"/>
  <c r="F24" i="33"/>
  <c r="H21" i="33"/>
  <c r="H28" i="33" s="1"/>
  <c r="G21" i="33"/>
  <c r="G28" i="33" s="1"/>
  <c r="F21" i="33"/>
  <c r="F28" i="33" s="1"/>
  <c r="E21" i="33"/>
  <c r="E28" i="33" s="1"/>
  <c r="E36" i="33" s="1"/>
  <c r="D21" i="33"/>
  <c r="D28" i="33" s="1"/>
  <c r="D36" i="33" s="1"/>
  <c r="H17" i="33"/>
  <c r="H27" i="33" s="1"/>
  <c r="G17" i="33"/>
  <c r="G27" i="33" s="1"/>
  <c r="G35" i="33" s="1"/>
  <c r="F17" i="33"/>
  <c r="F27" i="33" s="1"/>
  <c r="F35" i="33" s="1"/>
  <c r="E17" i="33"/>
  <c r="D17" i="33"/>
  <c r="D27" i="33" s="1"/>
  <c r="H13" i="33"/>
  <c r="H26" i="33" s="1"/>
  <c r="G13" i="33"/>
  <c r="G26" i="33" s="1"/>
  <c r="G34" i="33" s="1"/>
  <c r="F13" i="33"/>
  <c r="F26" i="33" s="1"/>
  <c r="E13" i="33"/>
  <c r="E26" i="33" s="1"/>
  <c r="D13" i="33"/>
  <c r="D26" i="33" s="1"/>
  <c r="H9" i="33"/>
  <c r="G9" i="33"/>
  <c r="G25" i="33" s="1"/>
  <c r="G33" i="33" s="1"/>
  <c r="F9" i="33"/>
  <c r="F25" i="33" s="1"/>
  <c r="E9" i="33"/>
  <c r="E25" i="33" s="1"/>
  <c r="E33" i="33" s="1"/>
  <c r="D9" i="33"/>
  <c r="D25" i="33" s="1"/>
  <c r="D33" i="33" s="1"/>
  <c r="H5" i="33"/>
  <c r="G5" i="33"/>
  <c r="G24" i="33" s="1"/>
  <c r="F5" i="33"/>
  <c r="E5" i="33"/>
  <c r="E24" i="33" s="1"/>
  <c r="E32" i="33" s="1"/>
  <c r="D5" i="33"/>
  <c r="D24" i="33" s="1"/>
  <c r="H28" i="32"/>
  <c r="E28" i="32"/>
  <c r="H25" i="32"/>
  <c r="F25" i="32"/>
  <c r="D25" i="32"/>
  <c r="D33" i="32" s="1"/>
  <c r="H24" i="32"/>
  <c r="D24" i="32"/>
  <c r="D32" i="32" s="1"/>
  <c r="H21" i="32"/>
  <c r="G21" i="32"/>
  <c r="G28" i="32" s="1"/>
  <c r="F21" i="32"/>
  <c r="F28" i="32" s="1"/>
  <c r="F36" i="32" s="1"/>
  <c r="E21" i="32"/>
  <c r="D21" i="32"/>
  <c r="D28" i="32" s="1"/>
  <c r="H17" i="32"/>
  <c r="H27" i="32" s="1"/>
  <c r="G17" i="32"/>
  <c r="G27" i="32" s="1"/>
  <c r="F17" i="32"/>
  <c r="F27" i="32" s="1"/>
  <c r="F35" i="32" s="1"/>
  <c r="E17" i="32"/>
  <c r="E27" i="32" s="1"/>
  <c r="E35" i="32" s="1"/>
  <c r="D17" i="32"/>
  <c r="D27" i="32" s="1"/>
  <c r="D35" i="32" s="1"/>
  <c r="H13" i="32"/>
  <c r="H26" i="32" s="1"/>
  <c r="G13" i="32"/>
  <c r="G26" i="32" s="1"/>
  <c r="F13" i="32"/>
  <c r="F26" i="32" s="1"/>
  <c r="F34" i="32" s="1"/>
  <c r="E13" i="32"/>
  <c r="E26" i="32" s="1"/>
  <c r="D13" i="32"/>
  <c r="D26" i="32" s="1"/>
  <c r="D34" i="32" s="1"/>
  <c r="H9" i="32"/>
  <c r="G9" i="32"/>
  <c r="G25" i="32" s="1"/>
  <c r="F9" i="32"/>
  <c r="E9" i="32"/>
  <c r="E25" i="32" s="1"/>
  <c r="D9" i="32"/>
  <c r="H5" i="32"/>
  <c r="G5" i="32"/>
  <c r="G24" i="32" s="1"/>
  <c r="G32" i="32" s="1"/>
  <c r="F5" i="32"/>
  <c r="F24" i="32" s="1"/>
  <c r="F32" i="32" s="1"/>
  <c r="E5" i="32"/>
  <c r="E24" i="32" s="1"/>
  <c r="D5" i="32"/>
  <c r="E34" i="30"/>
  <c r="H21" i="30"/>
  <c r="H28" i="30" s="1"/>
  <c r="G21" i="30"/>
  <c r="G28" i="30" s="1"/>
  <c r="G36" i="30" s="1"/>
  <c r="F21" i="30"/>
  <c r="F28" i="30" s="1"/>
  <c r="F36" i="30" s="1"/>
  <c r="E21" i="30"/>
  <c r="E28" i="30" s="1"/>
  <c r="D21" i="30"/>
  <c r="D28" i="30" s="1"/>
  <c r="H17" i="30"/>
  <c r="H27" i="30" s="1"/>
  <c r="G17" i="30"/>
  <c r="G27" i="30" s="1"/>
  <c r="F17" i="30"/>
  <c r="F27" i="30" s="1"/>
  <c r="E17" i="30"/>
  <c r="E27" i="30" s="1"/>
  <c r="D17" i="30"/>
  <c r="D27" i="30" s="1"/>
  <c r="D35" i="30" s="1"/>
  <c r="H13" i="30"/>
  <c r="H26" i="30" s="1"/>
  <c r="G13" i="30"/>
  <c r="G26" i="30" s="1"/>
  <c r="G34" i="30" s="1"/>
  <c r="F13" i="30"/>
  <c r="F26" i="30" s="1"/>
  <c r="F34" i="30" s="1"/>
  <c r="E13" i="30"/>
  <c r="E26" i="30" s="1"/>
  <c r="D13" i="30"/>
  <c r="D26" i="30" s="1"/>
  <c r="D34" i="30" s="1"/>
  <c r="H9" i="30"/>
  <c r="H25" i="30" s="1"/>
  <c r="G9" i="30"/>
  <c r="G25" i="30" s="1"/>
  <c r="G33" i="30" s="1"/>
  <c r="F9" i="30"/>
  <c r="F25" i="30" s="1"/>
  <c r="E9" i="30"/>
  <c r="E25" i="30" s="1"/>
  <c r="E33" i="30" s="1"/>
  <c r="D9" i="30"/>
  <c r="D25" i="30" s="1"/>
  <c r="H5" i="30"/>
  <c r="H24" i="30" s="1"/>
  <c r="G5" i="30"/>
  <c r="G24" i="30" s="1"/>
  <c r="G32" i="30" s="1"/>
  <c r="F5" i="30"/>
  <c r="F24" i="30" s="1"/>
  <c r="F32" i="30" s="1"/>
  <c r="E5" i="30"/>
  <c r="E24" i="30" s="1"/>
  <c r="E32" i="30" s="1"/>
  <c r="D5" i="30"/>
  <c r="D24" i="30" s="1"/>
  <c r="D32" i="30" s="1"/>
  <c r="E25" i="29"/>
  <c r="E33" i="29" s="1"/>
  <c r="G24" i="29"/>
  <c r="G21" i="29"/>
  <c r="G28" i="29" s="1"/>
  <c r="G36" i="29" s="1"/>
  <c r="F21" i="29"/>
  <c r="F28" i="29" s="1"/>
  <c r="E21" i="29"/>
  <c r="E28" i="29" s="1"/>
  <c r="E36" i="29" s="1"/>
  <c r="D21" i="29"/>
  <c r="D28" i="29" s="1"/>
  <c r="D36" i="29" s="1"/>
  <c r="G17" i="29"/>
  <c r="G27" i="29" s="1"/>
  <c r="G35" i="29" s="1"/>
  <c r="F17" i="29"/>
  <c r="F27" i="29" s="1"/>
  <c r="F35" i="29" s="1"/>
  <c r="E17" i="29"/>
  <c r="E27" i="29" s="1"/>
  <c r="D17" i="29"/>
  <c r="D27" i="29" s="1"/>
  <c r="G13" i="29"/>
  <c r="G26" i="29" s="1"/>
  <c r="F13" i="29"/>
  <c r="F26" i="29" s="1"/>
  <c r="F34" i="29" s="1"/>
  <c r="E13" i="29"/>
  <c r="E26" i="29" s="1"/>
  <c r="E34" i="29" s="1"/>
  <c r="D13" i="29"/>
  <c r="D26" i="29" s="1"/>
  <c r="D34" i="29" s="1"/>
  <c r="G9" i="29"/>
  <c r="G25" i="29" s="1"/>
  <c r="G33" i="29" s="1"/>
  <c r="F9" i="29"/>
  <c r="F25" i="29" s="1"/>
  <c r="E9" i="29"/>
  <c r="D9" i="29"/>
  <c r="D25" i="29" s="1"/>
  <c r="G5" i="29"/>
  <c r="F5" i="29"/>
  <c r="F24" i="29" s="1"/>
  <c r="F32" i="29" s="1"/>
  <c r="E5" i="29"/>
  <c r="E24" i="29" s="1"/>
  <c r="D5" i="29"/>
  <c r="D24" i="29" s="1"/>
  <c r="G28" i="28"/>
  <c r="G36" i="28" s="1"/>
  <c r="G27" i="28"/>
  <c r="F26" i="28"/>
  <c r="F34" i="28" s="1"/>
  <c r="G21" i="28"/>
  <c r="F21" i="28"/>
  <c r="F28" i="28" s="1"/>
  <c r="F36" i="28" s="1"/>
  <c r="E21" i="28"/>
  <c r="E28" i="28" s="1"/>
  <c r="E36" i="28" s="1"/>
  <c r="D21" i="28"/>
  <c r="D28" i="28" s="1"/>
  <c r="G17" i="28"/>
  <c r="F17" i="28"/>
  <c r="F27" i="28" s="1"/>
  <c r="E17" i="28"/>
  <c r="E27" i="28" s="1"/>
  <c r="E35" i="28" s="1"/>
  <c r="D17" i="28"/>
  <c r="D27" i="28" s="1"/>
  <c r="D35" i="28" s="1"/>
  <c r="G13" i="28"/>
  <c r="G26" i="28" s="1"/>
  <c r="F13" i="28"/>
  <c r="E13" i="28"/>
  <c r="E26" i="28" s="1"/>
  <c r="E34" i="28" s="1"/>
  <c r="D13" i="28"/>
  <c r="D26" i="28" s="1"/>
  <c r="D34" i="28" s="1"/>
  <c r="G9" i="28"/>
  <c r="G25" i="28" s="1"/>
  <c r="G33" i="28" s="1"/>
  <c r="F9" i="28"/>
  <c r="F25" i="28" s="1"/>
  <c r="F33" i="28" s="1"/>
  <c r="E9" i="28"/>
  <c r="E25" i="28" s="1"/>
  <c r="E33" i="28" s="1"/>
  <c r="D9" i="28"/>
  <c r="D25" i="28" s="1"/>
  <c r="G5" i="28"/>
  <c r="G24" i="28" s="1"/>
  <c r="F5" i="28"/>
  <c r="F24" i="28" s="1"/>
  <c r="E5" i="28"/>
  <c r="E24" i="28" s="1"/>
  <c r="E32" i="28" s="1"/>
  <c r="D5" i="28"/>
  <c r="D24" i="28" s="1"/>
  <c r="D32" i="28" s="1"/>
  <c r="G28" i="27"/>
  <c r="G36" i="27" s="1"/>
  <c r="E28" i="27"/>
  <c r="E36" i="27" s="1"/>
  <c r="G27" i="27"/>
  <c r="G35" i="27" s="1"/>
  <c r="E26" i="27"/>
  <c r="E34" i="27" s="1"/>
  <c r="D26" i="27"/>
  <c r="D34" i="27" s="1"/>
  <c r="G25" i="27"/>
  <c r="G33" i="27" s="1"/>
  <c r="G21" i="27"/>
  <c r="F21" i="27"/>
  <c r="F28" i="27" s="1"/>
  <c r="F36" i="27" s="1"/>
  <c r="E21" i="27"/>
  <c r="D21" i="27"/>
  <c r="D28" i="27" s="1"/>
  <c r="G17" i="27"/>
  <c r="F17" i="27"/>
  <c r="F27" i="27" s="1"/>
  <c r="F35" i="27" s="1"/>
  <c r="E17" i="27"/>
  <c r="E27" i="27" s="1"/>
  <c r="E35" i="27" s="1"/>
  <c r="D17" i="27"/>
  <c r="D27" i="27" s="1"/>
  <c r="G13" i="27"/>
  <c r="G26" i="27" s="1"/>
  <c r="G34" i="27" s="1"/>
  <c r="F13" i="27"/>
  <c r="F26" i="27" s="1"/>
  <c r="F34" i="27" s="1"/>
  <c r="E13" i="27"/>
  <c r="D13" i="27"/>
  <c r="G9" i="27"/>
  <c r="F9" i="27"/>
  <c r="F25" i="27" s="1"/>
  <c r="F33" i="27" s="1"/>
  <c r="E9" i="27"/>
  <c r="E25" i="27" s="1"/>
  <c r="E33" i="27" s="1"/>
  <c r="D9" i="27"/>
  <c r="D25" i="27" s="1"/>
  <c r="G5" i="27"/>
  <c r="G24" i="27" s="1"/>
  <c r="G32" i="27" s="1"/>
  <c r="F5" i="27"/>
  <c r="F24" i="27" s="1"/>
  <c r="F32" i="27" s="1"/>
  <c r="E5" i="27"/>
  <c r="E24" i="27" s="1"/>
  <c r="E32" i="27" s="1"/>
  <c r="D5" i="27"/>
  <c r="D24" i="27" s="1"/>
  <c r="E28" i="26"/>
  <c r="E36" i="26" s="1"/>
  <c r="E25" i="26"/>
  <c r="E33" i="26" s="1"/>
  <c r="G24" i="26"/>
  <c r="G21" i="26"/>
  <c r="G28" i="26" s="1"/>
  <c r="G36" i="26" s="1"/>
  <c r="F21" i="26"/>
  <c r="F28" i="26" s="1"/>
  <c r="E21" i="26"/>
  <c r="D21" i="26"/>
  <c r="D28" i="26" s="1"/>
  <c r="G17" i="26"/>
  <c r="G27" i="26" s="1"/>
  <c r="G35" i="26" s="1"/>
  <c r="F17" i="26"/>
  <c r="F27" i="26" s="1"/>
  <c r="F35" i="26" s="1"/>
  <c r="E17" i="26"/>
  <c r="E27" i="26" s="1"/>
  <c r="E35" i="26" s="1"/>
  <c r="D17" i="26"/>
  <c r="D27" i="26" s="1"/>
  <c r="G13" i="26"/>
  <c r="G26" i="26" s="1"/>
  <c r="F13" i="26"/>
  <c r="F26" i="26" s="1"/>
  <c r="F34" i="26" s="1"/>
  <c r="E13" i="26"/>
  <c r="E26" i="26" s="1"/>
  <c r="E34" i="26" s="1"/>
  <c r="D13" i="26"/>
  <c r="D26" i="26" s="1"/>
  <c r="D34" i="26" s="1"/>
  <c r="G9" i="26"/>
  <c r="G25" i="26" s="1"/>
  <c r="G33" i="26" s="1"/>
  <c r="F9" i="26"/>
  <c r="F25" i="26" s="1"/>
  <c r="E9" i="26"/>
  <c r="D9" i="26"/>
  <c r="D25" i="26" s="1"/>
  <c r="G5" i="26"/>
  <c r="F5" i="26"/>
  <c r="F24" i="26" s="1"/>
  <c r="F32" i="26" s="1"/>
  <c r="E5" i="26"/>
  <c r="E24" i="26" s="1"/>
  <c r="E32" i="26" s="1"/>
  <c r="D5" i="26"/>
  <c r="D24" i="26" s="1"/>
  <c r="G28" i="25"/>
  <c r="G36" i="25" s="1"/>
  <c r="G27" i="25"/>
  <c r="G35" i="25" s="1"/>
  <c r="F26" i="25"/>
  <c r="E26" i="25"/>
  <c r="E25" i="25"/>
  <c r="E33" i="25" s="1"/>
  <c r="G21" i="25"/>
  <c r="F21" i="25"/>
  <c r="F28" i="25" s="1"/>
  <c r="F36" i="25" s="1"/>
  <c r="E21" i="25"/>
  <c r="E28" i="25" s="1"/>
  <c r="D21" i="25"/>
  <c r="D28" i="25" s="1"/>
  <c r="G17" i="25"/>
  <c r="F17" i="25"/>
  <c r="F27" i="25" s="1"/>
  <c r="F35" i="25" s="1"/>
  <c r="E17" i="25"/>
  <c r="E27" i="25" s="1"/>
  <c r="E35" i="25" s="1"/>
  <c r="D17" i="25"/>
  <c r="D27" i="25" s="1"/>
  <c r="G13" i="25"/>
  <c r="G26" i="25" s="1"/>
  <c r="G34" i="25" s="1"/>
  <c r="F13" i="25"/>
  <c r="E13" i="25"/>
  <c r="D13" i="25"/>
  <c r="D26" i="25" s="1"/>
  <c r="D34" i="25" s="1"/>
  <c r="G9" i="25"/>
  <c r="G25" i="25" s="1"/>
  <c r="F9" i="25"/>
  <c r="F25" i="25" s="1"/>
  <c r="F33" i="25" s="1"/>
  <c r="E9" i="25"/>
  <c r="D9" i="25"/>
  <c r="D25" i="25" s="1"/>
  <c r="D33" i="25" s="1"/>
  <c r="G5" i="25"/>
  <c r="G24" i="25" s="1"/>
  <c r="F5" i="25"/>
  <c r="F24" i="25" s="1"/>
  <c r="F32" i="25" s="1"/>
  <c r="E5" i="25"/>
  <c r="E24" i="25" s="1"/>
  <c r="D5" i="25"/>
  <c r="D24" i="25" s="1"/>
  <c r="D32" i="25" s="1"/>
  <c r="H27" i="24"/>
  <c r="H35" i="24" s="1"/>
  <c r="D27" i="24"/>
  <c r="G25" i="24"/>
  <c r="G33" i="24" s="1"/>
  <c r="F25" i="24"/>
  <c r="H21" i="24"/>
  <c r="H28" i="24" s="1"/>
  <c r="H36" i="24" s="1"/>
  <c r="G21" i="24"/>
  <c r="G28" i="24" s="1"/>
  <c r="F21" i="24"/>
  <c r="F28" i="24" s="1"/>
  <c r="F36" i="24" s="1"/>
  <c r="E21" i="24"/>
  <c r="E28" i="24" s="1"/>
  <c r="E36" i="24" s="1"/>
  <c r="D21" i="24"/>
  <c r="D28" i="24" s="1"/>
  <c r="H17" i="24"/>
  <c r="G17" i="24"/>
  <c r="G27" i="24" s="1"/>
  <c r="G35" i="24" s="1"/>
  <c r="F17" i="24"/>
  <c r="F27" i="24" s="1"/>
  <c r="F35" i="24" s="1"/>
  <c r="E17" i="24"/>
  <c r="E27" i="24" s="1"/>
  <c r="E35" i="24" s="1"/>
  <c r="D17" i="24"/>
  <c r="H13" i="24"/>
  <c r="H26" i="24" s="1"/>
  <c r="H34" i="24" s="1"/>
  <c r="G13" i="24"/>
  <c r="G26" i="24" s="1"/>
  <c r="F13" i="24"/>
  <c r="F26" i="24" s="1"/>
  <c r="E13" i="24"/>
  <c r="E26" i="24" s="1"/>
  <c r="E34" i="24" s="1"/>
  <c r="D13" i="24"/>
  <c r="D26" i="24" s="1"/>
  <c r="H9" i="24"/>
  <c r="H25" i="24" s="1"/>
  <c r="H33" i="24" s="1"/>
  <c r="G9" i="24"/>
  <c r="F9" i="24"/>
  <c r="E9" i="24"/>
  <c r="E25" i="24" s="1"/>
  <c r="D9" i="24"/>
  <c r="D25" i="24" s="1"/>
  <c r="H5" i="24"/>
  <c r="H24" i="24" s="1"/>
  <c r="H32" i="24" s="1"/>
  <c r="G5" i="24"/>
  <c r="G24" i="24" s="1"/>
  <c r="F5" i="24"/>
  <c r="F24" i="24" s="1"/>
  <c r="F32" i="24" s="1"/>
  <c r="E5" i="24"/>
  <c r="E24" i="24" s="1"/>
  <c r="E32" i="24" s="1"/>
  <c r="D5" i="24"/>
  <c r="D24" i="24" s="1"/>
  <c r="F27" i="23"/>
  <c r="G26" i="23"/>
  <c r="I21" i="23"/>
  <c r="I28" i="23" s="1"/>
  <c r="H21" i="23"/>
  <c r="H28" i="23" s="1"/>
  <c r="G21" i="23"/>
  <c r="G28" i="23" s="1"/>
  <c r="F21" i="23"/>
  <c r="F28" i="23" s="1"/>
  <c r="E21" i="23"/>
  <c r="E28" i="23" s="1"/>
  <c r="D21" i="23"/>
  <c r="D28" i="23" s="1"/>
  <c r="I17" i="23"/>
  <c r="I27" i="23" s="1"/>
  <c r="H17" i="23"/>
  <c r="H27" i="23" s="1"/>
  <c r="G17" i="23"/>
  <c r="G27" i="23" s="1"/>
  <c r="F17" i="23"/>
  <c r="E17" i="23"/>
  <c r="E27" i="23" s="1"/>
  <c r="D17" i="23"/>
  <c r="D27" i="23" s="1"/>
  <c r="I13" i="23"/>
  <c r="I26" i="23" s="1"/>
  <c r="H13" i="23"/>
  <c r="H26" i="23" s="1"/>
  <c r="G13" i="23"/>
  <c r="F13" i="23"/>
  <c r="F26" i="23" s="1"/>
  <c r="E13" i="23"/>
  <c r="E26" i="23" s="1"/>
  <c r="D13" i="23"/>
  <c r="D26" i="23" s="1"/>
  <c r="I9" i="23"/>
  <c r="I25" i="23" s="1"/>
  <c r="H9" i="23"/>
  <c r="H25" i="23" s="1"/>
  <c r="G9" i="23"/>
  <c r="G25" i="23" s="1"/>
  <c r="F9" i="23"/>
  <c r="F25" i="23" s="1"/>
  <c r="E9" i="23"/>
  <c r="E25" i="23" s="1"/>
  <c r="D9" i="23"/>
  <c r="D25" i="23" s="1"/>
  <c r="I5" i="23"/>
  <c r="I24" i="23" s="1"/>
  <c r="H5" i="23"/>
  <c r="H24" i="23" s="1"/>
  <c r="G5" i="23"/>
  <c r="G24" i="23" s="1"/>
  <c r="F5" i="23"/>
  <c r="F24" i="23" s="1"/>
  <c r="E5" i="23"/>
  <c r="E24" i="23" s="1"/>
  <c r="D32" i="24" s="1"/>
  <c r="D5" i="23"/>
  <c r="D24" i="23" s="1"/>
  <c r="J21" i="22"/>
  <c r="I21" i="22"/>
  <c r="H21" i="22"/>
  <c r="G21" i="22"/>
  <c r="F21" i="22"/>
  <c r="E21" i="22"/>
  <c r="J17" i="22"/>
  <c r="I17" i="22"/>
  <c r="H17" i="22"/>
  <c r="G17" i="22"/>
  <c r="F17" i="22"/>
  <c r="E17" i="22"/>
  <c r="J13" i="22"/>
  <c r="I13" i="22"/>
  <c r="H13" i="22"/>
  <c r="G13" i="22"/>
  <c r="F13" i="22"/>
  <c r="E13" i="22"/>
  <c r="J9" i="22"/>
  <c r="I9" i="22"/>
  <c r="H9" i="22"/>
  <c r="G9" i="22"/>
  <c r="F9" i="22"/>
  <c r="E9" i="22"/>
  <c r="J5" i="22"/>
  <c r="I5" i="22"/>
  <c r="H5" i="22"/>
  <c r="G5" i="22"/>
  <c r="F5" i="22"/>
  <c r="E5" i="22"/>
  <c r="I20" i="21"/>
  <c r="G20" i="21"/>
  <c r="I16" i="21"/>
  <c r="G16" i="21"/>
  <c r="I12" i="21"/>
  <c r="G12" i="21"/>
  <c r="I8" i="21"/>
  <c r="G8" i="21"/>
  <c r="I4" i="21"/>
  <c r="G4" i="21"/>
  <c r="I20" i="20"/>
  <c r="G20" i="20"/>
  <c r="I16" i="20"/>
  <c r="G16" i="20"/>
  <c r="I12" i="20"/>
  <c r="G12" i="20"/>
  <c r="I8" i="20"/>
  <c r="G8" i="20"/>
  <c r="I4" i="20"/>
  <c r="G4" i="20"/>
  <c r="I22" i="19"/>
  <c r="G22" i="19"/>
  <c r="I20" i="19"/>
  <c r="G20" i="19"/>
  <c r="I18" i="19"/>
  <c r="G18" i="19"/>
  <c r="I16" i="19"/>
  <c r="G16" i="19"/>
  <c r="I14" i="19"/>
  <c r="G14" i="19"/>
  <c r="I12" i="19"/>
  <c r="G12" i="19"/>
  <c r="I10" i="19"/>
  <c r="G10" i="19"/>
  <c r="I8" i="19"/>
  <c r="G8" i="19"/>
  <c r="I6" i="19"/>
  <c r="G6" i="19"/>
  <c r="I4" i="19"/>
  <c r="G4" i="19"/>
  <c r="I20" i="18"/>
  <c r="G20" i="18"/>
  <c r="I16" i="18"/>
  <c r="G16" i="18"/>
  <c r="I12" i="18"/>
  <c r="G12" i="18"/>
  <c r="I8" i="18"/>
  <c r="G8" i="18"/>
  <c r="I4" i="18"/>
  <c r="G4" i="18"/>
  <c r="I20" i="17"/>
  <c r="G20" i="17"/>
  <c r="I16" i="17"/>
  <c r="G16" i="17"/>
  <c r="I12" i="17"/>
  <c r="G12" i="17"/>
  <c r="I8" i="17"/>
  <c r="G8" i="17"/>
  <c r="I4" i="17"/>
  <c r="G4" i="17"/>
  <c r="I20" i="16"/>
  <c r="G20" i="16"/>
  <c r="I16" i="16"/>
  <c r="G16" i="16"/>
  <c r="I12" i="16"/>
  <c r="G12" i="16"/>
  <c r="I8" i="16"/>
  <c r="G8" i="16"/>
  <c r="I4" i="16"/>
  <c r="G4" i="16"/>
  <c r="I20" i="15"/>
  <c r="G20" i="15"/>
  <c r="I16" i="15"/>
  <c r="G16" i="15"/>
  <c r="I12" i="15"/>
  <c r="G12" i="15"/>
  <c r="I8" i="15"/>
  <c r="G8" i="15"/>
  <c r="I4" i="15"/>
  <c r="G4" i="15"/>
  <c r="I22" i="14"/>
  <c r="G22" i="14"/>
  <c r="I20" i="14"/>
  <c r="G20" i="14"/>
  <c r="I18" i="14"/>
  <c r="G18" i="14"/>
  <c r="I16" i="14"/>
  <c r="G16" i="14"/>
  <c r="I14" i="14"/>
  <c r="G14" i="14"/>
  <c r="I12" i="14"/>
  <c r="G12" i="14"/>
  <c r="I10" i="14"/>
  <c r="G10" i="14"/>
  <c r="I8" i="14"/>
  <c r="G8" i="14"/>
  <c r="I6" i="14"/>
  <c r="G6" i="14"/>
  <c r="I4" i="14"/>
  <c r="G4" i="14"/>
  <c r="I15" i="11"/>
  <c r="I11" i="11"/>
  <c r="I7" i="11"/>
  <c r="I3" i="11"/>
  <c r="I19" i="10"/>
  <c r="I15" i="10"/>
  <c r="I11" i="10"/>
  <c r="I7" i="10"/>
  <c r="I3" i="10"/>
  <c r="I19" i="8"/>
  <c r="I15" i="8"/>
  <c r="I11" i="8"/>
  <c r="I7" i="8"/>
  <c r="I3" i="8"/>
  <c r="H19" i="7"/>
  <c r="H15" i="7"/>
  <c r="H11" i="7"/>
  <c r="H7" i="7"/>
  <c r="H3" i="7"/>
  <c r="H19" i="6"/>
  <c r="H15" i="6"/>
  <c r="H11" i="6"/>
  <c r="H7" i="6"/>
  <c r="H3" i="6"/>
  <c r="G32" i="44"/>
  <c r="F28" i="44"/>
  <c r="F36" i="44" s="1"/>
  <c r="D28" i="44"/>
  <c r="D36" i="44" s="1"/>
  <c r="E24" i="44"/>
  <c r="E32" i="44" s="1"/>
  <c r="G21" i="44"/>
  <c r="G28" i="44" s="1"/>
  <c r="G36" i="44" s="1"/>
  <c r="F21" i="44"/>
  <c r="E21" i="44"/>
  <c r="E28" i="44" s="1"/>
  <c r="D21" i="44"/>
  <c r="G17" i="44"/>
  <c r="G27" i="44" s="1"/>
  <c r="G35" i="44" s="1"/>
  <c r="F17" i="44"/>
  <c r="F27" i="44" s="1"/>
  <c r="F35" i="44" s="1"/>
  <c r="E17" i="44"/>
  <c r="E27" i="44" s="1"/>
  <c r="E35" i="44" s="1"/>
  <c r="D17" i="44"/>
  <c r="D27" i="44" s="1"/>
  <c r="D35" i="44" s="1"/>
  <c r="G13" i="44"/>
  <c r="G26" i="44" s="1"/>
  <c r="G34" i="44" s="1"/>
  <c r="F13" i="44"/>
  <c r="F26" i="44" s="1"/>
  <c r="F34" i="44" s="1"/>
  <c r="E13" i="44"/>
  <c r="E26" i="44" s="1"/>
  <c r="E34" i="44" s="1"/>
  <c r="D13" i="44"/>
  <c r="D26" i="44" s="1"/>
  <c r="G9" i="44"/>
  <c r="G25" i="44" s="1"/>
  <c r="G33" i="44" s="1"/>
  <c r="F9" i="44"/>
  <c r="F25" i="44" s="1"/>
  <c r="F33" i="44" s="1"/>
  <c r="E9" i="44"/>
  <c r="E25" i="44" s="1"/>
  <c r="D9" i="44"/>
  <c r="D25" i="44" s="1"/>
  <c r="D33" i="44" s="1"/>
  <c r="G5" i="44"/>
  <c r="G24" i="44" s="1"/>
  <c r="F5" i="44"/>
  <c r="F24" i="44" s="1"/>
  <c r="F32" i="44" s="1"/>
  <c r="E5" i="44"/>
  <c r="D5" i="44"/>
  <c r="D24" i="44" s="1"/>
  <c r="D32" i="44" s="1"/>
  <c r="F35" i="41" l="1"/>
  <c r="F32" i="41"/>
  <c r="H34" i="37"/>
  <c r="E34" i="25"/>
  <c r="F33" i="24"/>
  <c r="F34" i="24"/>
  <c r="H32" i="38"/>
  <c r="F34" i="42"/>
  <c r="E32" i="34"/>
  <c r="D36" i="24"/>
  <c r="G34" i="26"/>
  <c r="G34" i="29"/>
  <c r="F33" i="32"/>
  <c r="G32" i="33"/>
  <c r="D35" i="33"/>
  <c r="F32" i="34"/>
  <c r="E32" i="36"/>
  <c r="F33" i="39"/>
  <c r="J34" i="39"/>
  <c r="F36" i="39"/>
  <c r="D33" i="40"/>
  <c r="D36" i="40"/>
  <c r="D32" i="42"/>
  <c r="D35" i="42"/>
  <c r="E35" i="42"/>
  <c r="D33" i="43"/>
  <c r="D36" i="25"/>
  <c r="F32" i="38"/>
  <c r="G33" i="25"/>
  <c r="G36" i="24"/>
  <c r="D32" i="26"/>
  <c r="D35" i="26"/>
  <c r="D33" i="27"/>
  <c r="D36" i="27"/>
  <c r="G32" i="28"/>
  <c r="D32" i="29"/>
  <c r="D35" i="29"/>
  <c r="E35" i="30"/>
  <c r="D35" i="34"/>
  <c r="F32" i="36"/>
  <c r="D35" i="37"/>
  <c r="G33" i="39"/>
  <c r="G34" i="39"/>
  <c r="G36" i="42"/>
  <c r="F34" i="43"/>
  <c r="D34" i="24"/>
  <c r="G32" i="25"/>
  <c r="E32" i="29"/>
  <c r="E35" i="29"/>
  <c r="E33" i="32"/>
  <c r="G35" i="32"/>
  <c r="E34" i="33"/>
  <c r="G33" i="34"/>
  <c r="G32" i="36"/>
  <c r="D35" i="36"/>
  <c r="G34" i="36"/>
  <c r="F35" i="37"/>
  <c r="D33" i="38"/>
  <c r="D36" i="38"/>
  <c r="G33" i="38"/>
  <c r="D35" i="39"/>
  <c r="F32" i="42"/>
  <c r="F35" i="42"/>
  <c r="D32" i="43"/>
  <c r="D35" i="43"/>
  <c r="D35" i="25"/>
  <c r="F32" i="33"/>
  <c r="G32" i="24"/>
  <c r="G35" i="30"/>
  <c r="E32" i="39"/>
  <c r="E36" i="30"/>
  <c r="E36" i="32"/>
  <c r="D33" i="24"/>
  <c r="G34" i="28"/>
  <c r="F33" i="30"/>
  <c r="F35" i="30"/>
  <c r="G33" i="32"/>
  <c r="D36" i="32"/>
  <c r="F33" i="33"/>
  <c r="F33" i="37"/>
  <c r="G34" i="34"/>
  <c r="D33" i="36"/>
  <c r="F35" i="36"/>
  <c r="D36" i="36"/>
  <c r="D36" i="37"/>
  <c r="F33" i="38"/>
  <c r="F36" i="38"/>
  <c r="D32" i="41"/>
  <c r="D35" i="41"/>
  <c r="D33" i="42"/>
  <c r="D36" i="42"/>
  <c r="F32" i="43"/>
  <c r="F35" i="43"/>
  <c r="D36" i="43"/>
  <c r="D33" i="26"/>
  <c r="D36" i="26"/>
  <c r="D33" i="29"/>
  <c r="D33" i="30"/>
  <c r="D36" i="30"/>
  <c r="F36" i="37"/>
  <c r="G34" i="38"/>
  <c r="G32" i="39"/>
  <c r="K33" i="39"/>
  <c r="K36" i="39"/>
  <c r="E32" i="40"/>
  <c r="D34" i="41"/>
  <c r="E33" i="42"/>
  <c r="E36" i="42"/>
  <c r="D35" i="40"/>
  <c r="H35" i="37"/>
  <c r="H35" i="39"/>
  <c r="D34" i="44"/>
  <c r="E33" i="24"/>
  <c r="E32" i="25"/>
  <c r="F34" i="25"/>
  <c r="F33" i="26"/>
  <c r="F36" i="26"/>
  <c r="F32" i="28"/>
  <c r="F35" i="28"/>
  <c r="G35" i="28"/>
  <c r="F33" i="29"/>
  <c r="F36" i="29"/>
  <c r="E34" i="32"/>
  <c r="G36" i="32"/>
  <c r="D34" i="33"/>
  <c r="D34" i="38"/>
  <c r="F36" i="33"/>
  <c r="G36" i="33"/>
  <c r="D36" i="34"/>
  <c r="G33" i="36"/>
  <c r="E32" i="37"/>
  <c r="G34" i="37"/>
  <c r="G32" i="37"/>
  <c r="E32" i="38"/>
  <c r="E33" i="40"/>
  <c r="E33" i="41"/>
  <c r="E36" i="41"/>
  <c r="E36" i="40"/>
  <c r="F32" i="39"/>
  <c r="E33" i="44"/>
  <c r="E33" i="43"/>
  <c r="E36" i="44"/>
  <c r="E36" i="43"/>
  <c r="G34" i="24"/>
  <c r="G34" i="32"/>
  <c r="D34" i="34"/>
  <c r="F36" i="34"/>
  <c r="F32" i="37"/>
  <c r="D33" i="37"/>
  <c r="F35" i="38"/>
  <c r="J32" i="39"/>
  <c r="F34" i="39"/>
  <c r="J35" i="39"/>
  <c r="D33" i="41"/>
  <c r="D36" i="41"/>
  <c r="D35" i="24"/>
  <c r="E36" i="25"/>
  <c r="G32" i="26"/>
  <c r="D32" i="27"/>
  <c r="D35" i="27"/>
  <c r="D33" i="28"/>
  <c r="D36" i="28"/>
  <c r="G32" i="29"/>
  <c r="E32" i="32"/>
  <c r="D32" i="33"/>
  <c r="F34" i="33"/>
  <c r="D34" i="36"/>
  <c r="F36" i="36"/>
  <c r="G32" i="38"/>
  <c r="G33" i="41"/>
  <c r="G33" i="40"/>
  <c r="G36" i="41"/>
  <c r="G36" i="40"/>
  <c r="H35" i="38"/>
  <c r="D34" i="40"/>
  <c r="G33" i="42"/>
  <c r="G33" i="43"/>
  <c r="G36" i="43"/>
</calcChain>
</file>

<file path=xl/sharedStrings.xml><?xml version="1.0" encoding="utf-8"?>
<sst xmlns="http://schemas.openxmlformats.org/spreadsheetml/2006/main" count="1545" uniqueCount="51">
  <si>
    <t>预测机构</t>
  </si>
  <si>
    <t>更新日期</t>
  </si>
  <si>
    <t>供需</t>
  </si>
  <si>
    <t>2023Q1</t>
  </si>
  <si>
    <t>2023Q2</t>
  </si>
  <si>
    <t>2023Q2供需差</t>
  </si>
  <si>
    <t>2023Q3</t>
  </si>
  <si>
    <t>2023Q4</t>
  </si>
  <si>
    <t>IEA</t>
  </si>
  <si>
    <t>供</t>
  </si>
  <si>
    <t>需</t>
  </si>
  <si>
    <t>EIA</t>
  </si>
  <si>
    <t>IHS</t>
  </si>
  <si>
    <t>Woodmac</t>
  </si>
  <si>
    <t>Rystad</t>
  </si>
  <si>
    <t>2023Q3供需差</t>
  </si>
  <si>
    <t>2023Q4供需差</t>
  </si>
  <si>
    <t>2024Q1</t>
  </si>
  <si>
    <t>2024Q1供需差</t>
  </si>
  <si>
    <t>2024年</t>
  </si>
  <si>
    <t>2024年供需差</t>
  </si>
  <si>
    <t>WM</t>
  </si>
  <si>
    <t>2024Q2</t>
  </si>
  <si>
    <t>2024Q2供需差</t>
  </si>
  <si>
    <t>2024Q3</t>
  </si>
  <si>
    <t>2024Q3供需差</t>
  </si>
  <si>
    <t>5.30</t>
  </si>
  <si>
    <t>5.10</t>
  </si>
  <si>
    <t>6.20</t>
  </si>
  <si>
    <t>6.30</t>
  </si>
  <si>
    <t>7.19</t>
  </si>
  <si>
    <t>7.30</t>
  </si>
  <si>
    <t>8.24</t>
  </si>
  <si>
    <t>2024Q4</t>
  </si>
  <si>
    <t>2025Q1</t>
  </si>
  <si>
    <t>2025Q2</t>
  </si>
  <si>
    <t>2025Q3</t>
  </si>
  <si>
    <t>2025Q4</t>
  </si>
  <si>
    <t>供应</t>
  </si>
  <si>
    <t>需求</t>
  </si>
  <si>
    <t>供需差</t>
  </si>
  <si>
    <t>S&amp;P</t>
  </si>
  <si>
    <t>与上一月的变化</t>
  </si>
  <si>
    <t>2026Q1</t>
  </si>
  <si>
    <t>2026Q2</t>
  </si>
  <si>
    <t>2026Q3</t>
  </si>
  <si>
    <t>2026Q4</t>
  </si>
  <si>
    <t>2027Q1</t>
  </si>
  <si>
    <t>2027Q2</t>
  </si>
  <si>
    <t>2027Q3</t>
  </si>
  <si>
    <t>2027Q4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</si>
</sst>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,##0.0_);\-#,##0.0_);\-_)"/>
    <numFmt numFmtId="179" formatCode="0.00_ "/>
    <numFmt numFmtId="180" formatCode="0.0"/>
    <numFmt numFmtId="181" formatCode="0.0_ "/>
  </numFmts>
  <fonts count="20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15"/>
      <color rgb="FF000000"/>
      <name val="微软雅黑"/>
      <charset val="134"/>
    </font>
    <font>
      <b/>
      <sz val="13"/>
      <color rgb="FF000000"/>
      <name val="微软雅黑"/>
      <charset val="134"/>
    </font>
    <font>
      <b/>
      <sz val="18"/>
      <color rgb="FF5B9BD5"/>
      <name val="微软雅黑"/>
      <charset val="134"/>
    </font>
    <font>
      <b/>
      <sz val="16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20"/>
      <color rgb="FF5B9BD5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00"/>
      <name val="Arial"/>
      <family val="2"/>
    </font>
    <font>
      <b/>
      <sz val="15"/>
      <color rgb="FF5B9BD5"/>
      <name val="微软雅黑"/>
      <charset val="134"/>
    </font>
    <font>
      <sz val="10"/>
      <name val="Arial"/>
      <family val="2"/>
    </font>
    <font>
      <sz val="8"/>
      <color indexed="34"/>
      <name val="Arial"/>
      <family val="2"/>
    </font>
    <font>
      <sz val="8"/>
      <name val="Courier"/>
      <family val="3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/>
      <right/>
      <top/>
      <bottom style="medium">
        <color theme="1"/>
      </bottom>
      <diagonal/>
    </border>
  </borders>
  <cellStyleXfs count="7">
    <xf numFmtId="0" fontId="0" fillId="0" borderId="0">
      <alignment vertical="center"/>
    </xf>
    <xf numFmtId="3" fontId="15" fillId="0" borderId="0">
      <alignment horizontal="left" vertical="top" wrapText="1"/>
    </xf>
    <xf numFmtId="0" fontId="15" fillId="0" borderId="0"/>
    <xf numFmtId="178" fontId="16" fillId="0" borderId="0"/>
    <xf numFmtId="0" fontId="17" fillId="0" borderId="0"/>
    <xf numFmtId="0" fontId="18" fillId="0" borderId="13" applyNumberFormat="0"/>
    <xf numFmtId="3" fontId="5" fillId="0" borderId="0" applyNumberFormat="0">
      <alignment vertical="top"/>
    </xf>
  </cellStyleXfs>
  <cellXfs count="5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4" fontId="0" fillId="0" borderId="0" xfId="0" applyNumberFormat="1" applyAlignment="1"/>
    <xf numFmtId="4" fontId="0" fillId="0" borderId="0" xfId="0" applyNumberFormat="1" applyAlignment="1">
      <alignment horizontal="center"/>
    </xf>
    <xf numFmtId="0" fontId="0" fillId="0" borderId="0" xfId="0" applyAlignment="1"/>
    <xf numFmtId="179" fontId="3" fillId="0" borderId="0" xfId="0" applyNumberFormat="1" applyFont="1" applyAlignment="1"/>
    <xf numFmtId="2" fontId="4" fillId="3" borderId="3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180" fontId="5" fillId="0" borderId="0" xfId="2" applyNumberFormat="1" applyFont="1" applyAlignment="1">
      <alignment horizontal="right" wrapText="1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181" fontId="7" fillId="6" borderId="6" xfId="0" applyNumberFormat="1" applyFont="1" applyFill="1" applyBorder="1" applyAlignment="1">
      <alignment horizontal="center" vertical="center" wrapText="1"/>
    </xf>
    <xf numFmtId="181" fontId="7" fillId="5" borderId="6" xfId="0" applyNumberFormat="1" applyFont="1" applyFill="1" applyBorder="1" applyAlignment="1">
      <alignment horizontal="center" vertical="center" wrapText="1"/>
    </xf>
    <xf numFmtId="179" fontId="7" fillId="6" borderId="6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179" fontId="10" fillId="7" borderId="10" xfId="0" applyNumberFormat="1" applyFont="1" applyFill="1" applyBorder="1" applyAlignment="1">
      <alignment horizontal="center" vertical="center" wrapText="1"/>
    </xf>
    <xf numFmtId="179" fontId="10" fillId="7" borderId="9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179" fontId="7" fillId="6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</cellXfs>
  <cellStyles count="7">
    <cellStyle name="Normal 10 7" xfId="2" xr:uid="{00000000-0005-0000-0000-000020000000}"/>
    <cellStyle name="Normal 83" xfId="1" xr:uid="{00000000-0005-0000-0000-000019000000}"/>
    <cellStyle name="Normal 89" xfId="3" xr:uid="{00000000-0005-0000-0000-000025000000}"/>
    <cellStyle name="Normal_us_psd_m" xfId="4" xr:uid="{00000000-0005-0000-0000-000026000000}"/>
    <cellStyle name="phx-col-head-last" xfId="5" xr:uid="{00000000-0005-0000-0000-000035000000}"/>
    <cellStyle name="phx-total-row" xfId="6" xr:uid="{00000000-0005-0000-0000-000036000000}"/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'202410'!$D$24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'202410'!$E$23:$J$23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'202410'!$E$24:$J$24</c:f>
              <c:numCache>
                <c:formatCode>General</c:formatCode>
                <c:ptCount val="6"/>
                <c:pt idx="0">
                  <c:v>-0.62000000000000499</c:v>
                </c:pt>
                <c:pt idx="1">
                  <c:v>9.9999999999994302E-2</c:v>
                </c:pt>
                <c:pt idx="2">
                  <c:v>1.41</c:v>
                </c:pt>
                <c:pt idx="3">
                  <c:v>1.28999999999999</c:v>
                </c:pt>
                <c:pt idx="4">
                  <c:v>0.40000000000000602</c:v>
                </c:pt>
                <c:pt idx="5">
                  <c:v>0.70000000000000295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B-4596-B702-FE6EF6CD4967}"/>
            </c:ext>
          </c:extLst>
        </c:ser>
        <c:ser>
          <c:idx val="1"/>
          <c:order val="1"/>
          <c:tx>
            <c:strRef>
              <c:f>'202410'!$D$25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'202410'!$E$23:$J$23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'202410'!$E$25:$J$25</c:f>
              <c:numCache>
                <c:formatCode>General</c:formatCode>
                <c:ptCount val="6"/>
                <c:pt idx="0">
                  <c:v>-0.96000000000000796</c:v>
                </c:pt>
                <c:pt idx="1">
                  <c:v>-1.25</c:v>
                </c:pt>
                <c:pt idx="2">
                  <c:v>-0.97999999999998999</c:v>
                </c:pt>
                <c:pt idx="3">
                  <c:v>-9.9999999999909103E-3</c:v>
                </c:pt>
                <c:pt idx="4">
                  <c:v>0.48000000000000398</c:v>
                </c:pt>
                <c:pt idx="5">
                  <c:v>0.46000000000000801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B-4596-B702-FE6EF6CD4967}"/>
            </c:ext>
          </c:extLst>
        </c:ser>
        <c:ser>
          <c:idx val="2"/>
          <c:order val="2"/>
          <c:tx>
            <c:strRef>
              <c:f>'202410'!$D$26</c:f>
              <c:strCache>
                <c:ptCount val="1"/>
                <c:pt idx="0">
                  <c:v>IHS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'202410'!$E$23:$J$23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'202410'!$E$26:$J$26</c:f>
              <c:numCache>
                <c:formatCode>General</c:formatCode>
                <c:ptCount val="6"/>
                <c:pt idx="0">
                  <c:v>-1.5260592919213101</c:v>
                </c:pt>
                <c:pt idx="1">
                  <c:v>-0.85451874200148803</c:v>
                </c:pt>
                <c:pt idx="2">
                  <c:v>1.0506905275487699</c:v>
                </c:pt>
                <c:pt idx="3">
                  <c:v>0.67259409676900395</c:v>
                </c:pt>
                <c:pt idx="4">
                  <c:v>-0.54258224154908397</c:v>
                </c:pt>
                <c:pt idx="5">
                  <c:v>0.21267732394105099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B-4596-B702-FE6EF6CD4967}"/>
            </c:ext>
          </c:extLst>
        </c:ser>
        <c:ser>
          <c:idx val="3"/>
          <c:order val="3"/>
          <c:tx>
            <c:strRef>
              <c:f>'202410'!$D$27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'202410'!$E$23:$J$23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'202410'!$E$27:$J$27</c:f>
              <c:numCache>
                <c:formatCode>General</c:formatCode>
                <c:ptCount val="6"/>
                <c:pt idx="0">
                  <c:v>-2.6199999999999899</c:v>
                </c:pt>
                <c:pt idx="1">
                  <c:v>-1.39</c:v>
                </c:pt>
                <c:pt idx="2">
                  <c:v>1.01000000000001</c:v>
                </c:pt>
                <c:pt idx="3">
                  <c:v>0.39999999999999097</c:v>
                </c:pt>
                <c:pt idx="4">
                  <c:v>-0.79999999999999705</c:v>
                </c:pt>
                <c:pt idx="5">
                  <c:v>0.35000000000000903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B-4596-B702-FE6EF6CD4967}"/>
            </c:ext>
          </c:extLst>
        </c:ser>
        <c:ser>
          <c:idx val="4"/>
          <c:order val="4"/>
          <c:tx>
            <c:strRef>
              <c:f>'202410'!$D$28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'202410'!$E$23:$J$23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'202410'!$E$28:$J$28</c:f>
              <c:numCache>
                <c:formatCode>General</c:formatCode>
                <c:ptCount val="6"/>
                <c:pt idx="0">
                  <c:v>-2.4299999999999899</c:v>
                </c:pt>
                <c:pt idx="1">
                  <c:v>-1.66</c:v>
                </c:pt>
                <c:pt idx="2">
                  <c:v>-0.5</c:v>
                </c:pt>
                <c:pt idx="3">
                  <c:v>0.89999999999999103</c:v>
                </c:pt>
                <c:pt idx="4">
                  <c:v>1.31</c:v>
                </c:pt>
                <c:pt idx="5">
                  <c:v>2.7899999999999898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B-4596-B702-FE6EF6CD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17640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'202411'!$C$24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'202411'!$D$23:$I$23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'202411'!$D$24:$I$24</c:f>
              <c:numCache>
                <c:formatCode>0.00_ </c:formatCode>
                <c:ptCount val="6"/>
                <c:pt idx="0">
                  <c:v>-0.29999999999999716</c:v>
                </c:pt>
                <c:pt idx="1">
                  <c:v>0.20000000000000284</c:v>
                </c:pt>
                <c:pt idx="2">
                  <c:v>1.2000000000000028</c:v>
                </c:pt>
                <c:pt idx="3">
                  <c:v>1.5</c:v>
                </c:pt>
                <c:pt idx="4">
                  <c:v>0.80000000000001137</c:v>
                </c:pt>
                <c:pt idx="5">
                  <c:v>1.1000000000000085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F-4F91-B8BA-018ACCE7062D}"/>
            </c:ext>
          </c:extLst>
        </c:ser>
        <c:ser>
          <c:idx val="1"/>
          <c:order val="1"/>
          <c:tx>
            <c:strRef>
              <c:f>'202411'!$C$25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'202411'!$D$23:$I$23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'202411'!$D$25:$I$25</c:f>
              <c:numCache>
                <c:formatCode>0.00_ </c:formatCode>
                <c:ptCount val="6"/>
                <c:pt idx="0">
                  <c:v>-0.76999999999999602</c:v>
                </c:pt>
                <c:pt idx="1">
                  <c:v>-0.60999999999999943</c:v>
                </c:pt>
                <c:pt idx="2">
                  <c:v>-0.62000000000000455</c:v>
                </c:pt>
                <c:pt idx="3">
                  <c:v>0.20000000000000284</c:v>
                </c:pt>
                <c:pt idx="4">
                  <c:v>0.50999999999999091</c:v>
                </c:pt>
                <c:pt idx="5">
                  <c:v>0.60999999999999943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F-4F91-B8BA-018ACCE7062D}"/>
            </c:ext>
          </c:extLst>
        </c:ser>
        <c:ser>
          <c:idx val="2"/>
          <c:order val="2"/>
          <c:tx>
            <c:strRef>
              <c:f>'202411'!$C$26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'202411'!$D$23:$I$23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'202411'!$D$26:$I$26</c:f>
              <c:numCache>
                <c:formatCode>0.00_ </c:formatCode>
                <c:ptCount val="6"/>
                <c:pt idx="0">
                  <c:v>-1.526059291920987</c:v>
                </c:pt>
                <c:pt idx="1">
                  <c:v>-0.85451874200199995</c:v>
                </c:pt>
                <c:pt idx="2">
                  <c:v>1.0506905275489942</c:v>
                </c:pt>
                <c:pt idx="3">
                  <c:v>0.67259409676900361</c:v>
                </c:pt>
                <c:pt idx="4">
                  <c:v>-0.54258224154899892</c:v>
                </c:pt>
                <c:pt idx="5">
                  <c:v>0.21267732394099426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F-4F91-B8BA-018ACCE7062D}"/>
            </c:ext>
          </c:extLst>
        </c:ser>
        <c:ser>
          <c:idx val="3"/>
          <c:order val="3"/>
          <c:tx>
            <c:strRef>
              <c:f>'202411'!$C$27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'202411'!$D$23:$I$23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'202411'!$D$27:$I$27</c:f>
              <c:numCache>
                <c:formatCode>0.00_ </c:formatCode>
                <c:ptCount val="6"/>
                <c:pt idx="0">
                  <c:v>-2.7977483613219931</c:v>
                </c:pt>
                <c:pt idx="1">
                  <c:v>-1.812944511325</c:v>
                </c:pt>
                <c:pt idx="2">
                  <c:v>0.43084782630400298</c:v>
                </c:pt>
                <c:pt idx="3">
                  <c:v>-0.29204610075299797</c:v>
                </c:pt>
                <c:pt idx="4">
                  <c:v>-1.3548178018689896</c:v>
                </c:pt>
                <c:pt idx="5">
                  <c:v>1.7652216637998208E-2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BF-4F91-B8BA-018ACCE7062D}"/>
            </c:ext>
          </c:extLst>
        </c:ser>
        <c:ser>
          <c:idx val="4"/>
          <c:order val="4"/>
          <c:tx>
            <c:strRef>
              <c:f>'202411'!$C$28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'202411'!$D$23:$I$23</c:f>
              <c:strCache>
                <c:ptCount val="6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  <c:pt idx="4">
                  <c:v>2025Q3</c:v>
                </c:pt>
                <c:pt idx="5">
                  <c:v>2025Q4</c:v>
                </c:pt>
              </c:strCache>
            </c:strRef>
          </c:cat>
          <c:val>
            <c:numRef>
              <c:f>'202411'!$D$28:$I$28</c:f>
              <c:numCache>
                <c:formatCode>0.00_ </c:formatCode>
                <c:ptCount val="6"/>
                <c:pt idx="0">
                  <c:v>-2.2199999999999989</c:v>
                </c:pt>
                <c:pt idx="1">
                  <c:v>-1.4200000000000017</c:v>
                </c:pt>
                <c:pt idx="2">
                  <c:v>-8.0000000000012506E-2</c:v>
                </c:pt>
                <c:pt idx="3">
                  <c:v>1.480000000000004</c:v>
                </c:pt>
                <c:pt idx="4">
                  <c:v>2.0100000000000051</c:v>
                </c:pt>
                <c:pt idx="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BF-4F91-B8BA-018ACCE70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4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'202412'!$C$24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'202412'!$D$23:$H$23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'202412'!$D$24:$H$24</c:f>
              <c:numCache>
                <c:formatCode>0.00_ </c:formatCode>
                <c:ptCount val="5"/>
                <c:pt idx="0">
                  <c:v>1.0000000000005116E-2</c:v>
                </c:pt>
                <c:pt idx="1">
                  <c:v>1.25</c:v>
                </c:pt>
                <c:pt idx="2">
                  <c:v>1.3799999999999955</c:v>
                </c:pt>
                <c:pt idx="3">
                  <c:v>0.74000000000000909</c:v>
                </c:pt>
                <c:pt idx="4">
                  <c:v>1.2700000000000102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3-4C11-ACBC-E8EF741AF719}"/>
            </c:ext>
          </c:extLst>
        </c:ser>
        <c:ser>
          <c:idx val="1"/>
          <c:order val="1"/>
          <c:tx>
            <c:strRef>
              <c:f>'202412'!$C$25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'202412'!$D$23:$H$23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'202412'!$D$25:$H$25</c:f>
              <c:numCache>
                <c:formatCode>0.00_ </c:formatCode>
                <c:ptCount val="5"/>
                <c:pt idx="0">
                  <c:v>-0.31000000000000227</c:v>
                </c:pt>
                <c:pt idx="1">
                  <c:v>-0.28000000000000114</c:v>
                </c:pt>
                <c:pt idx="2">
                  <c:v>0.35999999999999943</c:v>
                </c:pt>
                <c:pt idx="3">
                  <c:v>0.42000000000000171</c:v>
                </c:pt>
                <c:pt idx="4">
                  <c:v>0.68000000000000682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3-4C11-ACBC-E8EF741AF719}"/>
            </c:ext>
          </c:extLst>
        </c:ser>
        <c:ser>
          <c:idx val="2"/>
          <c:order val="2"/>
          <c:tx>
            <c:strRef>
              <c:f>'202412'!$C$26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'202412'!$D$23:$H$23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'202412'!$D$26:$H$26</c:f>
              <c:numCache>
                <c:formatCode>0.00_ </c:formatCode>
                <c:ptCount val="5"/>
                <c:pt idx="0">
                  <c:v>-0.67107208551600195</c:v>
                </c:pt>
                <c:pt idx="1">
                  <c:v>0.78864448023099953</c:v>
                </c:pt>
                <c:pt idx="2">
                  <c:v>0.24000000000000909</c:v>
                </c:pt>
                <c:pt idx="3">
                  <c:v>-0.93000000000000682</c:v>
                </c:pt>
                <c:pt idx="4">
                  <c:v>-3.0000000000001137E-2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3-4C11-ACBC-E8EF741AF719}"/>
            </c:ext>
          </c:extLst>
        </c:ser>
        <c:ser>
          <c:idx val="3"/>
          <c:order val="3"/>
          <c:tx>
            <c:strRef>
              <c:f>'202412'!$C$27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'202412'!$D$23:$H$23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'202412'!$D$27:$H$27</c:f>
              <c:numCache>
                <c:formatCode>0.00_ </c:formatCode>
                <c:ptCount val="5"/>
                <c:pt idx="0">
                  <c:v>-1.0900000000000034</c:v>
                </c:pt>
                <c:pt idx="1">
                  <c:v>0.67000000000000171</c:v>
                </c:pt>
                <c:pt idx="2">
                  <c:v>2.0000000000010232E-2</c:v>
                </c:pt>
                <c:pt idx="3">
                  <c:v>-1.0799999999999983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3-4C11-ACBC-E8EF741AF719}"/>
            </c:ext>
          </c:extLst>
        </c:ser>
        <c:ser>
          <c:idx val="4"/>
          <c:order val="4"/>
          <c:tx>
            <c:strRef>
              <c:f>'202412'!$C$28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'202412'!$D$23:$H$23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'202412'!$D$28:$H$28</c:f>
              <c:numCache>
                <c:formatCode>0.00_ </c:formatCode>
                <c:ptCount val="5"/>
                <c:pt idx="0">
                  <c:v>-1.4500000000000028</c:v>
                </c:pt>
                <c:pt idx="1">
                  <c:v>6.9999999999993179E-2</c:v>
                </c:pt>
                <c:pt idx="2">
                  <c:v>1.1599999999999966</c:v>
                </c:pt>
                <c:pt idx="3">
                  <c:v>1.4099999999999966</c:v>
                </c:pt>
                <c:pt idx="4">
                  <c:v>2.6400000000000006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23-4C11-ACBC-E8EF741AF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'202412'!$C$32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'202412'!$D$31:$H$31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'202412'!$D$32:$H$32</c:f>
              <c:numCache>
                <c:formatCode>0.00_ </c:formatCode>
                <c:ptCount val="5"/>
                <c:pt idx="0">
                  <c:v>-0.18999999999999773</c:v>
                </c:pt>
                <c:pt idx="1">
                  <c:v>4.9999999999997158E-2</c:v>
                </c:pt>
                <c:pt idx="2">
                  <c:v>-0.12000000000000455</c:v>
                </c:pt>
                <c:pt idx="3">
                  <c:v>-6.0000000000002274E-2</c:v>
                </c:pt>
                <c:pt idx="4">
                  <c:v>0.17000000000000171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0-4981-B664-FC817F6FD919}"/>
            </c:ext>
          </c:extLst>
        </c:ser>
        <c:ser>
          <c:idx val="1"/>
          <c:order val="1"/>
          <c:tx>
            <c:strRef>
              <c:f>'202412'!$C$33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'202412'!$D$31:$H$31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'202412'!$D$33:$H$33</c:f>
              <c:numCache>
                <c:formatCode>0.00_ </c:formatCode>
                <c:ptCount val="5"/>
                <c:pt idx="0">
                  <c:v>0.29999999999999716</c:v>
                </c:pt>
                <c:pt idx="1">
                  <c:v>0.34000000000000341</c:v>
                </c:pt>
                <c:pt idx="2">
                  <c:v>0.15999999999999659</c:v>
                </c:pt>
                <c:pt idx="3">
                  <c:v>-8.99999999999892E-2</c:v>
                </c:pt>
                <c:pt idx="4">
                  <c:v>7.000000000000739E-2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0-4981-B664-FC817F6FD919}"/>
            </c:ext>
          </c:extLst>
        </c:ser>
        <c:ser>
          <c:idx val="2"/>
          <c:order val="2"/>
          <c:tx>
            <c:strRef>
              <c:f>'202412'!$C$34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'202412'!$D$31:$H$31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'202412'!$D$34:$H$34</c:f>
              <c:numCache>
                <c:formatCode>0.00_ </c:formatCode>
                <c:ptCount val="5"/>
                <c:pt idx="0">
                  <c:v>0.18344665648599801</c:v>
                </c:pt>
                <c:pt idx="1">
                  <c:v>-0.26204604731799463</c:v>
                </c:pt>
                <c:pt idx="2">
                  <c:v>-0.43259409676899452</c:v>
                </c:pt>
                <c:pt idx="3">
                  <c:v>-0.3874177584510079</c:v>
                </c:pt>
                <c:pt idx="4">
                  <c:v>-0.24267732394099539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0-4981-B664-FC817F6FD919}"/>
            </c:ext>
          </c:extLst>
        </c:ser>
        <c:ser>
          <c:idx val="3"/>
          <c:order val="3"/>
          <c:tx>
            <c:strRef>
              <c:f>'202412'!$C$35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'202412'!$D$31:$H$31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'202412'!$D$35:$H$35</c:f>
              <c:numCache>
                <c:formatCode>0.00_ </c:formatCode>
                <c:ptCount val="5"/>
                <c:pt idx="0">
                  <c:v>0.7229445113249966</c:v>
                </c:pt>
                <c:pt idx="1">
                  <c:v>0.23915217369599873</c:v>
                </c:pt>
                <c:pt idx="2">
                  <c:v>0.3120461007530082</c:v>
                </c:pt>
                <c:pt idx="3">
                  <c:v>0.2748178018689913</c:v>
                </c:pt>
                <c:pt idx="4">
                  <c:v>0.48234778336200179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0-4981-B664-FC817F6FD919}"/>
            </c:ext>
          </c:extLst>
        </c:ser>
        <c:ser>
          <c:idx val="4"/>
          <c:order val="4"/>
          <c:tx>
            <c:strRef>
              <c:f>'202412'!$C$36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'202412'!$D$31:$H$31</c:f>
              <c:strCache>
                <c:ptCount val="5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</c:strCache>
            </c:strRef>
          </c:cat>
          <c:val>
            <c:numRef>
              <c:f>'202412'!$D$36:$H$36</c:f>
              <c:numCache>
                <c:formatCode>0.00_ </c:formatCode>
                <c:ptCount val="5"/>
                <c:pt idx="0">
                  <c:v>-3.0000000000001137E-2</c:v>
                </c:pt>
                <c:pt idx="1">
                  <c:v>0.15000000000000568</c:v>
                </c:pt>
                <c:pt idx="2">
                  <c:v>-0.32000000000000739</c:v>
                </c:pt>
                <c:pt idx="3">
                  <c:v>-0.60000000000000853</c:v>
                </c:pt>
                <c:pt idx="4">
                  <c:v>-0.85999999999999943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0-4981-B664-FC817F6F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'202501'!$C$24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'202501'!$D$23:$G$23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'202501'!$D$24:$G$24</c:f>
              <c:numCache>
                <c:formatCode>0.00_ </c:formatCode>
                <c:ptCount val="4"/>
                <c:pt idx="0">
                  <c:v>1</c:v>
                </c:pt>
                <c:pt idx="1">
                  <c:v>1.2000000000000028</c:v>
                </c:pt>
                <c:pt idx="2">
                  <c:v>0.67000000000000171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C-49D1-894B-9B5151BA8425}"/>
            </c:ext>
          </c:extLst>
        </c:ser>
        <c:ser>
          <c:idx val="1"/>
          <c:order val="1"/>
          <c:tx>
            <c:strRef>
              <c:f>'202501'!$C$25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'202501'!$D$23:$G$23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'202501'!$D$25:$G$25</c:f>
              <c:numCache>
                <c:formatCode>0.00_ </c:formatCode>
                <c:ptCount val="4"/>
                <c:pt idx="0">
                  <c:v>-0.73000000000000398</c:v>
                </c:pt>
                <c:pt idx="1">
                  <c:v>-4.9999999999997158E-2</c:v>
                </c:pt>
                <c:pt idx="2">
                  <c:v>1.9999999999996021E-2</c:v>
                </c:pt>
                <c:pt idx="3">
                  <c:v>0.37999999999999545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C-49D1-894B-9B5151BA8425}"/>
            </c:ext>
          </c:extLst>
        </c:ser>
        <c:ser>
          <c:idx val="2"/>
          <c:order val="2"/>
          <c:tx>
            <c:strRef>
              <c:f>'202501'!$C$26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'202501'!$D$23:$G$23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'202501'!$D$26:$G$26</c:f>
              <c:numCache>
                <c:formatCode>0.00_ </c:formatCode>
                <c:ptCount val="4"/>
                <c:pt idx="0">
                  <c:v>0.95864448023100124</c:v>
                </c:pt>
                <c:pt idx="1">
                  <c:v>0.51000000000000512</c:v>
                </c:pt>
                <c:pt idx="2">
                  <c:v>-0.74000000000000909</c:v>
                </c:pt>
                <c:pt idx="3">
                  <c:v>-1.0000000000005116E-2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7C-49D1-894B-9B5151BA8425}"/>
            </c:ext>
          </c:extLst>
        </c:ser>
        <c:ser>
          <c:idx val="3"/>
          <c:order val="3"/>
          <c:tx>
            <c:strRef>
              <c:f>'202501'!$C$27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'202501'!$D$23:$G$23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'202501'!$D$27:$G$27</c:f>
              <c:numCache>
                <c:formatCode>0.00_ </c:formatCode>
                <c:ptCount val="4"/>
                <c:pt idx="0">
                  <c:v>0.95000000000000284</c:v>
                </c:pt>
                <c:pt idx="1">
                  <c:v>0.31000000000000227</c:v>
                </c:pt>
                <c:pt idx="2">
                  <c:v>-0.78999999999999204</c:v>
                </c:pt>
                <c:pt idx="3">
                  <c:v>0.84999999999999432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7C-49D1-894B-9B5151BA8425}"/>
            </c:ext>
          </c:extLst>
        </c:ser>
        <c:ser>
          <c:idx val="4"/>
          <c:order val="4"/>
          <c:tx>
            <c:strRef>
              <c:f>'202501'!$C$28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'202501'!$D$23:$G$23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'202501'!$D$28:$G$28</c:f>
              <c:numCache>
                <c:formatCode>0.00_ </c:formatCode>
                <c:ptCount val="4"/>
                <c:pt idx="0">
                  <c:v>-0.42999999999999261</c:v>
                </c:pt>
                <c:pt idx="1">
                  <c:v>0.40000000000000568</c:v>
                </c:pt>
                <c:pt idx="2">
                  <c:v>0.54000000000000625</c:v>
                </c:pt>
                <c:pt idx="3">
                  <c:v>1.769999999999996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7C-49D1-894B-9B5151BA8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'202501'!$C$32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'202501'!$D$31:$G$31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'202501'!$D$32:$G$32</c:f>
              <c:numCache>
                <c:formatCode>0.00_ </c:formatCode>
                <c:ptCount val="4"/>
                <c:pt idx="0">
                  <c:v>-0.25</c:v>
                </c:pt>
                <c:pt idx="1">
                  <c:v>-0.17999999999999261</c:v>
                </c:pt>
                <c:pt idx="2">
                  <c:v>-7.000000000000739E-2</c:v>
                </c:pt>
                <c:pt idx="3">
                  <c:v>-0.27000000000001023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3-4A69-9A4F-0CF3A6873D39}"/>
            </c:ext>
          </c:extLst>
        </c:ser>
        <c:ser>
          <c:idx val="1"/>
          <c:order val="1"/>
          <c:tx>
            <c:strRef>
              <c:f>'202501'!$C$33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'202501'!$D$31:$G$31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'202501'!$D$33:$G$33</c:f>
              <c:numCache>
                <c:formatCode>0.00_ </c:formatCode>
                <c:ptCount val="4"/>
                <c:pt idx="0">
                  <c:v>-0.45000000000000284</c:v>
                </c:pt>
                <c:pt idx="1">
                  <c:v>-0.40999999999999659</c:v>
                </c:pt>
                <c:pt idx="2">
                  <c:v>-0.40000000000000568</c:v>
                </c:pt>
                <c:pt idx="3">
                  <c:v>-0.30000000000001137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3-4A69-9A4F-0CF3A6873D39}"/>
            </c:ext>
          </c:extLst>
        </c:ser>
        <c:ser>
          <c:idx val="2"/>
          <c:order val="2"/>
          <c:tx>
            <c:strRef>
              <c:f>'202501'!$C$34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'202501'!$D$31:$G$31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'202501'!$D$34:$G$34</c:f>
              <c:numCache>
                <c:formatCode>0.00_ </c:formatCode>
                <c:ptCount val="4"/>
                <c:pt idx="0">
                  <c:v>0.17000000000000171</c:v>
                </c:pt>
                <c:pt idx="1">
                  <c:v>0.26999999999999602</c:v>
                </c:pt>
                <c:pt idx="2">
                  <c:v>0.18999999999999773</c:v>
                </c:pt>
                <c:pt idx="3">
                  <c:v>1.9999999999996021E-2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3-4A69-9A4F-0CF3A6873D39}"/>
            </c:ext>
          </c:extLst>
        </c:ser>
        <c:ser>
          <c:idx val="3"/>
          <c:order val="3"/>
          <c:tx>
            <c:strRef>
              <c:f>'202501'!$C$35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'202501'!$D$31:$G$31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'202501'!$D$35:$G$35</c:f>
              <c:numCache>
                <c:formatCode>0.00_ </c:formatCode>
                <c:ptCount val="4"/>
                <c:pt idx="0">
                  <c:v>0.28000000000000114</c:v>
                </c:pt>
                <c:pt idx="1">
                  <c:v>0.28999999999999204</c:v>
                </c:pt>
                <c:pt idx="2">
                  <c:v>0.29000000000000625</c:v>
                </c:pt>
                <c:pt idx="3">
                  <c:v>0.34999999999999432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3-4A69-9A4F-0CF3A6873D39}"/>
            </c:ext>
          </c:extLst>
        </c:ser>
        <c:ser>
          <c:idx val="4"/>
          <c:order val="4"/>
          <c:tx>
            <c:strRef>
              <c:f>'202501'!$C$36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'202501'!$D$31:$G$31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'202501'!$D$36:$G$36</c:f>
              <c:numCache>
                <c:formatCode>0.00_ </c:formatCode>
                <c:ptCount val="4"/>
                <c:pt idx="0">
                  <c:v>-0.49999999999998579</c:v>
                </c:pt>
                <c:pt idx="1">
                  <c:v>-0.75999999999999091</c:v>
                </c:pt>
                <c:pt idx="2">
                  <c:v>-0.86999999999999034</c:v>
                </c:pt>
                <c:pt idx="3">
                  <c:v>-0.87000000000000455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3-4A69-9A4F-0CF3A687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'202502'!$C$24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'202502'!$D$23:$G$23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'202502'!$D$24:$G$24</c:f>
              <c:numCache>
                <c:formatCode>0.00_ </c:formatCode>
                <c:ptCount val="4"/>
                <c:pt idx="0">
                  <c:v>0.59999999999999432</c:v>
                </c:pt>
                <c:pt idx="1">
                  <c:v>0.89999999999999147</c:v>
                </c:pt>
                <c:pt idx="2">
                  <c:v>0.5</c:v>
                </c:pt>
                <c:pt idx="3">
                  <c:v>0.89999999999999147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C-498B-AF3E-5B2736E47882}"/>
            </c:ext>
          </c:extLst>
        </c:ser>
        <c:ser>
          <c:idx val="1"/>
          <c:order val="1"/>
          <c:tx>
            <c:strRef>
              <c:f>'202502'!$C$25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'202502'!$D$23:$G$23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'202502'!$D$25:$G$25</c:f>
              <c:numCache>
                <c:formatCode>0.00_ </c:formatCode>
                <c:ptCount val="4"/>
                <c:pt idx="0">
                  <c:v>-0.54999999999999716</c:v>
                </c:pt>
                <c:pt idx="1">
                  <c:v>0.26000000000000512</c:v>
                </c:pt>
                <c:pt idx="2">
                  <c:v>0.43999999999999773</c:v>
                </c:pt>
                <c:pt idx="3">
                  <c:v>0.82999999999999829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C-498B-AF3E-5B2736E47882}"/>
            </c:ext>
          </c:extLst>
        </c:ser>
        <c:ser>
          <c:idx val="2"/>
          <c:order val="2"/>
          <c:tx>
            <c:strRef>
              <c:f>'202502'!$C$26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'202502'!$D$23:$G$23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'202502'!$D$26:$G$26</c:f>
              <c:numCache>
                <c:formatCode>0.00_ </c:formatCode>
                <c:ptCount val="4"/>
                <c:pt idx="0">
                  <c:v>0.79577281550000123</c:v>
                </c:pt>
                <c:pt idx="1">
                  <c:v>0.28133541470599255</c:v>
                </c:pt>
                <c:pt idx="2">
                  <c:v>-1.0183921015879918</c:v>
                </c:pt>
                <c:pt idx="3">
                  <c:v>-0.31949878881999894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C-498B-AF3E-5B2736E47882}"/>
            </c:ext>
          </c:extLst>
        </c:ser>
        <c:ser>
          <c:idx val="3"/>
          <c:order val="3"/>
          <c:tx>
            <c:strRef>
              <c:f>'202502'!$C$27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'202502'!$D$23:$G$23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'202502'!$D$27:$G$27</c:f>
              <c:numCache>
                <c:formatCode>0.00_ </c:formatCode>
                <c:ptCount val="4"/>
                <c:pt idx="0">
                  <c:v>1.0699999999999932</c:v>
                </c:pt>
                <c:pt idx="1">
                  <c:v>0.44999999999998863</c:v>
                </c:pt>
                <c:pt idx="2">
                  <c:v>-0.54999999999999716</c:v>
                </c:pt>
                <c:pt idx="3">
                  <c:v>1.019999999999996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C-498B-AF3E-5B2736E47882}"/>
            </c:ext>
          </c:extLst>
        </c:ser>
        <c:ser>
          <c:idx val="4"/>
          <c:order val="4"/>
          <c:tx>
            <c:strRef>
              <c:f>'202502'!$C$28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'202502'!$D$23:$G$23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'202502'!$D$28:$G$28</c:f>
              <c:numCache>
                <c:formatCode>0.00_ </c:formatCode>
                <c:ptCount val="4"/>
                <c:pt idx="0">
                  <c:v>-0.6600000000000108</c:v>
                </c:pt>
                <c:pt idx="1">
                  <c:v>0.57000000000000739</c:v>
                </c:pt>
                <c:pt idx="2">
                  <c:v>0.93999999999999773</c:v>
                </c:pt>
                <c:pt idx="3">
                  <c:v>1.8300000000000125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CC-498B-AF3E-5B2736E47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'202502'!$C$32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'202502'!$D$31:$G$31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'202502'!$D$32:$G$32</c:f>
              <c:numCache>
                <c:formatCode>0.00_ </c:formatCode>
                <c:ptCount val="4"/>
                <c:pt idx="0">
                  <c:v>-0.40000000000000568</c:v>
                </c:pt>
                <c:pt idx="1">
                  <c:v>-0.30000000000001137</c:v>
                </c:pt>
                <c:pt idx="2">
                  <c:v>-0.17000000000000171</c:v>
                </c:pt>
                <c:pt idx="3">
                  <c:v>-0.10000000000000853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5-4ADD-B967-A96B700B54AB}"/>
            </c:ext>
          </c:extLst>
        </c:ser>
        <c:ser>
          <c:idx val="1"/>
          <c:order val="1"/>
          <c:tx>
            <c:strRef>
              <c:f>'202502'!$C$33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'202502'!$D$31:$G$31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'202502'!$D$33:$G$33</c:f>
              <c:numCache>
                <c:formatCode>0.00_ </c:formatCode>
                <c:ptCount val="4"/>
                <c:pt idx="0">
                  <c:v>0.18000000000000682</c:v>
                </c:pt>
                <c:pt idx="1">
                  <c:v>0.31000000000000227</c:v>
                </c:pt>
                <c:pt idx="2">
                  <c:v>0.42000000000000171</c:v>
                </c:pt>
                <c:pt idx="3">
                  <c:v>0.45000000000000284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5-4ADD-B967-A96B700B54AB}"/>
            </c:ext>
          </c:extLst>
        </c:ser>
        <c:ser>
          <c:idx val="2"/>
          <c:order val="2"/>
          <c:tx>
            <c:strRef>
              <c:f>'202502'!$C$34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'202502'!$D$31:$G$31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'202502'!$D$34:$G$34</c:f>
              <c:numCache>
                <c:formatCode>0.00_ </c:formatCode>
                <c:ptCount val="4"/>
                <c:pt idx="0">
                  <c:v>-0.16287166473100001</c:v>
                </c:pt>
                <c:pt idx="1">
                  <c:v>-0.22866458529401257</c:v>
                </c:pt>
                <c:pt idx="2">
                  <c:v>-0.27839210158798267</c:v>
                </c:pt>
                <c:pt idx="3">
                  <c:v>-0.30949878881999382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5-4ADD-B967-A96B700B54AB}"/>
            </c:ext>
          </c:extLst>
        </c:ser>
        <c:ser>
          <c:idx val="3"/>
          <c:order val="3"/>
          <c:tx>
            <c:strRef>
              <c:f>'202502'!$C$35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'202502'!$D$31:$G$31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'202502'!$D$35:$G$35</c:f>
              <c:numCache>
                <c:formatCode>0.00_ </c:formatCode>
                <c:ptCount val="4"/>
                <c:pt idx="0">
                  <c:v>0.11999999999999034</c:v>
                </c:pt>
                <c:pt idx="1">
                  <c:v>0.13999999999998636</c:v>
                </c:pt>
                <c:pt idx="2">
                  <c:v>0.23999999999999488</c:v>
                </c:pt>
                <c:pt idx="3">
                  <c:v>0.17000000000000171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5-4ADD-B967-A96B700B54AB}"/>
            </c:ext>
          </c:extLst>
        </c:ser>
        <c:ser>
          <c:idx val="4"/>
          <c:order val="4"/>
          <c:tx>
            <c:strRef>
              <c:f>'202502'!$C$36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'202502'!$D$31:$G$31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'202502'!$D$36:$G$36</c:f>
              <c:numCache>
                <c:formatCode>0.00_ </c:formatCode>
                <c:ptCount val="4"/>
                <c:pt idx="0">
                  <c:v>-0.23000000000001819</c:v>
                </c:pt>
                <c:pt idx="1">
                  <c:v>0.17000000000000171</c:v>
                </c:pt>
                <c:pt idx="2">
                  <c:v>0.39999999999999147</c:v>
                </c:pt>
                <c:pt idx="3">
                  <c:v>6.0000000000016485E-2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5-4ADD-B967-A96B700B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'202503'!$C$24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'202503'!$D$23:$G$23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'202503'!$D$24:$G$24</c:f>
              <c:numCache>
                <c:formatCode>0.00_ </c:formatCode>
                <c:ptCount val="4"/>
                <c:pt idx="0">
                  <c:v>0.39999999999999147</c:v>
                </c:pt>
                <c:pt idx="1">
                  <c:v>0.5</c:v>
                </c:pt>
                <c:pt idx="2">
                  <c:v>9.9999999999994316E-2</c:v>
                </c:pt>
                <c:pt idx="3">
                  <c:v>0.90000000000000568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0-41C5-B9BE-E917180EBF95}"/>
            </c:ext>
          </c:extLst>
        </c:ser>
        <c:ser>
          <c:idx val="1"/>
          <c:order val="1"/>
          <c:tx>
            <c:strRef>
              <c:f>'202503'!$C$25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'202503'!$D$23:$G$23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'202503'!$D$25:$G$25</c:f>
              <c:numCache>
                <c:formatCode>0.00_ </c:formatCode>
                <c:ptCount val="4"/>
                <c:pt idx="0">
                  <c:v>-0.56999999999999318</c:v>
                </c:pt>
                <c:pt idx="1">
                  <c:v>0.46999999999999886</c:v>
                </c:pt>
                <c:pt idx="2">
                  <c:v>0.67000000000000171</c:v>
                </c:pt>
                <c:pt idx="3">
                  <c:v>1.0900000000000034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0-41C5-B9BE-E917180EBF95}"/>
            </c:ext>
          </c:extLst>
        </c:ser>
        <c:ser>
          <c:idx val="2"/>
          <c:order val="2"/>
          <c:tx>
            <c:strRef>
              <c:f>'202503'!$C$26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'202503'!$D$23:$G$23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'202503'!$D$26:$G$26</c:f>
              <c:numCache>
                <c:formatCode>0.00_ </c:formatCode>
                <c:ptCount val="4"/>
                <c:pt idx="0">
                  <c:v>0.29999999999999716</c:v>
                </c:pt>
                <c:pt idx="1">
                  <c:v>0</c:v>
                </c:pt>
                <c:pt idx="2">
                  <c:v>-1.7000000000000028</c:v>
                </c:pt>
                <c:pt idx="3">
                  <c:v>-0.79999999999999716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0-41C5-B9BE-E917180EBF95}"/>
            </c:ext>
          </c:extLst>
        </c:ser>
        <c:ser>
          <c:idx val="3"/>
          <c:order val="3"/>
          <c:tx>
            <c:strRef>
              <c:f>'202503'!$C$27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'202503'!$D$23:$G$23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'202503'!$D$27:$G$27</c:f>
              <c:numCache>
                <c:formatCode>0.00_ </c:formatCode>
                <c:ptCount val="4"/>
                <c:pt idx="0">
                  <c:v>0.85000000000000853</c:v>
                </c:pt>
                <c:pt idx="1">
                  <c:v>0.4100000000000108</c:v>
                </c:pt>
                <c:pt idx="2">
                  <c:v>-0.53000000000000114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50-41C5-B9BE-E917180EBF95}"/>
            </c:ext>
          </c:extLst>
        </c:ser>
        <c:ser>
          <c:idx val="4"/>
          <c:order val="4"/>
          <c:tx>
            <c:strRef>
              <c:f>'202503'!$C$28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'202503'!$D$23:$G$23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'202503'!$D$28:$G$28</c:f>
              <c:numCache>
                <c:formatCode>0.00_ </c:formatCode>
                <c:ptCount val="4"/>
                <c:pt idx="0">
                  <c:v>-0.81000000000000227</c:v>
                </c:pt>
                <c:pt idx="1">
                  <c:v>0.38000000000000966</c:v>
                </c:pt>
                <c:pt idx="2">
                  <c:v>0.43000000000000682</c:v>
                </c:pt>
                <c:pt idx="3">
                  <c:v>1.8100000000000023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50-41C5-B9BE-E917180EB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'202503'!$C$32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'202503'!$D$31:$G$31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'202503'!$D$32:$G$32</c:f>
              <c:numCache>
                <c:formatCode>0.00_ </c:formatCode>
                <c:ptCount val="4"/>
                <c:pt idx="0">
                  <c:v>-0.20000000000000284</c:v>
                </c:pt>
                <c:pt idx="1">
                  <c:v>-0.39999999999999147</c:v>
                </c:pt>
                <c:pt idx="2">
                  <c:v>-0.40000000000000568</c:v>
                </c:pt>
                <c:pt idx="3">
                  <c:v>1.4210854715202004E-14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A-4DBB-B337-A763D8AF146A}"/>
            </c:ext>
          </c:extLst>
        </c:ser>
        <c:ser>
          <c:idx val="1"/>
          <c:order val="1"/>
          <c:tx>
            <c:strRef>
              <c:f>'202503'!$C$33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'202503'!$D$31:$G$31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'202503'!$D$33:$G$33</c:f>
              <c:numCache>
                <c:formatCode>0.00_ </c:formatCode>
                <c:ptCount val="4"/>
                <c:pt idx="0">
                  <c:v>-1.9999999999996021E-2</c:v>
                </c:pt>
                <c:pt idx="1">
                  <c:v>0.20999999999999375</c:v>
                </c:pt>
                <c:pt idx="2">
                  <c:v>0.23000000000000398</c:v>
                </c:pt>
                <c:pt idx="3">
                  <c:v>0.26000000000000512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A-4DBB-B337-A763D8AF146A}"/>
            </c:ext>
          </c:extLst>
        </c:ser>
        <c:ser>
          <c:idx val="2"/>
          <c:order val="2"/>
          <c:tx>
            <c:strRef>
              <c:f>'202503'!$C$34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'202503'!$D$31:$G$31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'202503'!$D$34:$G$34</c:f>
              <c:numCache>
                <c:formatCode>0.00_ </c:formatCode>
                <c:ptCount val="4"/>
                <c:pt idx="0">
                  <c:v>-0.49577281550000407</c:v>
                </c:pt>
                <c:pt idx="1">
                  <c:v>-0.28133541470599255</c:v>
                </c:pt>
                <c:pt idx="2">
                  <c:v>-0.68160789841201108</c:v>
                </c:pt>
                <c:pt idx="3">
                  <c:v>-0.48050121117999822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A-4DBB-B337-A763D8AF146A}"/>
            </c:ext>
          </c:extLst>
        </c:ser>
        <c:ser>
          <c:idx val="3"/>
          <c:order val="3"/>
          <c:tx>
            <c:strRef>
              <c:f>'202503'!$C$35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'202503'!$D$31:$G$31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'202503'!$D$35:$G$35</c:f>
              <c:numCache>
                <c:formatCode>0.00_ </c:formatCode>
                <c:ptCount val="4"/>
                <c:pt idx="0">
                  <c:v>-0.21999999999998465</c:v>
                </c:pt>
                <c:pt idx="1">
                  <c:v>-3.9999999999977831E-2</c:v>
                </c:pt>
                <c:pt idx="2">
                  <c:v>1.9999999999996021E-2</c:v>
                </c:pt>
                <c:pt idx="3">
                  <c:v>-1.9999999999996021E-2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DA-4DBB-B337-A763D8AF146A}"/>
            </c:ext>
          </c:extLst>
        </c:ser>
        <c:ser>
          <c:idx val="4"/>
          <c:order val="4"/>
          <c:tx>
            <c:strRef>
              <c:f>'202503'!$C$36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'202503'!$D$31:$G$31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'202503'!$D$36:$G$36</c:f>
              <c:numCache>
                <c:formatCode>0.00_ </c:formatCode>
                <c:ptCount val="4"/>
                <c:pt idx="0">
                  <c:v>-0.14999999999999147</c:v>
                </c:pt>
                <c:pt idx="1">
                  <c:v>-0.18999999999999773</c:v>
                </c:pt>
                <c:pt idx="2">
                  <c:v>-0.50999999999999091</c:v>
                </c:pt>
                <c:pt idx="3">
                  <c:v>-2.0000000000010232E-2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DA-4DBB-B337-A763D8AF1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'202504'!$C$24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'202504'!$D$23:$G$23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'202504'!$D$24:$G$24</c:f>
              <c:numCache>
                <c:formatCode>0.00_ </c:formatCode>
                <c:ptCount val="4"/>
                <c:pt idx="0">
                  <c:v>0.79999999999999716</c:v>
                </c:pt>
                <c:pt idx="1">
                  <c:v>0.40000000000000568</c:v>
                </c:pt>
                <c:pt idx="2">
                  <c:v>0</c:v>
                </c:pt>
                <c:pt idx="3">
                  <c:v>1.0999999999999943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A-446C-8D67-1DC2E61691C6}"/>
            </c:ext>
          </c:extLst>
        </c:ser>
        <c:ser>
          <c:idx val="1"/>
          <c:order val="1"/>
          <c:tx>
            <c:strRef>
              <c:f>'202504'!$C$25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'202504'!$D$23:$G$23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'202504'!$D$25:$G$25</c:f>
              <c:numCache>
                <c:formatCode>0.00_ </c:formatCode>
                <c:ptCount val="4"/>
                <c:pt idx="0">
                  <c:v>-0.48999999999999488</c:v>
                </c:pt>
                <c:pt idx="1">
                  <c:v>-5.9999999999988063E-2</c:v>
                </c:pt>
                <c:pt idx="2">
                  <c:v>1.9999999999996021E-2</c:v>
                </c:pt>
                <c:pt idx="3">
                  <c:v>1.1500000000000057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A-446C-8D67-1DC2E61691C6}"/>
            </c:ext>
          </c:extLst>
        </c:ser>
        <c:ser>
          <c:idx val="2"/>
          <c:order val="2"/>
          <c:tx>
            <c:strRef>
              <c:f>'202504'!$C$26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'202504'!$D$23:$G$23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'202504'!$D$26:$G$26</c:f>
              <c:numCache>
                <c:formatCode>0.00_ </c:formatCode>
                <c:ptCount val="4"/>
                <c:pt idx="0">
                  <c:v>0.70000000000000284</c:v>
                </c:pt>
                <c:pt idx="1">
                  <c:v>0.10000000000000853</c:v>
                </c:pt>
                <c:pt idx="2">
                  <c:v>-1.4000000000000057</c:v>
                </c:pt>
                <c:pt idx="3">
                  <c:v>-0.70000000000000284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A-446C-8D67-1DC2E61691C6}"/>
            </c:ext>
          </c:extLst>
        </c:ser>
        <c:ser>
          <c:idx val="3"/>
          <c:order val="3"/>
          <c:tx>
            <c:strRef>
              <c:f>'202504'!$C$27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'202504'!$D$23:$G$23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'202504'!$D$27:$G$27</c:f>
              <c:numCache>
                <c:formatCode>0.00_ </c:formatCode>
                <c:ptCount val="4"/>
                <c:pt idx="0">
                  <c:v>0.40000000000000568</c:v>
                </c:pt>
                <c:pt idx="1">
                  <c:v>0.28000000000000114</c:v>
                </c:pt>
                <c:pt idx="2">
                  <c:v>-0.73999999999999488</c:v>
                </c:pt>
                <c:pt idx="3">
                  <c:v>0.70000000000000284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A-446C-8D67-1DC2E61691C6}"/>
            </c:ext>
          </c:extLst>
        </c:ser>
        <c:ser>
          <c:idx val="4"/>
          <c:order val="4"/>
          <c:tx>
            <c:strRef>
              <c:f>'202504'!$C$28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'202504'!$D$23:$G$23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'202504'!$D$28:$G$28</c:f>
              <c:numCache>
                <c:formatCode>0.00_ </c:formatCode>
                <c:ptCount val="4"/>
                <c:pt idx="0">
                  <c:v>-1.0300000000000011</c:v>
                </c:pt>
                <c:pt idx="1">
                  <c:v>-9.9999999999994316E-2</c:v>
                </c:pt>
                <c:pt idx="2">
                  <c:v>-0.25</c:v>
                </c:pt>
                <c:pt idx="3">
                  <c:v>0.76999999999999602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EA-446C-8D67-1DC2E616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'202504'!$C$32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'202504'!$D$31:$G$31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'202504'!$D$32:$G$32</c:f>
              <c:numCache>
                <c:formatCode>0.00_ </c:formatCode>
                <c:ptCount val="4"/>
                <c:pt idx="0">
                  <c:v>0.40000000000000568</c:v>
                </c:pt>
                <c:pt idx="1">
                  <c:v>-9.9999999999994316E-2</c:v>
                </c:pt>
                <c:pt idx="2">
                  <c:v>-9.9999999999994316E-2</c:v>
                </c:pt>
                <c:pt idx="3">
                  <c:v>0.19999999999998863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0B9-9B89-C1B5AE5DBB52}"/>
            </c:ext>
          </c:extLst>
        </c:ser>
        <c:ser>
          <c:idx val="1"/>
          <c:order val="1"/>
          <c:tx>
            <c:strRef>
              <c:f>'202504'!$C$33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'202504'!$D$31:$G$31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'202504'!$D$33:$G$33</c:f>
              <c:numCache>
                <c:formatCode>0.00_ </c:formatCode>
                <c:ptCount val="4"/>
                <c:pt idx="0">
                  <c:v>7.9999999999998295E-2</c:v>
                </c:pt>
                <c:pt idx="1">
                  <c:v>-0.52999999999998693</c:v>
                </c:pt>
                <c:pt idx="2">
                  <c:v>-0.65000000000000568</c:v>
                </c:pt>
                <c:pt idx="3">
                  <c:v>6.0000000000002274E-2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1-40B9-9B89-C1B5AE5DBB52}"/>
            </c:ext>
          </c:extLst>
        </c:ser>
        <c:ser>
          <c:idx val="2"/>
          <c:order val="2"/>
          <c:tx>
            <c:strRef>
              <c:f>'202504'!$C$34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'202504'!$D$31:$G$31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'202504'!$D$34:$G$34</c:f>
              <c:numCache>
                <c:formatCode>0.00_ </c:formatCode>
                <c:ptCount val="4"/>
                <c:pt idx="0">
                  <c:v>0.40000000000000568</c:v>
                </c:pt>
                <c:pt idx="1">
                  <c:v>0.10000000000000853</c:v>
                </c:pt>
                <c:pt idx="2">
                  <c:v>0.29999999999999716</c:v>
                </c:pt>
                <c:pt idx="3">
                  <c:v>9.9999999999994316E-2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1-40B9-9B89-C1B5AE5DBB52}"/>
            </c:ext>
          </c:extLst>
        </c:ser>
        <c:ser>
          <c:idx val="3"/>
          <c:order val="3"/>
          <c:tx>
            <c:strRef>
              <c:f>'202504'!$C$35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'202504'!$D$31:$G$31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'202504'!$D$35:$G$35</c:f>
              <c:numCache>
                <c:formatCode>0.00_ </c:formatCode>
                <c:ptCount val="4"/>
                <c:pt idx="0">
                  <c:v>-0.45000000000000284</c:v>
                </c:pt>
                <c:pt idx="1">
                  <c:v>-0.13000000000000966</c:v>
                </c:pt>
                <c:pt idx="2">
                  <c:v>-0.20999999999999375</c:v>
                </c:pt>
                <c:pt idx="3">
                  <c:v>-0.29999999999999716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1-40B9-9B89-C1B5AE5DBB52}"/>
            </c:ext>
          </c:extLst>
        </c:ser>
        <c:ser>
          <c:idx val="4"/>
          <c:order val="4"/>
          <c:tx>
            <c:strRef>
              <c:f>'202504'!$C$36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'202504'!$D$31:$G$31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'202504'!$D$36:$G$36</c:f>
              <c:numCache>
                <c:formatCode>0.00_ </c:formatCode>
                <c:ptCount val="4"/>
                <c:pt idx="0">
                  <c:v>-0.21999999999999886</c:v>
                </c:pt>
                <c:pt idx="1">
                  <c:v>-0.48000000000000398</c:v>
                </c:pt>
                <c:pt idx="2">
                  <c:v>-0.68000000000000682</c:v>
                </c:pt>
                <c:pt idx="3">
                  <c:v>-1.0400000000000063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91-40B9-9B89-C1B5AE5DB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'202505'!$C$24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'202505'!$D$23:$G$23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'202505'!$D$24:$G$24</c:f>
              <c:numCache>
                <c:formatCode>0.00_ </c:formatCode>
                <c:ptCount val="4"/>
                <c:pt idx="0">
                  <c:v>0.69999999999998863</c:v>
                </c:pt>
                <c:pt idx="1">
                  <c:v>0.79999999999999716</c:v>
                </c:pt>
                <c:pt idx="2">
                  <c:v>0.20000000000000284</c:v>
                </c:pt>
                <c:pt idx="3">
                  <c:v>1.0999999999999943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7-4003-9FBF-57A81DEDBCC5}"/>
            </c:ext>
          </c:extLst>
        </c:ser>
        <c:ser>
          <c:idx val="1"/>
          <c:order val="1"/>
          <c:tx>
            <c:strRef>
              <c:f>'202505'!$C$25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'202505'!$D$23:$G$23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'202505'!$D$25:$G$25</c:f>
              <c:numCache>
                <c:formatCode>0.00_ </c:formatCode>
                <c:ptCount val="4"/>
                <c:pt idx="0">
                  <c:v>-0.18999999999999773</c:v>
                </c:pt>
                <c:pt idx="1">
                  <c:v>0.56000000000000227</c:v>
                </c:pt>
                <c:pt idx="2">
                  <c:v>0.67999999999999261</c:v>
                </c:pt>
                <c:pt idx="3">
                  <c:v>0.78000000000000114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7-4003-9FBF-57A81DEDBCC5}"/>
            </c:ext>
          </c:extLst>
        </c:ser>
        <c:ser>
          <c:idx val="2"/>
          <c:order val="2"/>
          <c:tx>
            <c:strRef>
              <c:f>'202505'!$C$26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'202505'!$D$23:$G$23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'202505'!$D$26:$G$26</c:f>
              <c:numCache>
                <c:formatCode>0.00_ </c:formatCode>
                <c:ptCount val="4"/>
                <c:pt idx="0">
                  <c:v>0.77000000000001023</c:v>
                </c:pt>
                <c:pt idx="1">
                  <c:v>1.269999999999996</c:v>
                </c:pt>
                <c:pt idx="2">
                  <c:v>-0.53000000000000114</c:v>
                </c:pt>
                <c:pt idx="3">
                  <c:v>4.0000000000006253E-2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B7-4003-9FBF-57A81DEDBCC5}"/>
            </c:ext>
          </c:extLst>
        </c:ser>
        <c:ser>
          <c:idx val="3"/>
          <c:order val="3"/>
          <c:tx>
            <c:strRef>
              <c:f>'202505'!$C$27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'202505'!$D$23:$G$23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'202505'!$D$27:$G$27</c:f>
              <c:numCache>
                <c:formatCode>0.00_ </c:formatCode>
                <c:ptCount val="4"/>
                <c:pt idx="0">
                  <c:v>0.28999999999999204</c:v>
                </c:pt>
                <c:pt idx="1">
                  <c:v>9.9999999999909051E-3</c:v>
                </c:pt>
                <c:pt idx="2">
                  <c:v>-0.99000000000000909</c:v>
                </c:pt>
                <c:pt idx="3">
                  <c:v>0.34999999999999432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7-4003-9FBF-57A81DEDBCC5}"/>
            </c:ext>
          </c:extLst>
        </c:ser>
        <c:ser>
          <c:idx val="4"/>
          <c:order val="4"/>
          <c:tx>
            <c:strRef>
              <c:f>'202505'!$C$28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'202505'!$D$23:$G$23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'202505'!$D$28:$G$28</c:f>
              <c:numCache>
                <c:formatCode>0.00_ </c:formatCode>
                <c:ptCount val="4"/>
                <c:pt idx="0">
                  <c:v>-0.95999999999999375</c:v>
                </c:pt>
                <c:pt idx="1">
                  <c:v>0.18999999999999773</c:v>
                </c:pt>
                <c:pt idx="2">
                  <c:v>-0.48000000000000398</c:v>
                </c:pt>
                <c:pt idx="3">
                  <c:v>0.31000000000000227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B7-4003-9FBF-57A81DED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'202505'!$C$32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'202505'!$D$31:$G$31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'202505'!$D$32:$G$32</c:f>
              <c:numCache>
                <c:formatCode>0.00_ </c:formatCode>
                <c:ptCount val="4"/>
                <c:pt idx="0">
                  <c:v>-0.10000000000000853</c:v>
                </c:pt>
                <c:pt idx="1">
                  <c:v>0.39999999999999147</c:v>
                </c:pt>
                <c:pt idx="2">
                  <c:v>0.20000000000000284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7-4276-99F1-376A96BD957B}"/>
            </c:ext>
          </c:extLst>
        </c:ser>
        <c:ser>
          <c:idx val="1"/>
          <c:order val="1"/>
          <c:tx>
            <c:strRef>
              <c:f>'202505'!$C$33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'202505'!$D$31:$G$31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'202505'!$D$33:$G$33</c:f>
              <c:numCache>
                <c:formatCode>0.00_ </c:formatCode>
                <c:ptCount val="4"/>
                <c:pt idx="0">
                  <c:v>0.29999999999999716</c:v>
                </c:pt>
                <c:pt idx="1">
                  <c:v>0.61999999999999034</c:v>
                </c:pt>
                <c:pt idx="2">
                  <c:v>0.65999999999999659</c:v>
                </c:pt>
                <c:pt idx="3">
                  <c:v>-0.37000000000000455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7-4276-99F1-376A96BD957B}"/>
            </c:ext>
          </c:extLst>
        </c:ser>
        <c:ser>
          <c:idx val="2"/>
          <c:order val="2"/>
          <c:tx>
            <c:strRef>
              <c:f>'202505'!$C$34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'202505'!$D$31:$G$31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'202505'!$D$34:$G$34</c:f>
              <c:numCache>
                <c:formatCode>0.00_ </c:formatCode>
                <c:ptCount val="4"/>
                <c:pt idx="0">
                  <c:v>7.000000000000739E-2</c:v>
                </c:pt>
                <c:pt idx="1">
                  <c:v>1.1699999999999875</c:v>
                </c:pt>
                <c:pt idx="2">
                  <c:v>0.87000000000000455</c:v>
                </c:pt>
                <c:pt idx="3">
                  <c:v>0.74000000000000909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7-4276-99F1-376A96BD957B}"/>
            </c:ext>
          </c:extLst>
        </c:ser>
        <c:ser>
          <c:idx val="3"/>
          <c:order val="3"/>
          <c:tx>
            <c:strRef>
              <c:f>'202505'!$C$35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'202505'!$D$31:$G$31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'202505'!$D$35:$G$35</c:f>
              <c:numCache>
                <c:formatCode>0.00_ </c:formatCode>
                <c:ptCount val="4"/>
                <c:pt idx="0">
                  <c:v>-0.11000000000001364</c:v>
                </c:pt>
                <c:pt idx="1">
                  <c:v>-0.27000000000001023</c:v>
                </c:pt>
                <c:pt idx="2">
                  <c:v>-0.25000000000001421</c:v>
                </c:pt>
                <c:pt idx="3">
                  <c:v>-0.35000000000000853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57-4276-99F1-376A96BD957B}"/>
            </c:ext>
          </c:extLst>
        </c:ser>
        <c:ser>
          <c:idx val="4"/>
          <c:order val="4"/>
          <c:tx>
            <c:strRef>
              <c:f>'202505'!$C$36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'202505'!$D$31:$G$31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'202505'!$D$36:$G$36</c:f>
              <c:numCache>
                <c:formatCode>0.00_ </c:formatCode>
                <c:ptCount val="4"/>
                <c:pt idx="0">
                  <c:v>7.000000000000739E-2</c:v>
                </c:pt>
                <c:pt idx="1">
                  <c:v>0.28999999999999204</c:v>
                </c:pt>
                <c:pt idx="2">
                  <c:v>-0.23000000000000398</c:v>
                </c:pt>
                <c:pt idx="3">
                  <c:v>-0.45999999999999375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57-4276-99F1-376A96BD9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'202506'!$C$24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'202506'!$D$23:$G$23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'202506'!$D$24:$G$24</c:f>
              <c:numCache>
                <c:formatCode>0.00_ </c:formatCode>
                <c:ptCount val="4"/>
                <c:pt idx="0">
                  <c:v>0.92000000000000171</c:v>
                </c:pt>
                <c:pt idx="1">
                  <c:v>0.59999999999999432</c:v>
                </c:pt>
                <c:pt idx="2">
                  <c:v>0.20999999999999375</c:v>
                </c:pt>
                <c:pt idx="3">
                  <c:v>1.1400000000000006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A-4CD4-9B75-A2B0EA8BF28E}"/>
            </c:ext>
          </c:extLst>
        </c:ser>
        <c:ser>
          <c:idx val="1"/>
          <c:order val="1"/>
          <c:tx>
            <c:strRef>
              <c:f>'202506'!$C$25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'202506'!$D$23:$G$23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'202506'!$D$25:$G$25</c:f>
              <c:numCache>
                <c:formatCode>0.00_ </c:formatCode>
                <c:ptCount val="4"/>
                <c:pt idx="0">
                  <c:v>-3.0000000000001137E-2</c:v>
                </c:pt>
                <c:pt idx="1">
                  <c:v>0.48000000000000398</c:v>
                </c:pt>
                <c:pt idx="2">
                  <c:v>0.40999999999999659</c:v>
                </c:pt>
                <c:pt idx="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A-4CD4-9B75-A2B0EA8BF28E}"/>
            </c:ext>
          </c:extLst>
        </c:ser>
        <c:ser>
          <c:idx val="2"/>
          <c:order val="2"/>
          <c:tx>
            <c:strRef>
              <c:f>'202506'!$C$26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'202506'!$D$23:$G$23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'202506'!$D$26:$G$26</c:f>
              <c:numCache>
                <c:formatCode>0.00_ </c:formatCode>
                <c:ptCount val="4"/>
                <c:pt idx="0">
                  <c:v>0.87949378890800745</c:v>
                </c:pt>
                <c:pt idx="1">
                  <c:v>1.1394489765320088</c:v>
                </c:pt>
                <c:pt idx="2">
                  <c:v>0.15180722177599648</c:v>
                </c:pt>
                <c:pt idx="3">
                  <c:v>1.3641151730590053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A-4CD4-9B75-A2B0EA8BF28E}"/>
            </c:ext>
          </c:extLst>
        </c:ser>
        <c:ser>
          <c:idx val="3"/>
          <c:order val="3"/>
          <c:tx>
            <c:strRef>
              <c:f>'202506'!$C$27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'202506'!$D$23:$G$23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'202506'!$D$27:$G$27</c:f>
              <c:numCache>
                <c:formatCode>0.00_ </c:formatCode>
                <c:ptCount val="4"/>
                <c:pt idx="0">
                  <c:v>0.38000000000000966</c:v>
                </c:pt>
                <c:pt idx="1">
                  <c:v>0.36999999999999034</c:v>
                </c:pt>
                <c:pt idx="2">
                  <c:v>-0.46000000000000796</c:v>
                </c:pt>
                <c:pt idx="3">
                  <c:v>0.37000000000000455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4A-4CD4-9B75-A2B0EA8BF28E}"/>
            </c:ext>
          </c:extLst>
        </c:ser>
        <c:ser>
          <c:idx val="4"/>
          <c:order val="4"/>
          <c:tx>
            <c:strRef>
              <c:f>'202506'!$C$28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'202506'!$D$23:$G$23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'202506'!$D$28:$G$28</c:f>
              <c:numCache>
                <c:formatCode>0.00_ </c:formatCode>
                <c:ptCount val="4"/>
                <c:pt idx="0">
                  <c:v>-0.67000000000000171</c:v>
                </c:pt>
                <c:pt idx="1">
                  <c:v>-1.9999999999996021E-2</c:v>
                </c:pt>
                <c:pt idx="2">
                  <c:v>0.10999999999999943</c:v>
                </c:pt>
                <c:pt idx="3">
                  <c:v>0.77000000000001023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4A-4CD4-9B75-A2B0EA8BF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'202506'!$C$32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'202506'!$D$31:$G$31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'202506'!$D$32:$G$32</c:f>
              <c:numCache>
                <c:formatCode>0.00_ </c:formatCode>
                <c:ptCount val="4"/>
                <c:pt idx="0">
                  <c:v>0.22000000000001307</c:v>
                </c:pt>
                <c:pt idx="1">
                  <c:v>-0.20000000000000284</c:v>
                </c:pt>
                <c:pt idx="2">
                  <c:v>9.9999999999909051E-3</c:v>
                </c:pt>
                <c:pt idx="3">
                  <c:v>4.0000000000006253E-2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D-49BA-9086-55BE5765BCB6}"/>
            </c:ext>
          </c:extLst>
        </c:ser>
        <c:ser>
          <c:idx val="1"/>
          <c:order val="1"/>
          <c:tx>
            <c:strRef>
              <c:f>'202506'!$C$33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'202506'!$D$31:$G$31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'202506'!$D$33:$G$33</c:f>
              <c:numCache>
                <c:formatCode>0.00_ </c:formatCode>
                <c:ptCount val="4"/>
                <c:pt idx="0">
                  <c:v>0.15999999999999659</c:v>
                </c:pt>
                <c:pt idx="1">
                  <c:v>-7.9999999999998295E-2</c:v>
                </c:pt>
                <c:pt idx="2">
                  <c:v>-0.26999999999999602</c:v>
                </c:pt>
                <c:pt idx="3">
                  <c:v>-3.0000000000001137E-2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D-49BA-9086-55BE5765BCB6}"/>
            </c:ext>
          </c:extLst>
        </c:ser>
        <c:ser>
          <c:idx val="2"/>
          <c:order val="2"/>
          <c:tx>
            <c:strRef>
              <c:f>'202506'!$C$34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'202506'!$D$31:$G$31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'202506'!$D$34:$G$34</c:f>
              <c:numCache>
                <c:formatCode>0.00_ </c:formatCode>
                <c:ptCount val="4"/>
                <c:pt idx="0">
                  <c:v>0.10949378890799721</c:v>
                </c:pt>
                <c:pt idx="1">
                  <c:v>-0.13055102346798719</c:v>
                </c:pt>
                <c:pt idx="2">
                  <c:v>0.68180722177599762</c:v>
                </c:pt>
                <c:pt idx="3">
                  <c:v>1.3241151730589991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D-49BA-9086-55BE5765BCB6}"/>
            </c:ext>
          </c:extLst>
        </c:ser>
        <c:ser>
          <c:idx val="3"/>
          <c:order val="3"/>
          <c:tx>
            <c:strRef>
              <c:f>'202506'!$C$35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'202506'!$D$31:$G$31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'202506'!$D$35:$G$35</c:f>
              <c:numCache>
                <c:formatCode>0.00_ </c:formatCode>
                <c:ptCount val="4"/>
                <c:pt idx="0">
                  <c:v>9.0000000000017621E-2</c:v>
                </c:pt>
                <c:pt idx="1">
                  <c:v>0.35999999999999943</c:v>
                </c:pt>
                <c:pt idx="2">
                  <c:v>0.53000000000000114</c:v>
                </c:pt>
                <c:pt idx="3">
                  <c:v>2.0000000000010232E-2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AD-49BA-9086-55BE5765BCB6}"/>
            </c:ext>
          </c:extLst>
        </c:ser>
        <c:ser>
          <c:idx val="4"/>
          <c:order val="4"/>
          <c:tx>
            <c:strRef>
              <c:f>'202506'!$C$36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'202506'!$D$31:$G$31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'202506'!$D$36:$G$36</c:f>
              <c:numCache>
                <c:formatCode>0.00_ </c:formatCode>
                <c:ptCount val="4"/>
                <c:pt idx="0">
                  <c:v>0.28999999999999204</c:v>
                </c:pt>
                <c:pt idx="1">
                  <c:v>-0.20999999999999375</c:v>
                </c:pt>
                <c:pt idx="2">
                  <c:v>0.59000000000000341</c:v>
                </c:pt>
                <c:pt idx="3">
                  <c:v>0.46000000000000796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AD-49BA-9086-55BE5765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'202507'!$C$24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'202507'!$D$23:$G$23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'202507'!$D$24:$G$24</c:f>
              <c:numCache>
                <c:formatCode>0.00_ </c:formatCode>
                <c:ptCount val="4"/>
                <c:pt idx="0">
                  <c:v>1</c:v>
                </c:pt>
                <c:pt idx="1">
                  <c:v>0.90000000000000568</c:v>
                </c:pt>
                <c:pt idx="2">
                  <c:v>0.29999999999999716</c:v>
                </c:pt>
                <c:pt idx="3">
                  <c:v>1.1000000000000085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2-4D09-88F7-55CFC37547C8}"/>
            </c:ext>
          </c:extLst>
        </c:ser>
        <c:ser>
          <c:idx val="1"/>
          <c:order val="1"/>
          <c:tx>
            <c:strRef>
              <c:f>'202507'!$C$25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'202507'!$D$23:$G$23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'202507'!$D$25:$G$25</c:f>
              <c:numCache>
                <c:formatCode>0.00_ </c:formatCode>
                <c:ptCount val="4"/>
                <c:pt idx="0">
                  <c:v>1.1587884766669987</c:v>
                </c:pt>
                <c:pt idx="1">
                  <c:v>1.1332002299999999</c:v>
                </c:pt>
                <c:pt idx="2">
                  <c:v>0.35821304000000964</c:v>
                </c:pt>
                <c:pt idx="3">
                  <c:v>0.61450133666700424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12-4D09-88F7-55CFC37547C8}"/>
            </c:ext>
          </c:extLst>
        </c:ser>
        <c:ser>
          <c:idx val="2"/>
          <c:order val="2"/>
          <c:tx>
            <c:strRef>
              <c:f>'202507'!$C$26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'202507'!$D$23:$G$23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'202507'!$D$26:$G$26</c:f>
              <c:numCache>
                <c:formatCode>0.00_ </c:formatCode>
                <c:ptCount val="4"/>
                <c:pt idx="0">
                  <c:v>1.00301440371301</c:v>
                </c:pt>
                <c:pt idx="1">
                  <c:v>1.4653706437430003</c:v>
                </c:pt>
                <c:pt idx="2">
                  <c:v>0.17692974848100107</c:v>
                </c:pt>
                <c:pt idx="3">
                  <c:v>1.7415898844229929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12-4D09-88F7-55CFC37547C8}"/>
            </c:ext>
          </c:extLst>
        </c:ser>
        <c:ser>
          <c:idx val="3"/>
          <c:order val="3"/>
          <c:tx>
            <c:strRef>
              <c:f>'202507'!$C$27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'202507'!$D$23:$G$23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'202507'!$D$27:$G$27</c:f>
              <c:numCache>
                <c:formatCode>0.00_ </c:formatCode>
                <c:ptCount val="4"/>
                <c:pt idx="0">
                  <c:v>0.53000000000000114</c:v>
                </c:pt>
                <c:pt idx="1">
                  <c:v>6.9999999999993179E-2</c:v>
                </c:pt>
                <c:pt idx="2">
                  <c:v>-0.39000000000000057</c:v>
                </c:pt>
                <c:pt idx="3">
                  <c:v>1.4099999999999966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12-4D09-88F7-55CFC37547C8}"/>
            </c:ext>
          </c:extLst>
        </c:ser>
        <c:ser>
          <c:idx val="4"/>
          <c:order val="4"/>
          <c:tx>
            <c:strRef>
              <c:f>'202507'!$C$28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'202507'!$D$23:$G$23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'202507'!$D$28:$G$28</c:f>
              <c:numCache>
                <c:formatCode>0.00_ </c:formatCode>
                <c:ptCount val="4"/>
                <c:pt idx="0">
                  <c:v>-0.32000000000000739</c:v>
                </c:pt>
                <c:pt idx="1">
                  <c:v>-0.71999999999999886</c:v>
                </c:pt>
                <c:pt idx="2">
                  <c:v>-7.9999999999998295E-2</c:v>
                </c:pt>
                <c:pt idx="3">
                  <c:v>1.3999999999999915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12-4D09-88F7-55CFC3754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'202507'!$C$32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'202507'!$D$31:$G$31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'202507'!$D$32:$G$32</c:f>
              <c:numCache>
                <c:formatCode>0.00_ </c:formatCode>
                <c:ptCount val="4"/>
                <c:pt idx="0">
                  <c:v>7.9999999999998295E-2</c:v>
                </c:pt>
                <c:pt idx="1">
                  <c:v>0.30000000000001137</c:v>
                </c:pt>
                <c:pt idx="2">
                  <c:v>9.0000000000003411E-2</c:v>
                </c:pt>
                <c:pt idx="3">
                  <c:v>-3.9999999999992042E-2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7-45D3-8573-3CB634C3CB15}"/>
            </c:ext>
          </c:extLst>
        </c:ser>
        <c:ser>
          <c:idx val="1"/>
          <c:order val="1"/>
          <c:tx>
            <c:strRef>
              <c:f>'202507'!$C$33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'202507'!$D$31:$G$31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'202507'!$D$33:$G$33</c:f>
              <c:numCache>
                <c:formatCode>0.00_ </c:formatCode>
                <c:ptCount val="4"/>
                <c:pt idx="0">
                  <c:v>1.1887884766669998</c:v>
                </c:pt>
                <c:pt idx="1">
                  <c:v>0.65320022999999594</c:v>
                </c:pt>
                <c:pt idx="2">
                  <c:v>-5.1786959999986948E-2</c:v>
                </c:pt>
                <c:pt idx="3">
                  <c:v>-0.13549866333299576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7-45D3-8573-3CB634C3CB15}"/>
            </c:ext>
          </c:extLst>
        </c:ser>
        <c:ser>
          <c:idx val="2"/>
          <c:order val="2"/>
          <c:tx>
            <c:strRef>
              <c:f>'202507'!$C$34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'202507'!$D$31:$G$31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'202507'!$D$34:$G$34</c:f>
              <c:numCache>
                <c:formatCode>0.00_ </c:formatCode>
                <c:ptCount val="4"/>
                <c:pt idx="0">
                  <c:v>0.12352061480500254</c:v>
                </c:pt>
                <c:pt idx="1">
                  <c:v>0.32592166721099147</c:v>
                </c:pt>
                <c:pt idx="2">
                  <c:v>2.5122526705004589E-2</c:v>
                </c:pt>
                <c:pt idx="3">
                  <c:v>0.37747471136398758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7-45D3-8573-3CB634C3CB15}"/>
            </c:ext>
          </c:extLst>
        </c:ser>
        <c:ser>
          <c:idx val="3"/>
          <c:order val="3"/>
          <c:tx>
            <c:strRef>
              <c:f>'202507'!$C$35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'202507'!$D$31:$G$31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'202507'!$D$35:$G$35</c:f>
              <c:numCache>
                <c:formatCode>0.00_ </c:formatCode>
                <c:ptCount val="4"/>
                <c:pt idx="0">
                  <c:v>0.14999999999999147</c:v>
                </c:pt>
                <c:pt idx="1">
                  <c:v>-0.29999999999999716</c:v>
                </c:pt>
                <c:pt idx="2">
                  <c:v>7.000000000000739E-2</c:v>
                </c:pt>
                <c:pt idx="3">
                  <c:v>1.039999999999992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7-45D3-8573-3CB634C3CB15}"/>
            </c:ext>
          </c:extLst>
        </c:ser>
        <c:ser>
          <c:idx val="4"/>
          <c:order val="4"/>
          <c:tx>
            <c:strRef>
              <c:f>'202507'!$C$36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'202507'!$D$31:$G$31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'202507'!$D$36:$G$36</c:f>
              <c:numCache>
                <c:formatCode>0.00_ </c:formatCode>
                <c:ptCount val="4"/>
                <c:pt idx="0">
                  <c:v>0.34999999999999432</c:v>
                </c:pt>
                <c:pt idx="1">
                  <c:v>-0.70000000000000284</c:v>
                </c:pt>
                <c:pt idx="2">
                  <c:v>-0.18999999999999773</c:v>
                </c:pt>
                <c:pt idx="3">
                  <c:v>0.62999999999998124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7-45D3-8573-3CB634C3C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'202508'!$C$24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'202508'!$D$23:$G$23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'202508'!$D$24:$G$24</c:f>
              <c:numCache>
                <c:formatCode>0.00_ </c:formatCode>
                <c:ptCount val="4"/>
                <c:pt idx="0">
                  <c:v>1.0999999999999943</c:v>
                </c:pt>
                <c:pt idx="1">
                  <c:v>1.5999999999999943</c:v>
                </c:pt>
                <c:pt idx="2">
                  <c:v>1</c:v>
                </c:pt>
                <c:pt idx="3">
                  <c:v>2.0999999999999943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5-4A23-8601-60E103F493E6}"/>
            </c:ext>
          </c:extLst>
        </c:ser>
        <c:ser>
          <c:idx val="1"/>
          <c:order val="1"/>
          <c:tx>
            <c:strRef>
              <c:f>'202508'!$C$25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'202508'!$D$23:$G$23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'202508'!$D$25:$G$25</c:f>
              <c:numCache>
                <c:formatCode>0.00_ </c:formatCode>
                <c:ptCount val="4"/>
                <c:pt idx="0">
                  <c:v>1.1983993799999979</c:v>
                </c:pt>
                <c:pt idx="1">
                  <c:v>1.3243997699999994</c:v>
                </c:pt>
                <c:pt idx="2">
                  <c:v>0.69939867000000788</c:v>
                </c:pt>
                <c:pt idx="3">
                  <c:v>1.0716447300000027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5-4A23-8601-60E103F493E6}"/>
            </c:ext>
          </c:extLst>
        </c:ser>
        <c:ser>
          <c:idx val="2"/>
          <c:order val="2"/>
          <c:tx>
            <c:strRef>
              <c:f>'202508'!$C$26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'202508'!$D$23:$G$23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'202508'!$D$26:$G$26</c:f>
              <c:numCache>
                <c:formatCode>0.00_ </c:formatCode>
                <c:ptCount val="4"/>
                <c:pt idx="0">
                  <c:v>0.69409534429199482</c:v>
                </c:pt>
                <c:pt idx="1">
                  <c:v>1.5280755936120016</c:v>
                </c:pt>
                <c:pt idx="2">
                  <c:v>0.68822386918701284</c:v>
                </c:pt>
                <c:pt idx="3">
                  <c:v>1.8521761357549877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5-4A23-8601-60E103F493E6}"/>
            </c:ext>
          </c:extLst>
        </c:ser>
        <c:ser>
          <c:idx val="3"/>
          <c:order val="3"/>
          <c:tx>
            <c:strRef>
              <c:f>'202508'!$C$27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'202508'!$D$23:$G$23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'202508'!$D$27:$G$27</c:f>
              <c:numCache>
                <c:formatCode>0.00_ </c:formatCode>
                <c:ptCount val="4"/>
                <c:pt idx="0">
                  <c:v>0.62797897496699306</c:v>
                </c:pt>
                <c:pt idx="1">
                  <c:v>0.16393989680300081</c:v>
                </c:pt>
                <c:pt idx="2">
                  <c:v>-0.4510540813050028</c:v>
                </c:pt>
                <c:pt idx="3">
                  <c:v>1.3085203336810025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B5-4A23-8601-60E103F493E6}"/>
            </c:ext>
          </c:extLst>
        </c:ser>
        <c:ser>
          <c:idx val="4"/>
          <c:order val="4"/>
          <c:tx>
            <c:strRef>
              <c:f>'202508'!$C$28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'202508'!$D$23:$G$23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'202508'!$D$28:$G$28</c:f>
              <c:numCache>
                <c:formatCode>0.00_ </c:formatCode>
                <c:ptCount val="4"/>
                <c:pt idx="0">
                  <c:v>-0.4912000000000063</c:v>
                </c:pt>
                <c:pt idx="1">
                  <c:v>-0.49843333333399187</c:v>
                </c:pt>
                <c:pt idx="2">
                  <c:v>-0.31633333333300584</c:v>
                </c:pt>
                <c:pt idx="3">
                  <c:v>0.92826666666600488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B5-4A23-8601-60E103F49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2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'202508'!$C$32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'202508'!$D$31:$G$31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'202508'!$D$32:$G$32</c:f>
              <c:numCache>
                <c:formatCode>0.00_ </c:formatCode>
                <c:ptCount val="4"/>
                <c:pt idx="0">
                  <c:v>9.9999999999994316E-2</c:v>
                </c:pt>
                <c:pt idx="1">
                  <c:v>0.69999999999998863</c:v>
                </c:pt>
                <c:pt idx="2">
                  <c:v>0.70000000000000284</c:v>
                </c:pt>
                <c:pt idx="3">
                  <c:v>0.99999999999998579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2-4857-AB99-539C023D35A8}"/>
            </c:ext>
          </c:extLst>
        </c:ser>
        <c:ser>
          <c:idx val="1"/>
          <c:order val="1"/>
          <c:tx>
            <c:strRef>
              <c:f>'202508'!$C$33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'202508'!$D$31:$G$31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'202508'!$D$33:$G$33</c:f>
              <c:numCache>
                <c:formatCode>0.00_ </c:formatCode>
                <c:ptCount val="4"/>
                <c:pt idx="0">
                  <c:v>3.9610903332999214E-2</c:v>
                </c:pt>
                <c:pt idx="1">
                  <c:v>0.1911995399999995</c:v>
                </c:pt>
                <c:pt idx="2">
                  <c:v>0.34118562999999824</c:v>
                </c:pt>
                <c:pt idx="3">
                  <c:v>0.45714339333299847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2-4857-AB99-539C023D35A8}"/>
            </c:ext>
          </c:extLst>
        </c:ser>
        <c:ser>
          <c:idx val="2"/>
          <c:order val="2"/>
          <c:tx>
            <c:strRef>
              <c:f>'202508'!$C$34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'202508'!$D$31:$G$31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'202508'!$D$34:$G$34</c:f>
              <c:numCache>
                <c:formatCode>0.00_ </c:formatCode>
                <c:ptCount val="4"/>
                <c:pt idx="0">
                  <c:v>-0.30891905942101516</c:v>
                </c:pt>
                <c:pt idx="1">
                  <c:v>6.2704949869001325E-2</c:v>
                </c:pt>
                <c:pt idx="2">
                  <c:v>0.51129412070601177</c:v>
                </c:pt>
                <c:pt idx="3">
                  <c:v>0.11058625133199484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2-4857-AB99-539C023D35A8}"/>
            </c:ext>
          </c:extLst>
        </c:ser>
        <c:ser>
          <c:idx val="3"/>
          <c:order val="3"/>
          <c:tx>
            <c:strRef>
              <c:f>'202508'!$C$35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'202508'!$D$31:$G$31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'202508'!$D$35:$G$35</c:f>
              <c:numCache>
                <c:formatCode>0.00_ </c:formatCode>
                <c:ptCount val="4"/>
                <c:pt idx="0">
                  <c:v>9.7978974966991927E-2</c:v>
                </c:pt>
                <c:pt idx="1">
                  <c:v>9.3939896803007628E-2</c:v>
                </c:pt>
                <c:pt idx="2">
                  <c:v>-6.1054081305002228E-2</c:v>
                </c:pt>
                <c:pt idx="3">
                  <c:v>-0.10147966631899408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2-4857-AB99-539C023D35A8}"/>
            </c:ext>
          </c:extLst>
        </c:ser>
        <c:ser>
          <c:idx val="4"/>
          <c:order val="4"/>
          <c:tx>
            <c:strRef>
              <c:f>'202508'!$C$36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'202508'!$D$31:$G$31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'202508'!$D$36:$G$36</c:f>
              <c:numCache>
                <c:formatCode>0.00_ </c:formatCode>
                <c:ptCount val="4"/>
                <c:pt idx="0">
                  <c:v>-0.17119999999999891</c:v>
                </c:pt>
                <c:pt idx="1">
                  <c:v>0.221566666666007</c:v>
                </c:pt>
                <c:pt idx="2">
                  <c:v>-0.23633333333300754</c:v>
                </c:pt>
                <c:pt idx="3">
                  <c:v>-0.47173333333398659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72-4857-AB99-539C023D3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'202509'!$C$24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'202509'!$D$23:$G$23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'202509'!$D$24:$G$24</c:f>
              <c:numCache>
                <c:formatCode>0.00_ </c:formatCode>
                <c:ptCount val="4"/>
                <c:pt idx="0">
                  <c:v>1</c:v>
                </c:pt>
                <c:pt idx="1">
                  <c:v>1.4000000000000057</c:v>
                </c:pt>
                <c:pt idx="2">
                  <c:v>1.6000000000000085</c:v>
                </c:pt>
                <c:pt idx="3">
                  <c:v>3.0999999999999943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7-410E-A0DD-06CE34943EF5}"/>
            </c:ext>
          </c:extLst>
        </c:ser>
        <c:ser>
          <c:idx val="1"/>
          <c:order val="1"/>
          <c:tx>
            <c:strRef>
              <c:f>'202509'!$C$25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'202509'!$D$23:$G$23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'202509'!$D$25:$G$25</c:f>
              <c:numCache>
                <c:formatCode>0.00_ </c:formatCode>
                <c:ptCount val="4"/>
                <c:pt idx="0">
                  <c:v>1.4281926200000044</c:v>
                </c:pt>
                <c:pt idx="1">
                  <c:v>1.3500000000000085</c:v>
                </c:pt>
                <c:pt idx="2">
                  <c:v>1.6200000000000045</c:v>
                </c:pt>
                <c:pt idx="3">
                  <c:v>2.0999999999999943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7-410E-A0DD-06CE34943EF5}"/>
            </c:ext>
          </c:extLst>
        </c:ser>
        <c:ser>
          <c:idx val="2"/>
          <c:order val="2"/>
          <c:tx>
            <c:strRef>
              <c:f>'202509'!$C$26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'202509'!$D$23:$G$23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'202509'!$D$26:$G$26</c:f>
              <c:numCache>
                <c:formatCode>0.00_ </c:formatCode>
                <c:ptCount val="4"/>
                <c:pt idx="0">
                  <c:v>0.53331881535599734</c:v>
                </c:pt>
                <c:pt idx="1">
                  <c:v>0.95278041092200283</c:v>
                </c:pt>
                <c:pt idx="2">
                  <c:v>0.47439257694200876</c:v>
                </c:pt>
                <c:pt idx="3">
                  <c:v>2.1594483186860032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7-410E-A0DD-06CE34943EF5}"/>
            </c:ext>
          </c:extLst>
        </c:ser>
        <c:ser>
          <c:idx val="3"/>
          <c:order val="3"/>
          <c:tx>
            <c:strRef>
              <c:f>'202509'!$C$27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'202509'!$D$23:$G$23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'202509'!$D$27:$G$27</c:f>
              <c:numCache>
                <c:formatCode>0.00_ </c:formatCode>
                <c:ptCount val="4"/>
                <c:pt idx="0">
                  <c:v>0.29999999999999716</c:v>
                </c:pt>
                <c:pt idx="1">
                  <c:v>0.37000000000000455</c:v>
                </c:pt>
                <c:pt idx="2">
                  <c:v>-0.35999999999999943</c:v>
                </c:pt>
                <c:pt idx="3">
                  <c:v>1.2199999999999989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7-410E-A0DD-06CE34943EF5}"/>
            </c:ext>
          </c:extLst>
        </c:ser>
        <c:ser>
          <c:idx val="4"/>
          <c:order val="4"/>
          <c:tx>
            <c:strRef>
              <c:f>'202509'!$C$28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'202509'!$D$23:$G$23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'202509'!$D$28:$G$28</c:f>
              <c:numCache>
                <c:formatCode>0.00_ </c:formatCode>
                <c:ptCount val="4"/>
                <c:pt idx="0">
                  <c:v>-0.15613333333399737</c:v>
                </c:pt>
                <c:pt idx="1">
                  <c:v>-0.19936666666599479</c:v>
                </c:pt>
                <c:pt idx="2">
                  <c:v>-0.32123333333299797</c:v>
                </c:pt>
                <c:pt idx="3">
                  <c:v>1.6156666666669963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77-410E-A0DD-06CE3494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2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'202509'!$C$32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'202509'!$D$31:$G$31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'202509'!$D$32:$G$32</c:f>
              <c:numCache>
                <c:formatCode>0.00_ </c:formatCode>
                <c:ptCount val="4"/>
                <c:pt idx="0">
                  <c:v>-9.9999999999994316E-2</c:v>
                </c:pt>
                <c:pt idx="1">
                  <c:v>-0.19999999999998863</c:v>
                </c:pt>
                <c:pt idx="2">
                  <c:v>0.60000000000000853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3-42A7-8DF9-E19473E2C7EF}"/>
            </c:ext>
          </c:extLst>
        </c:ser>
        <c:ser>
          <c:idx val="1"/>
          <c:order val="1"/>
          <c:tx>
            <c:strRef>
              <c:f>'202509'!$C$33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'202509'!$D$31:$G$31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'202509'!$D$33:$G$33</c:f>
              <c:numCache>
                <c:formatCode>0.00_ </c:formatCode>
                <c:ptCount val="4"/>
                <c:pt idx="0">
                  <c:v>0.22979324000000645</c:v>
                </c:pt>
                <c:pt idx="1">
                  <c:v>2.5600230000009105E-2</c:v>
                </c:pt>
                <c:pt idx="2">
                  <c:v>0.92060132999999666</c:v>
                </c:pt>
                <c:pt idx="3">
                  <c:v>1.0283552699999916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3-42A7-8DF9-E19473E2C7EF}"/>
            </c:ext>
          </c:extLst>
        </c:ser>
        <c:ser>
          <c:idx val="2"/>
          <c:order val="2"/>
          <c:tx>
            <c:strRef>
              <c:f>'202509'!$C$34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'202509'!$D$31:$G$31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'202509'!$D$34:$G$34</c:f>
              <c:numCache>
                <c:formatCode>0.00_ </c:formatCode>
                <c:ptCount val="4"/>
                <c:pt idx="0">
                  <c:v>-0.16077652893599748</c:v>
                </c:pt>
                <c:pt idx="1">
                  <c:v>-0.5752951826899988</c:v>
                </c:pt>
                <c:pt idx="2">
                  <c:v>-0.21383129224500408</c:v>
                </c:pt>
                <c:pt idx="3">
                  <c:v>0.30727218293101544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3-42A7-8DF9-E19473E2C7EF}"/>
            </c:ext>
          </c:extLst>
        </c:ser>
        <c:ser>
          <c:idx val="3"/>
          <c:order val="3"/>
          <c:tx>
            <c:strRef>
              <c:f>'202509'!$C$35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'202509'!$D$31:$G$31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'202509'!$D$35:$G$35</c:f>
              <c:numCache>
                <c:formatCode>0.00_ </c:formatCode>
                <c:ptCount val="4"/>
                <c:pt idx="0">
                  <c:v>-0.32797897496699591</c:v>
                </c:pt>
                <c:pt idx="1">
                  <c:v>0.20606010319700374</c:v>
                </c:pt>
                <c:pt idx="2">
                  <c:v>9.1054081305003365E-2</c:v>
                </c:pt>
                <c:pt idx="3">
                  <c:v>-8.8520333681003649E-2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23-42A7-8DF9-E19473E2C7EF}"/>
            </c:ext>
          </c:extLst>
        </c:ser>
        <c:ser>
          <c:idx val="4"/>
          <c:order val="4"/>
          <c:tx>
            <c:strRef>
              <c:f>'202509'!$C$36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'202509'!$D$31:$G$31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'202509'!$D$36:$G$36</c:f>
              <c:numCache>
                <c:formatCode>0.00_ </c:formatCode>
                <c:ptCount val="4"/>
                <c:pt idx="0">
                  <c:v>0.33506666666600893</c:v>
                </c:pt>
                <c:pt idx="1">
                  <c:v>0.29906666666799708</c:v>
                </c:pt>
                <c:pt idx="2">
                  <c:v>-4.8999999999921329E-3</c:v>
                </c:pt>
                <c:pt idx="3">
                  <c:v>0.68740000000099144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23-42A7-8DF9-E19473E2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'202510'!$C$24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'202510'!$D$23:$G$23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'202510'!$D$24:$G$24</c:f>
              <c:numCache>
                <c:formatCode>0.00_ </c:formatCode>
                <c:ptCount val="4"/>
                <c:pt idx="0">
                  <c:v>1</c:v>
                </c:pt>
                <c:pt idx="1">
                  <c:v>1.8999999999999915</c:v>
                </c:pt>
                <c:pt idx="2">
                  <c:v>1.9000000000000057</c:v>
                </c:pt>
                <c:pt idx="3">
                  <c:v>3.0999999999999943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6-4419-B848-FB49B1EEF621}"/>
            </c:ext>
          </c:extLst>
        </c:ser>
        <c:ser>
          <c:idx val="1"/>
          <c:order val="1"/>
          <c:tx>
            <c:strRef>
              <c:f>'202510'!$C$25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'202510'!$D$23:$G$23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'202510'!$D$25:$G$25</c:f>
              <c:numCache>
                <c:formatCode>0.00_ </c:formatCode>
                <c:ptCount val="4"/>
                <c:pt idx="0">
                  <c:v>1.4000000000000057</c:v>
                </c:pt>
                <c:pt idx="1">
                  <c:v>1.2600000000000051</c:v>
                </c:pt>
                <c:pt idx="2">
                  <c:v>2.0100000000000051</c:v>
                </c:pt>
                <c:pt idx="3">
                  <c:v>2.2099999999999937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6-4419-B848-FB49B1EEF621}"/>
            </c:ext>
          </c:extLst>
        </c:ser>
        <c:ser>
          <c:idx val="2"/>
          <c:order val="2"/>
          <c:tx>
            <c:strRef>
              <c:f>'202510'!$C$26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'202510'!$D$23:$G$23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'202510'!$D$26:$G$26</c:f>
              <c:numCache>
                <c:formatCode>0.00_ </c:formatCode>
                <c:ptCount val="4"/>
                <c:pt idx="0">
                  <c:v>0.53331881535599734</c:v>
                </c:pt>
                <c:pt idx="1">
                  <c:v>0.95278041092200283</c:v>
                </c:pt>
                <c:pt idx="2">
                  <c:v>0.47439257694200876</c:v>
                </c:pt>
                <c:pt idx="3">
                  <c:v>2.1594483186860032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6-4419-B848-FB49B1EEF621}"/>
            </c:ext>
          </c:extLst>
        </c:ser>
        <c:ser>
          <c:idx val="3"/>
          <c:order val="3"/>
          <c:tx>
            <c:strRef>
              <c:f>'202510'!$C$27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'202510'!$D$23:$G$23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'202510'!$D$27:$G$27</c:f>
              <c:numCache>
                <c:formatCode>0.00_ </c:formatCode>
                <c:ptCount val="4"/>
                <c:pt idx="0">
                  <c:v>0.5355569351150109</c:v>
                </c:pt>
                <c:pt idx="1">
                  <c:v>0.70054265029999385</c:v>
                </c:pt>
                <c:pt idx="2">
                  <c:v>0.1203166170049883</c:v>
                </c:pt>
                <c:pt idx="3">
                  <c:v>1.407381837182001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96-4419-B848-FB49B1EEF621}"/>
            </c:ext>
          </c:extLst>
        </c:ser>
        <c:ser>
          <c:idx val="4"/>
          <c:order val="4"/>
          <c:tx>
            <c:strRef>
              <c:f>'202510'!$C$28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'202510'!$D$23:$G$23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'202510'!$D$28:$G$28</c:f>
              <c:numCache>
                <c:formatCode>0.00_ </c:formatCode>
                <c:ptCount val="4"/>
                <c:pt idx="0">
                  <c:v>-0.14133333333299447</c:v>
                </c:pt>
                <c:pt idx="1">
                  <c:v>-0.1910000000000025</c:v>
                </c:pt>
                <c:pt idx="2">
                  <c:v>0.27766666666599349</c:v>
                </c:pt>
                <c:pt idx="3">
                  <c:v>2.2420000000000044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96-4419-B848-FB49B1EEF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'202510'!$C$32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'202510'!$D$31:$G$31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'202510'!$D$32:$G$32</c:f>
              <c:numCache>
                <c:formatCode>0.00_ </c:formatCode>
                <c:ptCount val="4"/>
                <c:pt idx="0">
                  <c:v>-9.9999999999994316E-2</c:v>
                </c:pt>
                <c:pt idx="1">
                  <c:v>0.29999999999999716</c:v>
                </c:pt>
                <c:pt idx="2">
                  <c:v>0.90000000000000568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E-4B6C-A7D1-3FBDB9938D29}"/>
            </c:ext>
          </c:extLst>
        </c:ser>
        <c:ser>
          <c:idx val="1"/>
          <c:order val="1"/>
          <c:tx>
            <c:strRef>
              <c:f>'202510'!$C$33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'202510'!$D$31:$G$31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'202510'!$D$33:$G$33</c:f>
              <c:numCache>
                <c:formatCode>0.00_ </c:formatCode>
                <c:ptCount val="4"/>
                <c:pt idx="0">
                  <c:v>0.20160062000000778</c:v>
                </c:pt>
                <c:pt idx="1">
                  <c:v>-6.4399769999994305E-2</c:v>
                </c:pt>
                <c:pt idx="2">
                  <c:v>1.3106013299999972</c:v>
                </c:pt>
                <c:pt idx="3">
                  <c:v>1.138355269999991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E-4B6C-A7D1-3FBDB9938D29}"/>
            </c:ext>
          </c:extLst>
        </c:ser>
        <c:ser>
          <c:idx val="2"/>
          <c:order val="2"/>
          <c:tx>
            <c:strRef>
              <c:f>'202510'!$C$34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'202510'!$D$31:$G$31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'202510'!$D$34:$G$34</c:f>
              <c:numCache>
                <c:formatCode>0.00_ </c:formatCode>
                <c:ptCount val="4"/>
                <c:pt idx="0">
                  <c:v>-0.16077652893599748</c:v>
                </c:pt>
                <c:pt idx="1">
                  <c:v>-0.5752951826899988</c:v>
                </c:pt>
                <c:pt idx="2">
                  <c:v>-0.21383129224500408</c:v>
                </c:pt>
                <c:pt idx="3">
                  <c:v>0.30727218293101544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E-4B6C-A7D1-3FBDB9938D29}"/>
            </c:ext>
          </c:extLst>
        </c:ser>
        <c:ser>
          <c:idx val="3"/>
          <c:order val="3"/>
          <c:tx>
            <c:strRef>
              <c:f>'202510'!$C$35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'202510'!$D$31:$G$31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'202510'!$D$35:$G$35</c:f>
              <c:numCache>
                <c:formatCode>0.00_ </c:formatCode>
                <c:ptCount val="4"/>
                <c:pt idx="0">
                  <c:v>-9.2422039851982163E-2</c:v>
                </c:pt>
                <c:pt idx="1">
                  <c:v>0.53660275349699305</c:v>
                </c:pt>
                <c:pt idx="2">
                  <c:v>0.5713706983099911</c:v>
                </c:pt>
                <c:pt idx="3">
                  <c:v>9.8861503500998538E-2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E-4B6C-A7D1-3FBDB9938D29}"/>
            </c:ext>
          </c:extLst>
        </c:ser>
        <c:ser>
          <c:idx val="4"/>
          <c:order val="4"/>
          <c:tx>
            <c:strRef>
              <c:f>'202510'!$C$36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'202510'!$D$31:$G$31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'202510'!$D$36:$G$36</c:f>
              <c:numCache>
                <c:formatCode>0.00_ </c:formatCode>
                <c:ptCount val="4"/>
                <c:pt idx="0">
                  <c:v>0.34986666666701183</c:v>
                </c:pt>
                <c:pt idx="1">
                  <c:v>0.30743333333398937</c:v>
                </c:pt>
                <c:pt idx="2">
                  <c:v>0.59399999999899933</c:v>
                </c:pt>
                <c:pt idx="3">
                  <c:v>1.3137333333339996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E-4B6C-A7D1-3FBDB9938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'202511'!$C$24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'202511'!$D$23:$H$23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'202511'!$D$24:$H$24</c:f>
              <c:numCache>
                <c:formatCode>0.00_ </c:formatCode>
                <c:ptCount val="5"/>
                <c:pt idx="0">
                  <c:v>1.0999999999999943</c:v>
                </c:pt>
                <c:pt idx="1">
                  <c:v>1.8999999999999915</c:v>
                </c:pt>
                <c:pt idx="2">
                  <c:v>2.7999999999999972</c:v>
                </c:pt>
                <c:pt idx="3">
                  <c:v>3.5999999999999943</c:v>
                </c:pt>
                <c:pt idx="4">
                  <c:v>4.7000000000000028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9-4B71-AEE5-4EDC2A4C4720}"/>
            </c:ext>
          </c:extLst>
        </c:ser>
        <c:ser>
          <c:idx val="1"/>
          <c:order val="1"/>
          <c:tx>
            <c:strRef>
              <c:f>'202511'!$C$25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'202511'!$D$23:$H$23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'202511'!$D$25:$H$25</c:f>
              <c:numCache>
                <c:formatCode>0.00_ </c:formatCode>
                <c:ptCount val="5"/>
                <c:pt idx="0">
                  <c:v>1.25</c:v>
                </c:pt>
                <c:pt idx="1">
                  <c:v>1</c:v>
                </c:pt>
                <c:pt idx="2">
                  <c:v>2.6099999999999994</c:v>
                </c:pt>
                <c:pt idx="3">
                  <c:v>2.5900000000000034</c:v>
                </c:pt>
                <c:pt idx="4">
                  <c:v>2.6999999999999886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9-4B71-AEE5-4EDC2A4C4720}"/>
            </c:ext>
          </c:extLst>
        </c:ser>
        <c:ser>
          <c:idx val="2"/>
          <c:order val="2"/>
          <c:tx>
            <c:strRef>
              <c:f>'202511'!$C$26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'202511'!$D$23:$H$23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'202511'!$D$26:$H$26</c:f>
              <c:numCache>
                <c:formatCode>0.00_ </c:formatCode>
                <c:ptCount val="5"/>
                <c:pt idx="0">
                  <c:v>0.51749476922800852</c:v>
                </c:pt>
                <c:pt idx="1">
                  <c:v>0.62617735596599289</c:v>
                </c:pt>
                <c:pt idx="2">
                  <c:v>0.84075926045198912</c:v>
                </c:pt>
                <c:pt idx="3">
                  <c:v>2.4915423380730033</c:v>
                </c:pt>
                <c:pt idx="4">
                  <c:v>3.130661145276008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9-4B71-AEE5-4EDC2A4C4720}"/>
            </c:ext>
          </c:extLst>
        </c:ser>
        <c:ser>
          <c:idx val="3"/>
          <c:order val="3"/>
          <c:tx>
            <c:strRef>
              <c:f>'202511'!$C$27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'202511'!$D$23:$H$23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'202511'!$D$27:$H$27</c:f>
              <c:numCache>
                <c:formatCode>0.00_ </c:formatCode>
                <c:ptCount val="5"/>
                <c:pt idx="0">
                  <c:v>0.30414202259099454</c:v>
                </c:pt>
                <c:pt idx="1">
                  <c:v>0.3263085487599966</c:v>
                </c:pt>
                <c:pt idx="2">
                  <c:v>0.36262884408100149</c:v>
                </c:pt>
                <c:pt idx="3">
                  <c:v>1.5114869161450031</c:v>
                </c:pt>
                <c:pt idx="4">
                  <c:v>4.2360717003810038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B9-4B71-AEE5-4EDC2A4C4720}"/>
            </c:ext>
          </c:extLst>
        </c:ser>
        <c:ser>
          <c:idx val="4"/>
          <c:order val="4"/>
          <c:tx>
            <c:strRef>
              <c:f>'202511'!$C$28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'202511'!$D$23:$H$23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'202511'!$D$28:$H$28</c:f>
              <c:numCache>
                <c:formatCode>0.00_ </c:formatCode>
                <c:ptCount val="5"/>
                <c:pt idx="0">
                  <c:v>0.62702851942100324</c:v>
                </c:pt>
                <c:pt idx="1">
                  <c:v>0.18465307616399684</c:v>
                </c:pt>
                <c:pt idx="2">
                  <c:v>0.77878491129399663</c:v>
                </c:pt>
                <c:pt idx="3">
                  <c:v>2.8831495678490029</c:v>
                </c:pt>
                <c:pt idx="4">
                  <c:v>3.1108241729160113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B9-4B71-AEE5-4EDC2A4C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'202511'!$C$32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'202511'!$D$31:$H$31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'202511'!$D$32:$H$32</c:f>
              <c:numCache>
                <c:formatCode>0.00_ </c:formatCode>
                <c:ptCount val="5"/>
                <c:pt idx="0">
                  <c:v>0</c:v>
                </c:pt>
                <c:pt idx="1">
                  <c:v>0.29999999999999716</c:v>
                </c:pt>
                <c:pt idx="2">
                  <c:v>1.7999999999999972</c:v>
                </c:pt>
                <c:pt idx="3">
                  <c:v>1.5</c:v>
                </c:pt>
                <c:pt idx="4">
                  <c:v>0.39999999999999147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5-448E-97D5-055C0D4E8710}"/>
            </c:ext>
          </c:extLst>
        </c:ser>
        <c:ser>
          <c:idx val="1"/>
          <c:order val="1"/>
          <c:tx>
            <c:strRef>
              <c:f>'202511'!$C$33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'202511'!$D$31:$H$31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'202511'!$D$33:$H$33</c:f>
              <c:numCache>
                <c:formatCode>0.00_ </c:formatCode>
                <c:ptCount val="5"/>
                <c:pt idx="0">
                  <c:v>5.1600620000002095E-2</c:v>
                </c:pt>
                <c:pt idx="1">
                  <c:v>-0.32439976999999942</c:v>
                </c:pt>
                <c:pt idx="2">
                  <c:v>1.9106013299999915</c:v>
                </c:pt>
                <c:pt idx="3">
                  <c:v>1.5183552700000007</c:v>
                </c:pt>
                <c:pt idx="4">
                  <c:v>0.28999999999999204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5-448E-97D5-055C0D4E8710}"/>
            </c:ext>
          </c:extLst>
        </c:ser>
        <c:ser>
          <c:idx val="2"/>
          <c:order val="2"/>
          <c:tx>
            <c:strRef>
              <c:f>'202511'!$C$34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'202511'!$D$31:$H$31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'202511'!$D$34:$H$34</c:f>
              <c:numCache>
                <c:formatCode>0.00_ </c:formatCode>
                <c:ptCount val="5"/>
                <c:pt idx="0">
                  <c:v>-0.1766005750639863</c:v>
                </c:pt>
                <c:pt idx="1">
                  <c:v>-0.90189823764600874</c:v>
                </c:pt>
                <c:pt idx="2">
                  <c:v>0.15253539126497628</c:v>
                </c:pt>
                <c:pt idx="3">
                  <c:v>0.63936620231801555</c:v>
                </c:pt>
                <c:pt idx="4">
                  <c:v>-0.1240007787199886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35-448E-97D5-055C0D4E8710}"/>
            </c:ext>
          </c:extLst>
        </c:ser>
        <c:ser>
          <c:idx val="3"/>
          <c:order val="3"/>
          <c:tx>
            <c:strRef>
              <c:f>'202511'!$C$35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'202511'!$D$31:$H$31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'202511'!$D$35:$H$35</c:f>
              <c:numCache>
                <c:formatCode>0.00_ </c:formatCode>
                <c:ptCount val="5"/>
                <c:pt idx="0">
                  <c:v>-0.32383695237599852</c:v>
                </c:pt>
                <c:pt idx="1">
                  <c:v>0.16236865195699579</c:v>
                </c:pt>
                <c:pt idx="2">
                  <c:v>0.81368292538600429</c:v>
                </c:pt>
                <c:pt idx="3">
                  <c:v>0.20296658246400057</c:v>
                </c:pt>
                <c:pt idx="4">
                  <c:v>0.60478262729401422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35-448E-97D5-055C0D4E8710}"/>
            </c:ext>
          </c:extLst>
        </c:ser>
        <c:ser>
          <c:idx val="4"/>
          <c:order val="4"/>
          <c:tx>
            <c:strRef>
              <c:f>'202511'!$C$36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'202511'!$D$31:$H$31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'202511'!$D$36:$H$36</c:f>
              <c:numCache>
                <c:formatCode>0.00_ </c:formatCode>
                <c:ptCount val="5"/>
                <c:pt idx="0">
                  <c:v>1.1182285194210095</c:v>
                </c:pt>
                <c:pt idx="1">
                  <c:v>0.68308640949798871</c:v>
                </c:pt>
                <c:pt idx="2">
                  <c:v>1.0951182446270025</c:v>
                </c:pt>
                <c:pt idx="3">
                  <c:v>1.954882901182998</c:v>
                </c:pt>
                <c:pt idx="4">
                  <c:v>0.43215750625002158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35-448E-97D5-055C0D4E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'202512'!$C$24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'202512'!$D$23:$K$23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'202512'!$D$24:$K$24</c:f>
              <c:numCache>
                <c:formatCode>0.00_ </c:formatCode>
                <c:ptCount val="8"/>
                <c:pt idx="0">
                  <c:v>1.0999999999999943</c:v>
                </c:pt>
                <c:pt idx="1">
                  <c:v>2</c:v>
                </c:pt>
                <c:pt idx="2">
                  <c:v>2.9000000000000057</c:v>
                </c:pt>
                <c:pt idx="3">
                  <c:v>3.5</c:v>
                </c:pt>
                <c:pt idx="4">
                  <c:v>5</c:v>
                </c:pt>
                <c:pt idx="5">
                  <c:v>4.7000000000000028</c:v>
                </c:pt>
                <c:pt idx="6">
                  <c:v>3.5</c:v>
                </c:pt>
                <c:pt idx="7">
                  <c:v>3.2000000000000028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5-4485-9331-75ADB029F1B1}"/>
            </c:ext>
          </c:extLst>
        </c:ser>
        <c:ser>
          <c:idx val="1"/>
          <c:order val="1"/>
          <c:tx>
            <c:strRef>
              <c:f>'202512'!$C$25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'202512'!$D$23:$K$23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'202512'!$D$25:$K$25</c:f>
              <c:numCache>
                <c:formatCode>0.00_ </c:formatCode>
                <c:ptCount val="8"/>
                <c:pt idx="0">
                  <c:v>1.0115843600000005</c:v>
                </c:pt>
                <c:pt idx="1">
                  <c:v>0.91853437666600257</c:v>
                </c:pt>
                <c:pt idx="2">
                  <c:v>2.5799164233330032</c:v>
                </c:pt>
                <c:pt idx="3">
                  <c:v>2.7915970966669903</c:v>
                </c:pt>
                <c:pt idx="4">
                  <c:v>2.6185058566660047</c:v>
                </c:pt>
                <c:pt idx="5">
                  <c:v>1.9884933200000035</c:v>
                </c:pt>
                <c:pt idx="6">
                  <c:v>1.7868323699999991</c:v>
                </c:pt>
                <c:pt idx="7">
                  <c:v>2.2906004799999948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5-4485-9331-75ADB029F1B1}"/>
            </c:ext>
          </c:extLst>
        </c:ser>
        <c:ser>
          <c:idx val="2"/>
          <c:order val="2"/>
          <c:tx>
            <c:strRef>
              <c:f>'202512'!$C$26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'202512'!$D$23:$K$23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'202512'!$D$26:$K$26</c:f>
              <c:numCache>
                <c:formatCode>0.00_ </c:formatCode>
                <c:ptCount val="8"/>
                <c:pt idx="0">
                  <c:v>0.52743920988800141</c:v>
                </c:pt>
                <c:pt idx="1">
                  <c:v>0.46570099527299647</c:v>
                </c:pt>
                <c:pt idx="2">
                  <c:v>1.270808513538995</c:v>
                </c:pt>
                <c:pt idx="3">
                  <c:v>2.8716296558829981</c:v>
                </c:pt>
                <c:pt idx="4">
                  <c:v>3.3711833259680049</c:v>
                </c:pt>
                <c:pt idx="5">
                  <c:v>2.2885245173220028</c:v>
                </c:pt>
                <c:pt idx="6">
                  <c:v>0.82776175758098702</c:v>
                </c:pt>
                <c:pt idx="7">
                  <c:v>1.6080080361179938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5-4485-9331-75ADB029F1B1}"/>
            </c:ext>
          </c:extLst>
        </c:ser>
        <c:ser>
          <c:idx val="3"/>
          <c:order val="3"/>
          <c:tx>
            <c:strRef>
              <c:f>'202512'!$C$27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'202512'!$D$23:$K$23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'202512'!$D$27:$K$27</c:f>
              <c:numCache>
                <c:formatCode>0.00_ </c:formatCode>
                <c:ptCount val="8"/>
                <c:pt idx="0">
                  <c:v>0.31647961455399809</c:v>
                </c:pt>
                <c:pt idx="1">
                  <c:v>0.28337737316999778</c:v>
                </c:pt>
                <c:pt idx="2">
                  <c:v>0.92360085979299811</c:v>
                </c:pt>
                <c:pt idx="3">
                  <c:v>1.5459335933640119</c:v>
                </c:pt>
                <c:pt idx="4">
                  <c:v>3.9641939961299926</c:v>
                </c:pt>
                <c:pt idx="5">
                  <c:v>2.6228227861860063</c:v>
                </c:pt>
                <c:pt idx="6">
                  <c:v>1.3534831940159933</c:v>
                </c:pt>
                <c:pt idx="7">
                  <c:v>2.2377053707579933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5-4485-9331-75ADB029F1B1}"/>
            </c:ext>
          </c:extLst>
        </c:ser>
        <c:ser>
          <c:idx val="4"/>
          <c:order val="4"/>
          <c:tx>
            <c:strRef>
              <c:f>'202512'!$C$28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'202512'!$D$23:$K$23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'202512'!$D$28:$K$28</c:f>
              <c:numCache>
                <c:formatCode>0.00_ </c:formatCode>
                <c:ptCount val="8"/>
                <c:pt idx="0">
                  <c:v>0.62702851942100324</c:v>
                </c:pt>
                <c:pt idx="1">
                  <c:v>0.18465307616399684</c:v>
                </c:pt>
                <c:pt idx="2">
                  <c:v>0.77878491129399663</c:v>
                </c:pt>
                <c:pt idx="3">
                  <c:v>2.8831495678490029</c:v>
                </c:pt>
                <c:pt idx="4">
                  <c:v>3.6252609346699955</c:v>
                </c:pt>
                <c:pt idx="5">
                  <c:v>3.6780261703809884</c:v>
                </c:pt>
                <c:pt idx="6">
                  <c:v>3.2329706625589978</c:v>
                </c:pt>
                <c:pt idx="7">
                  <c:v>3.5990753118800001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15-4485-9331-75ADB029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'202512'!$C$32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'202512'!$D$31:$H$31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'202512'!$D$32:$H$32</c:f>
              <c:numCache>
                <c:formatCode>0.00_ </c:formatCode>
                <c:ptCount val="5"/>
                <c:pt idx="0">
                  <c:v>0</c:v>
                </c:pt>
                <c:pt idx="1">
                  <c:v>0.40000000000000568</c:v>
                </c:pt>
                <c:pt idx="2">
                  <c:v>1.9000000000000057</c:v>
                </c:pt>
                <c:pt idx="3">
                  <c:v>1.4000000000000057</c:v>
                </c:pt>
                <c:pt idx="4">
                  <c:v>0.69999999999998863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A-41AA-926F-258E7ED32AED}"/>
            </c:ext>
          </c:extLst>
        </c:ser>
        <c:ser>
          <c:idx val="1"/>
          <c:order val="1"/>
          <c:tx>
            <c:strRef>
              <c:f>'202512'!$C$33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'202512'!$D$31:$H$31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'202512'!$D$33:$H$33</c:f>
              <c:numCache>
                <c:formatCode>0.00_ </c:formatCode>
                <c:ptCount val="5"/>
                <c:pt idx="0">
                  <c:v>-0.18681501999999739</c:v>
                </c:pt>
                <c:pt idx="1">
                  <c:v>-0.40586539333399685</c:v>
                </c:pt>
                <c:pt idx="2">
                  <c:v>1.8805177533329953</c:v>
                </c:pt>
                <c:pt idx="3">
                  <c:v>1.7199523666669876</c:v>
                </c:pt>
                <c:pt idx="4">
                  <c:v>0.20850585666600807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A-41AA-926F-258E7ED32AED}"/>
            </c:ext>
          </c:extLst>
        </c:ser>
        <c:ser>
          <c:idx val="2"/>
          <c:order val="2"/>
          <c:tx>
            <c:strRef>
              <c:f>'202512'!$C$34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'202512'!$D$31:$H$31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'202512'!$D$34:$H$34</c:f>
              <c:numCache>
                <c:formatCode>0.00_ </c:formatCode>
                <c:ptCount val="5"/>
                <c:pt idx="0">
                  <c:v>-0.16665613440399341</c:v>
                </c:pt>
                <c:pt idx="1">
                  <c:v>-1.0623745983390052</c:v>
                </c:pt>
                <c:pt idx="2">
                  <c:v>0.58258464435198221</c:v>
                </c:pt>
                <c:pt idx="3">
                  <c:v>1.0194535201280104</c:v>
                </c:pt>
                <c:pt idx="4">
                  <c:v>0.11652140197200822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A-41AA-926F-258E7ED32AED}"/>
            </c:ext>
          </c:extLst>
        </c:ser>
        <c:ser>
          <c:idx val="3"/>
          <c:order val="3"/>
          <c:tx>
            <c:strRef>
              <c:f>'202512'!$C$35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'202512'!$D$31:$H$31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'202512'!$D$35:$H$35</c:f>
              <c:numCache>
                <c:formatCode>0.00_ </c:formatCode>
                <c:ptCount val="5"/>
                <c:pt idx="0">
                  <c:v>-0.31149936041299497</c:v>
                </c:pt>
                <c:pt idx="1">
                  <c:v>0.11943747636699698</c:v>
                </c:pt>
                <c:pt idx="2">
                  <c:v>1.3746549410980009</c:v>
                </c:pt>
                <c:pt idx="3">
                  <c:v>0.23741325968300941</c:v>
                </c:pt>
                <c:pt idx="4">
                  <c:v>0.33290492304300301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A-41AA-926F-258E7ED32AED}"/>
            </c:ext>
          </c:extLst>
        </c:ser>
        <c:ser>
          <c:idx val="4"/>
          <c:order val="4"/>
          <c:tx>
            <c:strRef>
              <c:f>'202512'!$C$36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'202512'!$D$31:$H$31</c:f>
              <c:strCache>
                <c:ptCount val="5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</c:strCache>
            </c:strRef>
          </c:cat>
          <c:val>
            <c:numRef>
              <c:f>'202512'!$D$36:$H$36</c:f>
              <c:numCache>
                <c:formatCode>0.00_ </c:formatCode>
                <c:ptCount val="5"/>
                <c:pt idx="0">
                  <c:v>1.1182285194210095</c:v>
                </c:pt>
                <c:pt idx="1">
                  <c:v>0.68308640949798871</c:v>
                </c:pt>
                <c:pt idx="2">
                  <c:v>1.0951182446270025</c:v>
                </c:pt>
                <c:pt idx="3">
                  <c:v>1.954882901182998</c:v>
                </c:pt>
                <c:pt idx="4">
                  <c:v>0.94659426800400581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8A-41AA-926F-258E7ED32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'202601'!$C$24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'202601'!$D$23:$K$23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'202601'!$D$24:$K$24</c:f>
              <c:numCache>
                <c:formatCode>0.00_ 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3.0999999999999943</c:v>
                </c:pt>
                <c:pt idx="4">
                  <c:v>4.6000000000000085</c:v>
                </c:pt>
                <c:pt idx="5">
                  <c:v>4.5</c:v>
                </c:pt>
                <c:pt idx="6">
                  <c:v>3.1999999999999886</c:v>
                </c:pt>
                <c:pt idx="7">
                  <c:v>2.8999999999999915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0-4BE9-BB70-00F50E6CCA0F}"/>
            </c:ext>
          </c:extLst>
        </c:ser>
        <c:ser>
          <c:idx val="1"/>
          <c:order val="1"/>
          <c:tx>
            <c:strRef>
              <c:f>'202601'!$C$25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'202601'!$D$23:$K$23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'202601'!$D$25:$K$25</c:f>
              <c:numCache>
                <c:formatCode>0.00_ </c:formatCode>
                <c:ptCount val="8"/>
                <c:pt idx="0">
                  <c:v>1.2784005833329957</c:v>
                </c:pt>
                <c:pt idx="1">
                  <c:v>1.2000000000000028</c:v>
                </c:pt>
                <c:pt idx="2">
                  <c:v>3.0699999999999932</c:v>
                </c:pt>
                <c:pt idx="3">
                  <c:v>3.3500000000000085</c:v>
                </c:pt>
                <c:pt idx="4">
                  <c:v>2.7383876833330021</c:v>
                </c:pt>
                <c:pt idx="5">
                  <c:v>2.0504610666669976</c:v>
                </c:pt>
                <c:pt idx="6">
                  <c:v>1.8400000000000034</c:v>
                </c:pt>
                <c:pt idx="7">
                  <c:v>2.3699999999999903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0-4BE9-BB70-00F50E6CCA0F}"/>
            </c:ext>
          </c:extLst>
        </c:ser>
        <c:ser>
          <c:idx val="2"/>
          <c:order val="2"/>
          <c:tx>
            <c:strRef>
              <c:f>'202601'!$C$26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'202601'!$D$23:$K$23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'202601'!$D$26:$K$26</c:f>
              <c:numCache>
                <c:formatCode>0.00_ </c:formatCode>
                <c:ptCount val="8"/>
                <c:pt idx="0">
                  <c:v>0.52743920988800141</c:v>
                </c:pt>
                <c:pt idx="1">
                  <c:v>0.46570099527299647</c:v>
                </c:pt>
                <c:pt idx="2">
                  <c:v>1.270808513538995</c:v>
                </c:pt>
                <c:pt idx="3">
                  <c:v>2.8716296558829981</c:v>
                </c:pt>
                <c:pt idx="4">
                  <c:v>3.3711833259680049</c:v>
                </c:pt>
                <c:pt idx="5">
                  <c:v>2.2885245173220028</c:v>
                </c:pt>
                <c:pt idx="6">
                  <c:v>0.82776175758098702</c:v>
                </c:pt>
                <c:pt idx="7">
                  <c:v>1.6080080361179938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0-4BE9-BB70-00F50E6CCA0F}"/>
            </c:ext>
          </c:extLst>
        </c:ser>
        <c:ser>
          <c:idx val="3"/>
          <c:order val="3"/>
          <c:tx>
            <c:strRef>
              <c:f>'202601'!$C$27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'202601'!$D$23:$K$23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'202601'!$D$27:$K$27</c:f>
              <c:numCache>
                <c:formatCode>0.00_ </c:formatCode>
                <c:ptCount val="8"/>
                <c:pt idx="0">
                  <c:v>0.43949336758200275</c:v>
                </c:pt>
                <c:pt idx="1">
                  <c:v>0.18336536010299653</c:v>
                </c:pt>
                <c:pt idx="2">
                  <c:v>0.83805379727201057</c:v>
                </c:pt>
                <c:pt idx="3">
                  <c:v>1.2623215490060034</c:v>
                </c:pt>
                <c:pt idx="4">
                  <c:v>3.738640453525008</c:v>
                </c:pt>
                <c:pt idx="5">
                  <c:v>2.394551336630002</c:v>
                </c:pt>
                <c:pt idx="6">
                  <c:v>1.2976731142349962</c:v>
                </c:pt>
                <c:pt idx="7">
                  <c:v>2.2045969136039929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0-4BE9-BB70-00F50E6CCA0F}"/>
            </c:ext>
          </c:extLst>
        </c:ser>
        <c:ser>
          <c:idx val="4"/>
          <c:order val="4"/>
          <c:tx>
            <c:strRef>
              <c:f>'202601'!$C$28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'202601'!$D$23:$K$23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'202601'!$D$28:$K$28</c:f>
              <c:numCache>
                <c:formatCode>0.00_ </c:formatCode>
                <c:ptCount val="8"/>
                <c:pt idx="0">
                  <c:v>0.76683670435500062</c:v>
                </c:pt>
                <c:pt idx="1">
                  <c:v>0.56460786563199861</c:v>
                </c:pt>
                <c:pt idx="2">
                  <c:v>2.1210379347349999</c:v>
                </c:pt>
                <c:pt idx="3">
                  <c:v>2.8947892331169953</c:v>
                </c:pt>
                <c:pt idx="4">
                  <c:v>3.2372473733369986</c:v>
                </c:pt>
                <c:pt idx="5">
                  <c:v>3.6927616394389986</c:v>
                </c:pt>
                <c:pt idx="6">
                  <c:v>3.5451210327399991</c:v>
                </c:pt>
                <c:pt idx="7">
                  <c:v>3.6340188534909998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E0-4BE9-BB70-00F50E6CC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'202601'!$C$32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'202601'!$D$31:$K$31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'202601'!$D$32:$K$32</c:f>
              <c:numCache>
                <c:formatCode>0.00_ </c:formatCode>
                <c:ptCount val="8"/>
                <c:pt idx="0">
                  <c:v>-9.9999999999994316E-2</c:v>
                </c:pt>
                <c:pt idx="1">
                  <c:v>0.40000000000000568</c:v>
                </c:pt>
                <c:pt idx="2">
                  <c:v>2</c:v>
                </c:pt>
                <c:pt idx="3">
                  <c:v>1</c:v>
                </c:pt>
                <c:pt idx="4">
                  <c:v>0.29999999999999716</c:v>
                </c:pt>
                <c:pt idx="5">
                  <c:v>-0.20000000000000284</c:v>
                </c:pt>
                <c:pt idx="6">
                  <c:v>-0.30000000000001137</c:v>
                </c:pt>
                <c:pt idx="7">
                  <c:v>-0.30000000000001137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A-4765-B25C-1A632E5FCED1}"/>
            </c:ext>
          </c:extLst>
        </c:ser>
        <c:ser>
          <c:idx val="1"/>
          <c:order val="1"/>
          <c:tx>
            <c:strRef>
              <c:f>'202601'!$C$33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'202601'!$D$31:$K$31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'202601'!$D$33:$K$33</c:f>
              <c:numCache>
                <c:formatCode>0.00_ </c:formatCode>
                <c:ptCount val="8"/>
                <c:pt idx="0">
                  <c:v>8.0001203332997761E-2</c:v>
                </c:pt>
                <c:pt idx="1">
                  <c:v>-0.12439976999999658</c:v>
                </c:pt>
                <c:pt idx="2">
                  <c:v>2.3706013299999853</c:v>
                </c:pt>
                <c:pt idx="3">
                  <c:v>2.2783552700000058</c:v>
                </c:pt>
                <c:pt idx="4">
                  <c:v>0.3283876833330055</c:v>
                </c:pt>
                <c:pt idx="5">
                  <c:v>6.1967746666994117E-2</c:v>
                </c:pt>
                <c:pt idx="6">
                  <c:v>5.3167630000004351E-2</c:v>
                </c:pt>
                <c:pt idx="7">
                  <c:v>7.9399519999995505E-2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A-4765-B25C-1A632E5FCED1}"/>
            </c:ext>
          </c:extLst>
        </c:ser>
        <c:ser>
          <c:idx val="2"/>
          <c:order val="2"/>
          <c:tx>
            <c:strRef>
              <c:f>'202601'!$C$34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'202601'!$D$31:$K$31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'202601'!$D$34:$K$34</c:f>
              <c:numCache>
                <c:formatCode>0.00_ </c:formatCode>
                <c:ptCount val="8"/>
                <c:pt idx="0">
                  <c:v>-0.16665613440399341</c:v>
                </c:pt>
                <c:pt idx="1">
                  <c:v>-1.0623745983390052</c:v>
                </c:pt>
                <c:pt idx="2">
                  <c:v>0.58258464435198221</c:v>
                </c:pt>
                <c:pt idx="3">
                  <c:v>1.0194535201280104</c:v>
                </c:pt>
                <c:pt idx="4">
                  <c:v>0.11652140197200822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FA-4765-B25C-1A632E5FCED1}"/>
            </c:ext>
          </c:extLst>
        </c:ser>
        <c:ser>
          <c:idx val="3"/>
          <c:order val="3"/>
          <c:tx>
            <c:strRef>
              <c:f>'202601'!$C$35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'202601'!$D$31:$K$31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'202601'!$D$35:$K$35</c:f>
              <c:numCache>
                <c:formatCode>0.00_ </c:formatCode>
                <c:ptCount val="8"/>
                <c:pt idx="0">
                  <c:v>-0.18848560738499032</c:v>
                </c:pt>
                <c:pt idx="1">
                  <c:v>1.9425463299995727E-2</c:v>
                </c:pt>
                <c:pt idx="2">
                  <c:v>1.2891078785770134</c:v>
                </c:pt>
                <c:pt idx="3">
                  <c:v>-4.619878467499916E-2</c:v>
                </c:pt>
                <c:pt idx="4">
                  <c:v>0.1073513804380184</c:v>
                </c:pt>
                <c:pt idx="5">
                  <c:v>-0.22827144955600431</c:v>
                </c:pt>
                <c:pt idx="6">
                  <c:v>-5.5810079780997057E-2</c:v>
                </c:pt>
                <c:pt idx="7">
                  <c:v>-3.3108457154000348E-2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A-4765-B25C-1A632E5FCED1}"/>
            </c:ext>
          </c:extLst>
        </c:ser>
        <c:ser>
          <c:idx val="4"/>
          <c:order val="4"/>
          <c:tx>
            <c:strRef>
              <c:f>'202601'!$C$36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'202601'!$D$31:$K$31</c:f>
              <c:strCache>
                <c:ptCount val="8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  <c:pt idx="6">
                  <c:v>2026Q3</c:v>
                </c:pt>
                <c:pt idx="7">
                  <c:v>2026Q4</c:v>
                </c:pt>
              </c:strCache>
            </c:strRef>
          </c:cat>
          <c:val>
            <c:numRef>
              <c:f>'202601'!$D$36:$K$36</c:f>
              <c:numCache>
                <c:formatCode>0.00_ </c:formatCode>
                <c:ptCount val="8"/>
                <c:pt idx="0">
                  <c:v>1.2580367043550069</c:v>
                </c:pt>
                <c:pt idx="1">
                  <c:v>1.0630411989659905</c:v>
                </c:pt>
                <c:pt idx="2">
                  <c:v>2.4373712680680057</c:v>
                </c:pt>
                <c:pt idx="3">
                  <c:v>1.9665225664509904</c:v>
                </c:pt>
                <c:pt idx="4">
                  <c:v>0.5585807066710089</c:v>
                </c:pt>
                <c:pt idx="5">
                  <c:v>1.4735469058010153E-2</c:v>
                </c:pt>
                <c:pt idx="6">
                  <c:v>0.31215037018100134</c:v>
                </c:pt>
                <c:pt idx="7">
                  <c:v>3.4943541610999773E-2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FA-4765-B25C-1A632E5FC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3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'202602'!$C$24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'202602'!$D$23:$G$23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'202602'!$D$24:$G$24</c:f>
              <c:numCache>
                <c:formatCode>0.00_ </c:formatCode>
                <c:ptCount val="4"/>
                <c:pt idx="0">
                  <c:v>4.1999999999999886</c:v>
                </c:pt>
                <c:pt idx="1">
                  <c:v>4.5</c:v>
                </c:pt>
                <c:pt idx="2">
                  <c:v>3.3999999999999915</c:v>
                </c:pt>
                <c:pt idx="3">
                  <c:v>2.7999999999999972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8-4D79-A625-51D47DD5B09E}"/>
            </c:ext>
          </c:extLst>
        </c:ser>
        <c:ser>
          <c:idx val="1"/>
          <c:order val="1"/>
          <c:tx>
            <c:strRef>
              <c:f>'202602'!$C$25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'202602'!$D$23:$G$23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'202602'!$D$25:$G$25</c:f>
              <c:numCache>
                <c:formatCode>0.00_ </c:formatCode>
                <c:ptCount val="4"/>
                <c:pt idx="0">
                  <c:v>3.5362432033330009</c:v>
                </c:pt>
                <c:pt idx="1">
                  <c:v>2.6572036333330118</c:v>
                </c:pt>
                <c:pt idx="2">
                  <c:v>2.2562273566660025</c:v>
                </c:pt>
                <c:pt idx="3">
                  <c:v>2.8534772633339998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8-4D79-A625-51D47DD5B09E}"/>
            </c:ext>
          </c:extLst>
        </c:ser>
        <c:ser>
          <c:idx val="2"/>
          <c:order val="2"/>
          <c:tx>
            <c:strRef>
              <c:f>'202602'!$C$26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'202602'!$D$23:$G$23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'202602'!$D$26:$G$26</c:f>
              <c:numCache>
                <c:formatCode>0.00_ </c:formatCode>
                <c:ptCount val="4"/>
                <c:pt idx="0">
                  <c:v>3.5246260698820038</c:v>
                </c:pt>
                <c:pt idx="1">
                  <c:v>2.1741964136120089</c:v>
                </c:pt>
                <c:pt idx="2">
                  <c:v>0.68893581991100916</c:v>
                </c:pt>
                <c:pt idx="3">
                  <c:v>1.4928666253670002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8-4D79-A625-51D47DD5B09E}"/>
            </c:ext>
          </c:extLst>
        </c:ser>
        <c:ser>
          <c:idx val="3"/>
          <c:order val="3"/>
          <c:tx>
            <c:strRef>
              <c:f>'202602'!$C$27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'202602'!$D$23:$G$23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'202602'!$D$27:$G$27</c:f>
              <c:numCache>
                <c:formatCode>0.00_ </c:formatCode>
                <c:ptCount val="4"/>
                <c:pt idx="0">
                  <c:v>3.8066815107479925</c:v>
                </c:pt>
                <c:pt idx="1">
                  <c:v>2.4864152165030049</c:v>
                </c:pt>
                <c:pt idx="2">
                  <c:v>1.3563638829919995</c:v>
                </c:pt>
                <c:pt idx="3">
                  <c:v>2.3529908765969907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8-4D79-A625-51D47DD5B09E}"/>
            </c:ext>
          </c:extLst>
        </c:ser>
        <c:ser>
          <c:idx val="4"/>
          <c:order val="4"/>
          <c:tx>
            <c:strRef>
              <c:f>'202602'!$C$28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'202602'!$D$23:$G$23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'202602'!$D$28:$G$28</c:f>
              <c:numCache>
                <c:formatCode>0.00_ </c:formatCode>
                <c:ptCount val="4"/>
                <c:pt idx="0">
                  <c:v>3.4500000000000028</c:v>
                </c:pt>
                <c:pt idx="1">
                  <c:v>4.0999999999999943</c:v>
                </c:pt>
                <c:pt idx="2">
                  <c:v>3.8299999999999983</c:v>
                </c:pt>
                <c:pt idx="3">
                  <c:v>3.8599999999999994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D8-4D79-A625-51D47DD5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'202602'!$C$32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'202602'!$D$31:$G$31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'202602'!$D$32:$G$32</c:f>
              <c:numCache>
                <c:formatCode>0.00_ </c:formatCode>
                <c:ptCount val="4"/>
                <c:pt idx="0">
                  <c:v>-0.10000000000002274</c:v>
                </c:pt>
                <c:pt idx="1">
                  <c:v>-0.20000000000000284</c:v>
                </c:pt>
                <c:pt idx="2">
                  <c:v>-0.10000000000000853</c:v>
                </c:pt>
                <c:pt idx="3">
                  <c:v>-0.40000000000000568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B-467A-9B60-2BDA1236B48E}"/>
            </c:ext>
          </c:extLst>
        </c:ser>
        <c:ser>
          <c:idx val="1"/>
          <c:order val="1"/>
          <c:tx>
            <c:strRef>
              <c:f>'202602'!$C$33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'202602'!$D$31:$G$31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'202602'!$D$33:$G$33</c:f>
              <c:numCache>
                <c:formatCode>0.00_ </c:formatCode>
                <c:ptCount val="4"/>
                <c:pt idx="0">
                  <c:v>1.1262432033330043</c:v>
                </c:pt>
                <c:pt idx="1">
                  <c:v>0.66871031333300834</c:v>
                </c:pt>
                <c:pt idx="2">
                  <c:v>0.46939498666600343</c:v>
                </c:pt>
                <c:pt idx="3">
                  <c:v>0.56287678333400493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B-467A-9B60-2BDA1236B48E}"/>
            </c:ext>
          </c:extLst>
        </c:ser>
        <c:ser>
          <c:idx val="2"/>
          <c:order val="2"/>
          <c:tx>
            <c:strRef>
              <c:f>'202602'!$C$34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'202602'!$D$31:$G$31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'202602'!$D$34:$G$34</c:f>
              <c:numCache>
                <c:formatCode>0.00_ </c:formatCode>
                <c:ptCount val="4"/>
                <c:pt idx="0">
                  <c:v>0.26996414588600715</c:v>
                </c:pt>
                <c:pt idx="1">
                  <c:v>-0.11432810370999391</c:v>
                </c:pt>
                <c:pt idx="2">
                  <c:v>-0.13882593766997786</c:v>
                </c:pt>
                <c:pt idx="3">
                  <c:v>-0.1151414107509936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CB-467A-9B60-2BDA1236B48E}"/>
            </c:ext>
          </c:extLst>
        </c:ser>
        <c:ser>
          <c:idx val="3"/>
          <c:order val="3"/>
          <c:tx>
            <c:strRef>
              <c:f>'202602'!$C$35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'202602'!$D$31:$G$31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'202602'!$D$35:$G$35</c:f>
              <c:numCache>
                <c:formatCode>0.00_ </c:formatCode>
                <c:ptCount val="4"/>
                <c:pt idx="0">
                  <c:v>0.17539243766100299</c:v>
                </c:pt>
                <c:pt idx="1">
                  <c:v>-0.13640756968300138</c:v>
                </c:pt>
                <c:pt idx="2">
                  <c:v>2.8806889760062404E-3</c:v>
                </c:pt>
                <c:pt idx="3">
                  <c:v>0.11528550583899744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CB-467A-9B60-2BDA1236B48E}"/>
            </c:ext>
          </c:extLst>
        </c:ser>
        <c:ser>
          <c:idx val="4"/>
          <c:order val="4"/>
          <c:tx>
            <c:strRef>
              <c:f>'202602'!$C$36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'202602'!$D$31:$G$31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'202602'!$D$36:$G$36</c:f>
              <c:numCache>
                <c:formatCode>0.00_ </c:formatCode>
                <c:ptCount val="4"/>
                <c:pt idx="0">
                  <c:v>0.7713333333340131</c:v>
                </c:pt>
                <c:pt idx="1">
                  <c:v>0.42197382961900587</c:v>
                </c:pt>
                <c:pt idx="2">
                  <c:v>0.59702933744100051</c:v>
                </c:pt>
                <c:pt idx="3">
                  <c:v>0.26092468811999936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B-467A-9B60-2BDA1236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'202603'!$C$24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'202603'!$D$23:$G$23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'202603'!$D$24:$G$24</c:f>
              <c:numCache>
                <c:formatCode>0.00_ </c:formatCode>
                <c:ptCount val="4"/>
                <c:pt idx="0">
                  <c:v>3.7999999999999972</c:v>
                </c:pt>
                <c:pt idx="1">
                  <c:v>4.3999999999999915</c:v>
                </c:pt>
                <c:pt idx="2">
                  <c:v>3.4000000000000057</c:v>
                </c:pt>
                <c:pt idx="3">
                  <c:v>3.0999999999999943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4-4D40-B337-E44C956279B8}"/>
            </c:ext>
          </c:extLst>
        </c:ser>
        <c:ser>
          <c:idx val="1"/>
          <c:order val="1"/>
          <c:tx>
            <c:strRef>
              <c:f>'202603'!$C$25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'202603'!$D$23:$G$23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'202603'!$D$25:$G$25</c:f>
              <c:numCache>
                <c:formatCode>0.00_ </c:formatCode>
                <c:ptCount val="4"/>
                <c:pt idx="0">
                  <c:v>3.290975833333988</c:v>
                </c:pt>
                <c:pt idx="1">
                  <c:v>3.0218350666660001</c:v>
                </c:pt>
                <c:pt idx="2">
                  <c:v>2.6766876333330032</c:v>
                </c:pt>
                <c:pt idx="3">
                  <c:v>3.1847400666669898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4-4D40-B337-E44C956279B8}"/>
            </c:ext>
          </c:extLst>
        </c:ser>
        <c:ser>
          <c:idx val="2"/>
          <c:order val="2"/>
          <c:tx>
            <c:strRef>
              <c:f>'202603'!$C$26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'202603'!$D$23:$G$23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'202603'!$D$26:$G$26</c:f>
              <c:numCache>
                <c:formatCode>0.00_ </c:formatCode>
                <c:ptCount val="4"/>
                <c:pt idx="0">
                  <c:v>2.6440158180400033</c:v>
                </c:pt>
                <c:pt idx="1">
                  <c:v>2.7209584904969972</c:v>
                </c:pt>
                <c:pt idx="2">
                  <c:v>1.2450681428809958</c:v>
                </c:pt>
                <c:pt idx="3">
                  <c:v>2.3254184288050084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34-4D40-B337-E44C956279B8}"/>
            </c:ext>
          </c:extLst>
        </c:ser>
        <c:ser>
          <c:idx val="3"/>
          <c:order val="3"/>
          <c:tx>
            <c:strRef>
              <c:f>'202603'!$C$27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'202603'!$D$23:$G$23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'202603'!$D$27:$G$27</c:f>
              <c:numCache>
                <c:formatCode>0.00_ </c:formatCode>
                <c:ptCount val="4"/>
                <c:pt idx="0">
                  <c:v>3.3536003664870009</c:v>
                </c:pt>
                <c:pt idx="1">
                  <c:v>2.8544556979899909</c:v>
                </c:pt>
                <c:pt idx="2">
                  <c:v>1.4411494912750129</c:v>
                </c:pt>
                <c:pt idx="3">
                  <c:v>2.2031049979070048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34-4D40-B337-E44C956279B8}"/>
            </c:ext>
          </c:extLst>
        </c:ser>
        <c:ser>
          <c:idx val="4"/>
          <c:order val="4"/>
          <c:tx>
            <c:strRef>
              <c:f>'202603'!$C$28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'202603'!$D$23:$G$23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'202603'!$D$28:$G$28</c:f>
              <c:numCache>
                <c:formatCode>0.00_ </c:formatCode>
                <c:ptCount val="4"/>
                <c:pt idx="0">
                  <c:v>3.4500000000000028</c:v>
                </c:pt>
                <c:pt idx="1">
                  <c:v>4.0999999999999943</c:v>
                </c:pt>
                <c:pt idx="2">
                  <c:v>3.8299999999999983</c:v>
                </c:pt>
                <c:pt idx="3">
                  <c:v>3.8599999999999994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34-4D40-B337-E44C95627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'202603'!$C$32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'202603'!$D$31:$G$31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'202603'!$D$32:$G$32</c:f>
              <c:numCache>
                <c:formatCode>0.00_ </c:formatCode>
                <c:ptCount val="4"/>
                <c:pt idx="0">
                  <c:v>-0.50000000000001421</c:v>
                </c:pt>
                <c:pt idx="1">
                  <c:v>-0.30000000000001137</c:v>
                </c:pt>
                <c:pt idx="2">
                  <c:v>-9.9999999999994316E-2</c:v>
                </c:pt>
                <c:pt idx="3">
                  <c:v>-0.10000000000000853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D-4A4F-947E-0AD010DDB00F}"/>
            </c:ext>
          </c:extLst>
        </c:ser>
        <c:ser>
          <c:idx val="1"/>
          <c:order val="1"/>
          <c:tx>
            <c:strRef>
              <c:f>'202603'!$C$33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'202603'!$D$31:$G$31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'202603'!$D$33:$G$33</c:f>
              <c:numCache>
                <c:formatCode>0.00_ </c:formatCode>
                <c:ptCount val="4"/>
                <c:pt idx="0">
                  <c:v>0.88097583333399143</c:v>
                </c:pt>
                <c:pt idx="1">
                  <c:v>1.0333417466659967</c:v>
                </c:pt>
                <c:pt idx="2">
                  <c:v>0.88985526333300413</c:v>
                </c:pt>
                <c:pt idx="3">
                  <c:v>0.894139586666995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D-4A4F-947E-0AD010DDB00F}"/>
            </c:ext>
          </c:extLst>
        </c:ser>
        <c:ser>
          <c:idx val="2"/>
          <c:order val="2"/>
          <c:tx>
            <c:strRef>
              <c:f>'202603'!$C$34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'202603'!$D$31:$G$31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'202603'!$D$34:$G$34</c:f>
              <c:numCache>
                <c:formatCode>0.00_ </c:formatCode>
                <c:ptCount val="4"/>
                <c:pt idx="0">
                  <c:v>-0.61064610595599333</c:v>
                </c:pt>
                <c:pt idx="1">
                  <c:v>0.43243397317499443</c:v>
                </c:pt>
                <c:pt idx="2">
                  <c:v>0.41730638530000874</c:v>
                </c:pt>
                <c:pt idx="3">
                  <c:v>0.71741039268701456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D-4A4F-947E-0AD010DDB00F}"/>
            </c:ext>
          </c:extLst>
        </c:ser>
        <c:ser>
          <c:idx val="3"/>
          <c:order val="3"/>
          <c:tx>
            <c:strRef>
              <c:f>'202603'!$C$35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'202603'!$D$31:$G$31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'202603'!$D$35:$G$35</c:f>
              <c:numCache>
                <c:formatCode>0.00_ </c:formatCode>
                <c:ptCount val="4"/>
                <c:pt idx="0">
                  <c:v>-0.27768870659998868</c:v>
                </c:pt>
                <c:pt idx="1">
                  <c:v>0.2316329118039846</c:v>
                </c:pt>
                <c:pt idx="2">
                  <c:v>8.7666297259019643E-2</c:v>
                </c:pt>
                <c:pt idx="3">
                  <c:v>-3.4600372850988492E-2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D-4A4F-947E-0AD010DDB00F}"/>
            </c:ext>
          </c:extLst>
        </c:ser>
        <c:ser>
          <c:idx val="4"/>
          <c:order val="4"/>
          <c:tx>
            <c:strRef>
              <c:f>'202603'!$C$36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'202603'!$D$31:$G$31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'202603'!$D$36:$G$36</c:f>
              <c:numCache>
                <c:formatCode>0.00_ </c:formatCode>
                <c:ptCount val="4"/>
                <c:pt idx="0">
                  <c:v>0.7713333333340131</c:v>
                </c:pt>
                <c:pt idx="1">
                  <c:v>0.42197382961900587</c:v>
                </c:pt>
                <c:pt idx="2">
                  <c:v>0.59702933744100051</c:v>
                </c:pt>
                <c:pt idx="3">
                  <c:v>0.26092468811999936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0D-4A4F-947E-0AD010DD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'202604'!$C$24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'202604'!$D$23:$G$23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'202604'!$D$24:$G$24</c:f>
              <c:numCache>
                <c:formatCode>0.00_ </c:formatCode>
                <c:ptCount val="4"/>
                <c:pt idx="0">
                  <c:v>0.59999999999999432</c:v>
                </c:pt>
                <c:pt idx="1">
                  <c:v>2.0999999999999943</c:v>
                </c:pt>
                <c:pt idx="2">
                  <c:v>3.7000000000000028</c:v>
                </c:pt>
                <c:pt idx="3">
                  <c:v>3.2000000000000028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4-426D-B6F3-E028118C8462}"/>
            </c:ext>
          </c:extLst>
        </c:ser>
        <c:ser>
          <c:idx val="1"/>
          <c:order val="1"/>
          <c:tx>
            <c:strRef>
              <c:f>'202604'!$C$25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'202604'!$D$23:$G$23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'202604'!$D$25:$G$25</c:f>
              <c:numCache>
                <c:formatCode>0.00_ </c:formatCode>
                <c:ptCount val="4"/>
                <c:pt idx="0">
                  <c:v>1.2454360999999921</c:v>
                </c:pt>
                <c:pt idx="1">
                  <c:v>0.71078108000000384</c:v>
                </c:pt>
                <c:pt idx="2">
                  <c:v>2.2225508666659977</c:v>
                </c:pt>
                <c:pt idx="3">
                  <c:v>3.3035255966659918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4-426D-B6F3-E028118C8462}"/>
            </c:ext>
          </c:extLst>
        </c:ser>
        <c:ser>
          <c:idx val="2"/>
          <c:order val="2"/>
          <c:tx>
            <c:strRef>
              <c:f>'202604'!$C$26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'202604'!$D$23:$G$23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'202604'!$D$26:$G$26</c:f>
              <c:numCache>
                <c:formatCode>0.00_ </c:formatCode>
                <c:ptCount val="4"/>
                <c:pt idx="0">
                  <c:v>2.6440158180400033</c:v>
                </c:pt>
                <c:pt idx="1">
                  <c:v>2.7209584904969972</c:v>
                </c:pt>
                <c:pt idx="2">
                  <c:v>1.2450681428809958</c:v>
                </c:pt>
                <c:pt idx="3">
                  <c:v>2.3254184288050084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4-426D-B6F3-E028118C8462}"/>
            </c:ext>
          </c:extLst>
        </c:ser>
        <c:ser>
          <c:idx val="3"/>
          <c:order val="3"/>
          <c:tx>
            <c:strRef>
              <c:f>'202604'!$C$27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'202604'!$D$23:$G$23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'202604'!$D$27:$G$27</c:f>
              <c:numCache>
                <c:formatCode>0.00_ </c:formatCode>
                <c:ptCount val="4"/>
                <c:pt idx="0">
                  <c:v>2.3222034470999944</c:v>
                </c:pt>
                <c:pt idx="1">
                  <c:v>1.9120599384270065</c:v>
                </c:pt>
                <c:pt idx="2">
                  <c:v>0.61472446704898687</c:v>
                </c:pt>
                <c:pt idx="3">
                  <c:v>1.5666592131869947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F4-426D-B6F3-E028118C8462}"/>
            </c:ext>
          </c:extLst>
        </c:ser>
        <c:ser>
          <c:idx val="4"/>
          <c:order val="4"/>
          <c:tx>
            <c:strRef>
              <c:f>'202604'!$C$28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'202604'!$D$23:$G$23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'202604'!$D$28:$G$28</c:f>
              <c:numCache>
                <c:formatCode>0.00_ </c:formatCode>
                <c:ptCount val="4"/>
                <c:pt idx="0">
                  <c:v>2.1400000000000006</c:v>
                </c:pt>
                <c:pt idx="1">
                  <c:v>2.6799999999999926</c:v>
                </c:pt>
                <c:pt idx="2">
                  <c:v>2.8999999999999915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F4-426D-B6F3-E028118C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'202604'!$C$32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'202604'!$D$31:$G$31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'202604'!$D$32:$G$32</c:f>
              <c:numCache>
                <c:formatCode>0.00_ </c:formatCode>
                <c:ptCount val="4"/>
                <c:pt idx="0">
                  <c:v>-3.7000000000000171</c:v>
                </c:pt>
                <c:pt idx="1">
                  <c:v>-2.6000000000000085</c:v>
                </c:pt>
                <c:pt idx="2">
                  <c:v>0.20000000000000284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C-41D7-8E28-133ADC2DBB5E}"/>
            </c:ext>
          </c:extLst>
        </c:ser>
        <c:ser>
          <c:idx val="1"/>
          <c:order val="1"/>
          <c:tx>
            <c:strRef>
              <c:f>'202604'!$C$33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'202604'!$D$31:$G$31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'202604'!$D$33:$G$33</c:f>
              <c:numCache>
                <c:formatCode>0.00_ </c:formatCode>
                <c:ptCount val="4"/>
                <c:pt idx="0">
                  <c:v>-1.1645639000000045</c:v>
                </c:pt>
                <c:pt idx="1">
                  <c:v>-1.2777122399999996</c:v>
                </c:pt>
                <c:pt idx="2">
                  <c:v>0.4357184966659986</c:v>
                </c:pt>
                <c:pt idx="3">
                  <c:v>1.0129251166659969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C-41D7-8E28-133ADC2DBB5E}"/>
            </c:ext>
          </c:extLst>
        </c:ser>
        <c:ser>
          <c:idx val="2"/>
          <c:order val="2"/>
          <c:tx>
            <c:strRef>
              <c:f>'202604'!$C$34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'202604'!$D$31:$G$31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'202604'!$D$34:$G$34</c:f>
              <c:numCache>
                <c:formatCode>0.00_ </c:formatCode>
                <c:ptCount val="4"/>
                <c:pt idx="0">
                  <c:v>-0.61064610595599333</c:v>
                </c:pt>
                <c:pt idx="1">
                  <c:v>0.43243397317499443</c:v>
                </c:pt>
                <c:pt idx="2">
                  <c:v>0.41730638530000874</c:v>
                </c:pt>
                <c:pt idx="3">
                  <c:v>0.71741039268701456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C-41D7-8E28-133ADC2DBB5E}"/>
            </c:ext>
          </c:extLst>
        </c:ser>
        <c:ser>
          <c:idx val="3"/>
          <c:order val="3"/>
          <c:tx>
            <c:strRef>
              <c:f>'202604'!$C$35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'202604'!$D$31:$G$31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'202604'!$D$35:$G$35</c:f>
              <c:numCache>
                <c:formatCode>0.00_ </c:formatCode>
                <c:ptCount val="4"/>
                <c:pt idx="0">
                  <c:v>-1.3090856259869952</c:v>
                </c:pt>
                <c:pt idx="1">
                  <c:v>-0.71076284775899978</c:v>
                </c:pt>
                <c:pt idx="2">
                  <c:v>-0.7387587269670064</c:v>
                </c:pt>
                <c:pt idx="3">
                  <c:v>-0.6710461575709985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C-41D7-8E28-133ADC2DBB5E}"/>
            </c:ext>
          </c:extLst>
        </c:ser>
        <c:ser>
          <c:idx val="4"/>
          <c:order val="4"/>
          <c:tx>
            <c:strRef>
              <c:f>'202604'!$C$36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'202604'!$D$31:$G$31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'202604'!$D$36:$G$36</c:f>
              <c:numCache>
                <c:formatCode>0.00_ </c:formatCode>
                <c:ptCount val="4"/>
                <c:pt idx="0">
                  <c:v>-0.53866666666598917</c:v>
                </c:pt>
                <c:pt idx="1">
                  <c:v>-0.99802617038099584</c:v>
                </c:pt>
                <c:pt idx="2">
                  <c:v>-0.33297066255900631</c:v>
                </c:pt>
                <c:pt idx="3">
                  <c:v>-1.5990753118800001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C-41D7-8E28-133ADC2DB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'202605'!$C$24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'202605'!$D$23:$G$23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'202605'!$D$24:$G$24</c:f>
              <c:numCache>
                <c:formatCode>0.00_ </c:formatCode>
                <c:ptCount val="4"/>
                <c:pt idx="0">
                  <c:v>0.19999999999998863</c:v>
                </c:pt>
                <c:pt idx="1">
                  <c:v>-3.6999999999999886</c:v>
                </c:pt>
                <c:pt idx="2">
                  <c:v>2.2999999999999972</c:v>
                </c:pt>
                <c:pt idx="3">
                  <c:v>2.7999999999999972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0-4161-B386-742A1F252100}"/>
            </c:ext>
          </c:extLst>
        </c:ser>
        <c:ser>
          <c:idx val="1"/>
          <c:order val="1"/>
          <c:tx>
            <c:strRef>
              <c:f>'202605'!$C$25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'202605'!$D$23:$G$23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'202605'!$D$25:$G$25</c:f>
              <c:numCache>
                <c:formatCode>0.00_ </c:formatCode>
                <c:ptCount val="4"/>
                <c:pt idx="0">
                  <c:v>0.51381752266701142</c:v>
                </c:pt>
                <c:pt idx="1">
                  <c:v>-5.0951934779999988</c:v>
                </c:pt>
                <c:pt idx="2">
                  <c:v>0.30399294000000054</c:v>
                </c:pt>
                <c:pt idx="3">
                  <c:v>3.1602709233330017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0-4161-B386-742A1F252100}"/>
            </c:ext>
          </c:extLst>
        </c:ser>
        <c:ser>
          <c:idx val="2"/>
          <c:order val="2"/>
          <c:tx>
            <c:strRef>
              <c:f>'202605'!$C$26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'202605'!$D$23:$G$23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'202605'!$D$26:$G$26</c:f>
              <c:numCache>
                <c:formatCode>0.00_ </c:formatCode>
                <c:ptCount val="4"/>
                <c:pt idx="0">
                  <c:v>-0.57568551983600003</c:v>
                </c:pt>
                <c:pt idx="1">
                  <c:v>-3.1095007537544035</c:v>
                </c:pt>
                <c:pt idx="2">
                  <c:v>9.8486889235005037E-2</c:v>
                </c:pt>
                <c:pt idx="3">
                  <c:v>2.7651065739990059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80-4161-B386-742A1F252100}"/>
            </c:ext>
          </c:extLst>
        </c:ser>
        <c:ser>
          <c:idx val="3"/>
          <c:order val="3"/>
          <c:tx>
            <c:strRef>
              <c:f>'202605'!$C$27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'202605'!$D$23:$G$23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'202605'!$D$27:$G$27</c:f>
              <c:numCache>
                <c:formatCode>0.00_ </c:formatCode>
                <c:ptCount val="4"/>
                <c:pt idx="0">
                  <c:v>1.0230993442820022</c:v>
                </c:pt>
                <c:pt idx="1">
                  <c:v>-1.1445560515180091</c:v>
                </c:pt>
                <c:pt idx="2">
                  <c:v>1.6372042268049967</c:v>
                </c:pt>
                <c:pt idx="3">
                  <c:v>2.5019814482660081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80-4161-B386-742A1F252100}"/>
            </c:ext>
          </c:extLst>
        </c:ser>
        <c:ser>
          <c:idx val="4"/>
          <c:order val="4"/>
          <c:tx>
            <c:strRef>
              <c:f>'202605'!$C$28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'202605'!$D$23:$G$23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'202605'!$D$28:$G$28</c:f>
              <c:numCache>
                <c:formatCode>0.00_ </c:formatCode>
                <c:ptCount val="4"/>
                <c:pt idx="0">
                  <c:v>-0.35000000000000853</c:v>
                </c:pt>
                <c:pt idx="1">
                  <c:v>-2</c:v>
                </c:pt>
                <c:pt idx="2">
                  <c:v>3.0200000000000102</c:v>
                </c:pt>
                <c:pt idx="3">
                  <c:v>2.0499999999999972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80-4161-B386-742A1F252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4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'202605'!$C$32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'202605'!$D$31:$G$31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'202605'!$D$32:$G$32</c:f>
              <c:numCache>
                <c:formatCode>0.00_ </c:formatCode>
                <c:ptCount val="4"/>
                <c:pt idx="0">
                  <c:v>-4.1000000000000227</c:v>
                </c:pt>
                <c:pt idx="1">
                  <c:v>-8.3999999999999915</c:v>
                </c:pt>
                <c:pt idx="2">
                  <c:v>-1.2000000000000028</c:v>
                </c:pt>
                <c:pt idx="3">
                  <c:v>-0.40000000000000568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0-4C44-9ED9-DF16437BE691}"/>
            </c:ext>
          </c:extLst>
        </c:ser>
        <c:ser>
          <c:idx val="1"/>
          <c:order val="1"/>
          <c:tx>
            <c:strRef>
              <c:f>'202605'!$C$33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'202605'!$D$31:$G$31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'202605'!$D$33:$G$33</c:f>
              <c:numCache>
                <c:formatCode>0.00_ </c:formatCode>
                <c:ptCount val="4"/>
                <c:pt idx="0">
                  <c:v>-1.8961824773329852</c:v>
                </c:pt>
                <c:pt idx="1">
                  <c:v>-7.0836867980000022</c:v>
                </c:pt>
                <c:pt idx="2">
                  <c:v>-1.4828394299999985</c:v>
                </c:pt>
                <c:pt idx="3">
                  <c:v>0.86967044333300692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0-4C44-9ED9-DF16437BE691}"/>
            </c:ext>
          </c:extLst>
        </c:ser>
        <c:ser>
          <c:idx val="2"/>
          <c:order val="2"/>
          <c:tx>
            <c:strRef>
              <c:f>'202605'!$C$34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'202605'!$D$31:$G$31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'202605'!$D$34:$G$34</c:f>
              <c:numCache>
                <c:formatCode>0.00_ </c:formatCode>
                <c:ptCount val="4"/>
                <c:pt idx="0">
                  <c:v>-3.8303474438319967</c:v>
                </c:pt>
                <c:pt idx="1">
                  <c:v>-5.3980252710764063</c:v>
                </c:pt>
                <c:pt idx="2">
                  <c:v>-0.72927486834598199</c:v>
                </c:pt>
                <c:pt idx="3">
                  <c:v>1.1570985378810121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50-4C44-9ED9-DF16437BE691}"/>
            </c:ext>
          </c:extLst>
        </c:ser>
        <c:ser>
          <c:idx val="3"/>
          <c:order val="3"/>
          <c:tx>
            <c:strRef>
              <c:f>'202605'!$C$35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'202605'!$D$31:$G$31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'202605'!$D$35:$G$35</c:f>
              <c:numCache>
                <c:formatCode>0.00_ </c:formatCode>
                <c:ptCount val="4"/>
                <c:pt idx="0">
                  <c:v>-2.6081897288049873</c:v>
                </c:pt>
                <c:pt idx="1">
                  <c:v>-3.7673788377040154</c:v>
                </c:pt>
                <c:pt idx="2">
                  <c:v>0.2837210327890034</c:v>
                </c:pt>
                <c:pt idx="3">
                  <c:v>0.26427607750801485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50-4C44-9ED9-DF16437BE691}"/>
            </c:ext>
          </c:extLst>
        </c:ser>
        <c:ser>
          <c:idx val="4"/>
          <c:order val="4"/>
          <c:tx>
            <c:strRef>
              <c:f>'202605'!$C$36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'202605'!$D$31:$G$31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'202605'!$D$36:$G$36</c:f>
              <c:numCache>
                <c:formatCode>0.00_ </c:formatCode>
                <c:ptCount val="4"/>
                <c:pt idx="0">
                  <c:v>-3.0286666666659983</c:v>
                </c:pt>
                <c:pt idx="1">
                  <c:v>-5.6780261703809884</c:v>
                </c:pt>
                <c:pt idx="2">
                  <c:v>-0.21297066255898756</c:v>
                </c:pt>
                <c:pt idx="3">
                  <c:v>-1.5490753118800029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50-4C44-9ED9-DF16437BE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'202606'!$C$24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'202606'!$D$23:$G$23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'202606'!$D$24:$G$24</c:f>
              <c:numCache>
                <c:formatCode>0.00_ </c:formatCode>
                <c:ptCount val="4"/>
                <c:pt idx="0">
                  <c:v>-0.70000000000000284</c:v>
                </c:pt>
                <c:pt idx="1">
                  <c:v>-6</c:v>
                </c:pt>
                <c:pt idx="2">
                  <c:v>-1.8999999999999915</c:v>
                </c:pt>
                <c:pt idx="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4-4955-B9D3-0AF3645DDD9A}"/>
            </c:ext>
          </c:extLst>
        </c:ser>
        <c:ser>
          <c:idx val="1"/>
          <c:order val="1"/>
          <c:tx>
            <c:strRef>
              <c:f>'202606'!$C$25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'202606'!$D$23:$G$23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'202606'!$D$25:$G$25</c:f>
              <c:numCache>
                <c:formatCode>0.00_ </c:formatCode>
                <c:ptCount val="4"/>
                <c:pt idx="0">
                  <c:v>0.78129351599999097</c:v>
                </c:pt>
                <c:pt idx="1">
                  <c:v>-8.4676599420002958</c:v>
                </c:pt>
                <c:pt idx="2">
                  <c:v>-4.3969558680000063</c:v>
                </c:pt>
                <c:pt idx="3">
                  <c:v>2.0019684833330018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4-4955-B9D3-0AF3645DDD9A}"/>
            </c:ext>
          </c:extLst>
        </c:ser>
        <c:ser>
          <c:idx val="2"/>
          <c:order val="2"/>
          <c:tx>
            <c:strRef>
              <c:f>'202606'!$C$26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'202606'!$D$23:$G$23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'202606'!$D$26:$G$26</c:f>
              <c:numCache>
                <c:formatCode>0.00_ </c:formatCode>
                <c:ptCount val="4"/>
                <c:pt idx="0">
                  <c:v>-1.0238429628150101</c:v>
                </c:pt>
                <c:pt idx="1">
                  <c:v>-5.9828923483613892</c:v>
                </c:pt>
                <c:pt idx="2">
                  <c:v>-4.8413871952009941</c:v>
                </c:pt>
                <c:pt idx="3">
                  <c:v>2.4788740659005271E-2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4-4955-B9D3-0AF3645DDD9A}"/>
            </c:ext>
          </c:extLst>
        </c:ser>
        <c:ser>
          <c:idx val="3"/>
          <c:order val="3"/>
          <c:tx>
            <c:strRef>
              <c:f>'202606'!$C$27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'202606'!$D$23:$G$23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'202606'!$D$27:$G$27</c:f>
              <c:numCache>
                <c:formatCode>0.00_ </c:formatCode>
                <c:ptCount val="4"/>
                <c:pt idx="0">
                  <c:v>0.76995190385700596</c:v>
                </c:pt>
                <c:pt idx="1">
                  <c:v>-3.3911117043088979</c:v>
                </c:pt>
                <c:pt idx="2">
                  <c:v>-1.4765397497929911</c:v>
                </c:pt>
                <c:pt idx="3">
                  <c:v>0.82855882291499938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4-4955-B9D3-0AF3645DDD9A}"/>
            </c:ext>
          </c:extLst>
        </c:ser>
        <c:ser>
          <c:idx val="4"/>
          <c:order val="4"/>
          <c:tx>
            <c:strRef>
              <c:f>'202606'!$C$28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'202606'!$D$23:$G$23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'202606'!$D$28:$G$28</c:f>
              <c:numCache>
                <c:formatCode>0.00_ </c:formatCode>
                <c:ptCount val="4"/>
                <c:pt idx="0">
                  <c:v>-1.8599999999999994</c:v>
                </c:pt>
                <c:pt idx="1">
                  <c:v>-6.6700000000000017</c:v>
                </c:pt>
                <c:pt idx="2">
                  <c:v>1.6200000000000045</c:v>
                </c:pt>
                <c:pt idx="3">
                  <c:v>2.6799999999999926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4-4955-B9D3-0AF3645DD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4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供需差（百万桶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当月各机构对全球石油供需差的预测调整值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'202606'!$C$32</c:f>
              <c:strCache>
                <c:ptCount val="1"/>
                <c:pt idx="0">
                  <c:v>IEA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'202606'!$D$31:$G$31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'202606'!$D$32:$G$32</c:f>
              <c:numCache>
                <c:formatCode>0.00_ </c:formatCode>
                <c:ptCount val="4"/>
                <c:pt idx="0">
                  <c:v>-0.89999999999999147</c:v>
                </c:pt>
                <c:pt idx="1">
                  <c:v>-2.3000000000000114</c:v>
                </c:pt>
                <c:pt idx="2">
                  <c:v>-4.1999999999999886</c:v>
                </c:pt>
                <c:pt idx="3">
                  <c:v>-1.2999999999999972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F-4FFF-A1C3-C6EF52E503B9}"/>
            </c:ext>
          </c:extLst>
        </c:ser>
        <c:ser>
          <c:idx val="1"/>
          <c:order val="1"/>
          <c:tx>
            <c:strRef>
              <c:f>'202606'!$C$33</c:f>
              <c:strCache>
                <c:ptCount val="1"/>
                <c:pt idx="0">
                  <c:v>EIA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'202606'!$D$31:$G$31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'202606'!$D$33:$G$33</c:f>
              <c:numCache>
                <c:formatCode>0.00_ </c:formatCode>
                <c:ptCount val="4"/>
                <c:pt idx="0">
                  <c:v>0.26747599333297956</c:v>
                </c:pt>
                <c:pt idx="1">
                  <c:v>-3.372466464000297</c:v>
                </c:pt>
                <c:pt idx="2">
                  <c:v>-4.7009488080000068</c:v>
                </c:pt>
                <c:pt idx="3">
                  <c:v>-1.1583024399999999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F-4FFF-A1C3-C6EF52E503B9}"/>
            </c:ext>
          </c:extLst>
        </c:ser>
        <c:ser>
          <c:idx val="2"/>
          <c:order val="2"/>
          <c:tx>
            <c:strRef>
              <c:f>'202606'!$C$34</c:f>
              <c:strCache>
                <c:ptCount val="1"/>
                <c:pt idx="0">
                  <c:v>S&amp;P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'202606'!$D$31:$G$31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'202606'!$D$34:$G$34</c:f>
              <c:numCache>
                <c:formatCode>0.00_ </c:formatCode>
                <c:ptCount val="4"/>
                <c:pt idx="0">
                  <c:v>-0.44815744297901006</c:v>
                </c:pt>
                <c:pt idx="1">
                  <c:v>-2.8733915946069857</c:v>
                </c:pt>
                <c:pt idx="2">
                  <c:v>-4.9398740844359992</c:v>
                </c:pt>
                <c:pt idx="3">
                  <c:v>-2.7403178333400007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F-4FFF-A1C3-C6EF52E503B9}"/>
            </c:ext>
          </c:extLst>
        </c:ser>
        <c:ser>
          <c:idx val="3"/>
          <c:order val="3"/>
          <c:tx>
            <c:strRef>
              <c:f>'202606'!$C$35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'202606'!$D$31:$G$31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'202606'!$D$35:$G$35</c:f>
              <c:numCache>
                <c:formatCode>0.00_ </c:formatCode>
                <c:ptCount val="4"/>
                <c:pt idx="0">
                  <c:v>-0.25314744042499626</c:v>
                </c:pt>
                <c:pt idx="1">
                  <c:v>-2.2465556527908888</c:v>
                </c:pt>
                <c:pt idx="2">
                  <c:v>-3.1137439765979877</c:v>
                </c:pt>
                <c:pt idx="3">
                  <c:v>-1.6734226253510087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F-4FFF-A1C3-C6EF52E503B9}"/>
            </c:ext>
          </c:extLst>
        </c:ser>
        <c:ser>
          <c:idx val="4"/>
          <c:order val="4"/>
          <c:tx>
            <c:strRef>
              <c:f>'202606'!$C$36</c:f>
              <c:strCache>
                <c:ptCount val="1"/>
                <c:pt idx="0">
                  <c:v>Rystad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'202606'!$D$31:$G$31</c:f>
              <c:strCache>
                <c:ptCount val="4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</c:strCache>
            </c:strRef>
          </c:cat>
          <c:val>
            <c:numRef>
              <c:f>'202606'!$D$36:$G$36</c:f>
              <c:numCache>
                <c:formatCode>0.00_ </c:formatCode>
                <c:ptCount val="4"/>
                <c:pt idx="0">
                  <c:v>-1.5099999999999909</c:v>
                </c:pt>
                <c:pt idx="1">
                  <c:v>-4.6700000000000017</c:v>
                </c:pt>
                <c:pt idx="2">
                  <c:v>-1.4000000000000057</c:v>
                </c:pt>
                <c:pt idx="3">
                  <c:v>0.62999999999999545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F-4FFF-A1C3-C6EF52E50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633429"/>
        <c:axId val="827925742"/>
      </c:barChart>
      <c:catAx>
        <c:axId val="35363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925742"/>
        <c:crosses val="autoZero"/>
        <c:auto val="1"/>
        <c:lblAlgn val="ctr"/>
        <c:lblOffset val="100"/>
        <c:noMultiLvlLbl val="0"/>
      </c:catAx>
      <c:valAx>
        <c:axId val="827925742"/>
        <c:scaling>
          <c:orientation val="minMax"/>
          <c:max val="1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变化值（百万桶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_);[Red]\(0.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33429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各机构对全球石油供需差的预测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'2026年至2027年供需平衡表'!$C$24</c:f>
              <c:strCache>
                <c:ptCount val="1"/>
                <c:pt idx="0">
                  <c:v>IEA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'2026年至2027年供需平衡表'!$D$23:$G$23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'2026年至2027年供需平衡表'!$D$24:$G$24</c:f>
              <c:numCache>
                <c:formatCode>0.00_ </c:formatCode>
                <c:ptCount val="4"/>
                <c:pt idx="0">
                  <c:v>4.6000000000000085</c:v>
                </c:pt>
                <c:pt idx="1">
                  <c:v>4.5</c:v>
                </c:pt>
                <c:pt idx="2">
                  <c:v>3.1999999999999886</c:v>
                </c:pt>
                <c:pt idx="3">
                  <c:v>2.8999999999999915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9-4239-A9C7-A9EFA4CD837E}"/>
            </c:ext>
          </c:extLst>
        </c:ser>
        <c:ser>
          <c:idx val="1"/>
          <c:order val="1"/>
          <c:tx>
            <c:strRef>
              <c:f>'2026年至2027年供需平衡表'!$C$25</c:f>
              <c:strCache>
                <c:ptCount val="1"/>
                <c:pt idx="0">
                  <c:v>EIA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'2026年至2027年供需平衡表'!$D$23:$G$23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'2026年至2027年供需平衡表'!$D$25:$G$25</c:f>
              <c:numCache>
                <c:formatCode>0.00_ </c:formatCode>
                <c:ptCount val="4"/>
                <c:pt idx="0">
                  <c:v>2.7383876833330021</c:v>
                </c:pt>
                <c:pt idx="1">
                  <c:v>2.0504610666669976</c:v>
                </c:pt>
                <c:pt idx="2">
                  <c:v>1.8400000000000034</c:v>
                </c:pt>
                <c:pt idx="3">
                  <c:v>2.3699999999999903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9-4239-A9C7-A9EFA4CD837E}"/>
            </c:ext>
          </c:extLst>
        </c:ser>
        <c:ser>
          <c:idx val="2"/>
          <c:order val="2"/>
          <c:tx>
            <c:strRef>
              <c:f>'2026年至2027年供需平衡表'!$C$26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'2026年至2027年供需平衡表'!$D$23:$G$23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'2026年至2027年供需平衡表'!$D$26:$G$26</c:f>
              <c:numCache>
                <c:formatCode>0.00_ </c:formatCode>
                <c:ptCount val="4"/>
                <c:pt idx="0">
                  <c:v>3.3711833259680049</c:v>
                </c:pt>
                <c:pt idx="1">
                  <c:v>2.2885245173220028</c:v>
                </c:pt>
                <c:pt idx="2">
                  <c:v>0.82776175758098702</c:v>
                </c:pt>
                <c:pt idx="3">
                  <c:v>1.6080080361179938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69-4239-A9C7-A9EFA4CD837E}"/>
            </c:ext>
          </c:extLst>
        </c:ser>
        <c:ser>
          <c:idx val="3"/>
          <c:order val="3"/>
          <c:tx>
            <c:strRef>
              <c:f>'2026年至2027年供需平衡表'!$C$27</c:f>
              <c:strCache>
                <c:ptCount val="1"/>
                <c:pt idx="0">
                  <c:v>WM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'2026年至2027年供需平衡表'!$D$23:$G$23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'2026年至2027年供需平衡表'!$D$27:$G$27</c:f>
              <c:numCache>
                <c:formatCode>0.00_ </c:formatCode>
                <c:ptCount val="4"/>
                <c:pt idx="0">
                  <c:v>3.738640453525008</c:v>
                </c:pt>
                <c:pt idx="1">
                  <c:v>2.394551336630002</c:v>
                </c:pt>
                <c:pt idx="2">
                  <c:v>1.2976731142349962</c:v>
                </c:pt>
                <c:pt idx="3">
                  <c:v>2.2045969136039929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69-4239-A9C7-A9EFA4CD837E}"/>
            </c:ext>
          </c:extLst>
        </c:ser>
        <c:ser>
          <c:idx val="4"/>
          <c:order val="4"/>
          <c:tx>
            <c:strRef>
              <c:f>'2026年至2027年供需平衡表'!$C$28</c:f>
              <c:strCache>
                <c:ptCount val="1"/>
                <c:pt idx="0">
                  <c:v>Rystad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'2026年至2027年供需平衡表'!$D$23:$G$23</c:f>
              <c:strCache>
                <c:ptCount val="4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</c:strCache>
            </c:strRef>
          </c:cat>
          <c:val>
            <c:numRef>
              <c:f>'2026年至2027年供需平衡表'!$D$28:$G$28</c:f>
              <c:numCache>
                <c:formatCode>0.00_ </c:formatCode>
                <c:ptCount val="4"/>
                <c:pt idx="0">
                  <c:v>3.2372473733369986</c:v>
                </c:pt>
                <c:pt idx="1">
                  <c:v>3.6927616394389986</c:v>
                </c:pt>
                <c:pt idx="2">
                  <c:v>3.5451210327399991</c:v>
                </c:pt>
                <c:pt idx="3">
                  <c:v>3.6340188534909998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69-4239-A9C7-A9EFA4CD8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764041"/>
        <c:axId val="887880306"/>
      </c:lineChart>
      <c:catAx>
        <c:axId val="441764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87880306"/>
        <c:crosses val="autoZero"/>
        <c:auto val="1"/>
        <c:lblAlgn val="ctr"/>
        <c:lblOffset val="100"/>
        <c:noMultiLvlLbl val="0"/>
      </c:catAx>
      <c:valAx>
        <c:axId val="88788030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供应</a:t>
                </a:r>
                <a:r>
                  <a:rPr lang="en-US" altLang="zh-CN"/>
                  <a:t>-</a:t>
                </a:r>
                <a:r>
                  <a:rPr lang="zh-CN" altLang="en-US"/>
                  <a:t>需求（百万桶</a:t>
                </a:r>
                <a:r>
                  <a:rPr lang="en-US" altLang="zh-CN"/>
                  <a:t>/</a:t>
                </a:r>
                <a:r>
                  <a:rPr lang="zh-CN" altLang="en-US"/>
                  <a:t>天）</a:t>
                </a:r>
              </a:p>
            </c:rich>
          </c:tx>
          <c:layout>
            <c:manualLayout>
              <c:xMode val="edge"/>
              <c:yMode val="edge"/>
              <c:x val="2.4305555555555601E-2"/>
              <c:y val="0.24490740740740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  <a:endParaRPr lang="en-US" altLang="zh-CN"/>
            </a:p>
          </c:txPr>
        </c:title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4176404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803275</xdr:colOff>
      <xdr:row>5</xdr:row>
      <xdr:rowOff>120650</xdr:rowOff>
    </xdr:from>
    <xdr:to>
      <xdr:col>16</xdr:col>
      <xdr:colOff>298450</xdr:colOff>
      <xdr:row>21</xdr:row>
      <xdr:rowOff>120650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584200</xdr:colOff>
      <xdr:row>5</xdr:row>
      <xdr:rowOff>63500</xdr:rowOff>
    </xdr:from>
    <xdr:to>
      <xdr:col>16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5</xdr:row>
      <xdr:rowOff>63500</xdr:rowOff>
    </xdr:from>
    <xdr:to>
      <xdr:col>15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622300</xdr:colOff>
      <xdr:row>22</xdr:row>
      <xdr:rowOff>73025</xdr:rowOff>
    </xdr:from>
    <xdr:to>
      <xdr:col>15</xdr:col>
      <xdr:colOff>393700</xdr:colOff>
      <xdr:row>38</xdr:row>
      <xdr:rowOff>73025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</xdr:row>
      <xdr:rowOff>63500</xdr:rowOff>
    </xdr:from>
    <xdr:to>
      <xdr:col>14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22</xdr:row>
      <xdr:rowOff>73025</xdr:rowOff>
    </xdr:from>
    <xdr:to>
      <xdr:col>14</xdr:col>
      <xdr:colOff>393700</xdr:colOff>
      <xdr:row>38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</xdr:row>
      <xdr:rowOff>63500</xdr:rowOff>
    </xdr:from>
    <xdr:to>
      <xdr:col>14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22</xdr:row>
      <xdr:rowOff>73025</xdr:rowOff>
    </xdr:from>
    <xdr:to>
      <xdr:col>14</xdr:col>
      <xdr:colOff>393700</xdr:colOff>
      <xdr:row>38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</xdr:row>
      <xdr:rowOff>63500</xdr:rowOff>
    </xdr:from>
    <xdr:to>
      <xdr:col>14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22</xdr:row>
      <xdr:rowOff>73025</xdr:rowOff>
    </xdr:from>
    <xdr:to>
      <xdr:col>14</xdr:col>
      <xdr:colOff>393700</xdr:colOff>
      <xdr:row>38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</xdr:row>
      <xdr:rowOff>63500</xdr:rowOff>
    </xdr:from>
    <xdr:to>
      <xdr:col>14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22</xdr:row>
      <xdr:rowOff>73025</xdr:rowOff>
    </xdr:from>
    <xdr:to>
      <xdr:col>14</xdr:col>
      <xdr:colOff>393700</xdr:colOff>
      <xdr:row>38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</xdr:row>
      <xdr:rowOff>63500</xdr:rowOff>
    </xdr:from>
    <xdr:to>
      <xdr:col>14</xdr:col>
      <xdr:colOff>355600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22</xdr:row>
      <xdr:rowOff>73025</xdr:rowOff>
    </xdr:from>
    <xdr:to>
      <xdr:col>14</xdr:col>
      <xdr:colOff>393700</xdr:colOff>
      <xdr:row>38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5</xdr:row>
      <xdr:rowOff>73025</xdr:rowOff>
    </xdr:from>
    <xdr:to>
      <xdr:col>15</xdr:col>
      <xdr:colOff>536575</xdr:colOff>
      <xdr:row>21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22</xdr:row>
      <xdr:rowOff>101600</xdr:rowOff>
    </xdr:from>
    <xdr:to>
      <xdr:col>15</xdr:col>
      <xdr:colOff>669925</xdr:colOff>
      <xdr:row>38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5</xdr:row>
      <xdr:rowOff>73025</xdr:rowOff>
    </xdr:from>
    <xdr:to>
      <xdr:col>15</xdr:col>
      <xdr:colOff>536575</xdr:colOff>
      <xdr:row>21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22</xdr:row>
      <xdr:rowOff>101600</xdr:rowOff>
    </xdr:from>
    <xdr:to>
      <xdr:col>15</xdr:col>
      <xdr:colOff>669925</xdr:colOff>
      <xdr:row>38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5</xdr:row>
      <xdr:rowOff>73025</xdr:rowOff>
    </xdr:from>
    <xdr:to>
      <xdr:col>15</xdr:col>
      <xdr:colOff>536575</xdr:colOff>
      <xdr:row>21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22</xdr:row>
      <xdr:rowOff>101600</xdr:rowOff>
    </xdr:from>
    <xdr:to>
      <xdr:col>15</xdr:col>
      <xdr:colOff>669925</xdr:colOff>
      <xdr:row>38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5</xdr:row>
      <xdr:rowOff>73025</xdr:rowOff>
    </xdr:from>
    <xdr:to>
      <xdr:col>15</xdr:col>
      <xdr:colOff>536575</xdr:colOff>
      <xdr:row>21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22</xdr:row>
      <xdr:rowOff>101600</xdr:rowOff>
    </xdr:from>
    <xdr:to>
      <xdr:col>15</xdr:col>
      <xdr:colOff>669925</xdr:colOff>
      <xdr:row>38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5</xdr:row>
      <xdr:rowOff>73025</xdr:rowOff>
    </xdr:from>
    <xdr:to>
      <xdr:col>15</xdr:col>
      <xdr:colOff>536575</xdr:colOff>
      <xdr:row>21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22</xdr:row>
      <xdr:rowOff>101600</xdr:rowOff>
    </xdr:from>
    <xdr:to>
      <xdr:col>15</xdr:col>
      <xdr:colOff>669925</xdr:colOff>
      <xdr:row>38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193675</xdr:colOff>
      <xdr:row>1</xdr:row>
      <xdr:rowOff>130175</xdr:rowOff>
    </xdr:from>
    <xdr:to>
      <xdr:col>16</xdr:col>
      <xdr:colOff>650875</xdr:colOff>
      <xdr:row>17</xdr:row>
      <xdr:rowOff>130175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155575</xdr:colOff>
      <xdr:row>19</xdr:row>
      <xdr:rowOff>149225</xdr:rowOff>
    </xdr:from>
    <xdr:to>
      <xdr:col>16</xdr:col>
      <xdr:colOff>612775</xdr:colOff>
      <xdr:row>35</xdr:row>
      <xdr:rowOff>149225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79375</xdr:colOff>
      <xdr:row>1</xdr:row>
      <xdr:rowOff>63500</xdr:rowOff>
    </xdr:from>
    <xdr:to>
      <xdr:col>17</xdr:col>
      <xdr:colOff>536575</xdr:colOff>
      <xdr:row>17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79375</xdr:colOff>
      <xdr:row>19</xdr:row>
      <xdr:rowOff>130175</xdr:rowOff>
    </xdr:from>
    <xdr:to>
      <xdr:col>17</xdr:col>
      <xdr:colOff>536575</xdr:colOff>
      <xdr:row>35</xdr:row>
      <xdr:rowOff>130175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222250</xdr:colOff>
      <xdr:row>1</xdr:row>
      <xdr:rowOff>101600</xdr:rowOff>
    </xdr:from>
    <xdr:to>
      <xdr:col>17</xdr:col>
      <xdr:colOff>679450</xdr:colOff>
      <xdr:row>17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403225</xdr:colOff>
      <xdr:row>19</xdr:row>
      <xdr:rowOff>111125</xdr:rowOff>
    </xdr:from>
    <xdr:to>
      <xdr:col>18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0</xdr:row>
      <xdr:rowOff>149225</xdr:rowOff>
    </xdr:from>
    <xdr:to>
      <xdr:col>14</xdr:col>
      <xdr:colOff>517525</xdr:colOff>
      <xdr:row>16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403225</xdr:colOff>
      <xdr:row>19</xdr:row>
      <xdr:rowOff>111125</xdr:rowOff>
    </xdr:from>
    <xdr:to>
      <xdr:col>14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0</xdr:row>
      <xdr:rowOff>149225</xdr:rowOff>
    </xdr:from>
    <xdr:to>
      <xdr:col>14</xdr:col>
      <xdr:colOff>517525</xdr:colOff>
      <xdr:row>16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403225</xdr:colOff>
      <xdr:row>19</xdr:row>
      <xdr:rowOff>111125</xdr:rowOff>
    </xdr:from>
    <xdr:to>
      <xdr:col>14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0</xdr:row>
      <xdr:rowOff>149225</xdr:rowOff>
    </xdr:from>
    <xdr:to>
      <xdr:col>14</xdr:col>
      <xdr:colOff>517525</xdr:colOff>
      <xdr:row>16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403225</xdr:colOff>
      <xdr:row>19</xdr:row>
      <xdr:rowOff>111125</xdr:rowOff>
    </xdr:from>
    <xdr:to>
      <xdr:col>14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0</xdr:row>
      <xdr:rowOff>149225</xdr:rowOff>
    </xdr:from>
    <xdr:to>
      <xdr:col>14</xdr:col>
      <xdr:colOff>517525</xdr:colOff>
      <xdr:row>16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403225</xdr:colOff>
      <xdr:row>19</xdr:row>
      <xdr:rowOff>111125</xdr:rowOff>
    </xdr:from>
    <xdr:to>
      <xdr:col>14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0</xdr:row>
      <xdr:rowOff>149225</xdr:rowOff>
    </xdr:from>
    <xdr:to>
      <xdr:col>14</xdr:col>
      <xdr:colOff>517525</xdr:colOff>
      <xdr:row>16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403225</xdr:colOff>
      <xdr:row>19</xdr:row>
      <xdr:rowOff>111125</xdr:rowOff>
    </xdr:from>
    <xdr:to>
      <xdr:col>14</xdr:col>
      <xdr:colOff>174625</xdr:colOff>
      <xdr:row>35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2</xdr:row>
      <xdr:rowOff>63500</xdr:rowOff>
    </xdr:from>
    <xdr:to>
      <xdr:col>18</xdr:col>
      <xdr:colOff>298450</xdr:colOff>
      <xdr:row>18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I22"/>
  <sheetViews>
    <sheetView workbookViewId="0">
      <selection activeCell="C27" sqref="C27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6" width="12.625" customWidth="1"/>
    <col min="7" max="7" width="22.125" customWidth="1"/>
    <col min="8" max="9" width="12.62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</row>
    <row r="3" spans="2:9" ht="21" x14ac:dyDescent="0.15">
      <c r="B3" s="36" t="s">
        <v>8</v>
      </c>
      <c r="C3" s="38">
        <v>4.1399999999999997</v>
      </c>
      <c r="D3" s="24" t="s">
        <v>9</v>
      </c>
      <c r="E3" s="24">
        <v>101.3</v>
      </c>
      <c r="F3" s="24">
        <v>100.8</v>
      </c>
      <c r="G3" s="41">
        <v>-0.4</v>
      </c>
      <c r="H3" s="24">
        <v>101.1</v>
      </c>
      <c r="I3" s="24">
        <v>101</v>
      </c>
    </row>
    <row r="4" spans="2:9" ht="21" x14ac:dyDescent="0.15">
      <c r="B4" s="36"/>
      <c r="C4" s="39"/>
      <c r="D4" s="25" t="s">
        <v>10</v>
      </c>
      <c r="E4" s="25">
        <v>100.4</v>
      </c>
      <c r="F4" s="25">
        <v>101.2</v>
      </c>
      <c r="G4" s="42"/>
      <c r="H4" s="25">
        <v>103.1</v>
      </c>
      <c r="I4" s="25">
        <v>103</v>
      </c>
    </row>
    <row r="5" spans="2:9" ht="21" x14ac:dyDescent="0.15">
      <c r="B5" s="36"/>
      <c r="C5" s="40">
        <v>3.14</v>
      </c>
      <c r="D5" s="26" t="s">
        <v>9</v>
      </c>
      <c r="E5" s="26">
        <v>101.2</v>
      </c>
      <c r="F5" s="26">
        <v>101.6</v>
      </c>
      <c r="G5" s="43">
        <v>0.3</v>
      </c>
      <c r="H5" s="26">
        <v>101.8</v>
      </c>
      <c r="I5" s="26">
        <v>101.7</v>
      </c>
    </row>
    <row r="6" spans="2:9" ht="21" x14ac:dyDescent="0.15">
      <c r="B6" s="37"/>
      <c r="C6" s="37"/>
      <c r="D6" s="27" t="s">
        <v>10</v>
      </c>
      <c r="E6" s="27">
        <v>100.3</v>
      </c>
      <c r="F6" s="27">
        <v>101.3</v>
      </c>
      <c r="G6" s="44"/>
      <c r="H6" s="27">
        <v>103</v>
      </c>
      <c r="I6" s="27">
        <v>103.5</v>
      </c>
    </row>
    <row r="7" spans="2:9" ht="21" x14ac:dyDescent="0.15">
      <c r="B7" s="36" t="s">
        <v>11</v>
      </c>
      <c r="C7" s="38">
        <v>4.5999999999999996</v>
      </c>
      <c r="D7" s="24" t="s">
        <v>9</v>
      </c>
      <c r="E7" s="24">
        <v>101.04</v>
      </c>
      <c r="F7" s="24">
        <v>101.12</v>
      </c>
      <c r="G7" s="41">
        <v>0.42</v>
      </c>
      <c r="H7" s="24">
        <v>101.49</v>
      </c>
      <c r="I7" s="24">
        <v>101.54</v>
      </c>
    </row>
    <row r="8" spans="2:9" ht="21" x14ac:dyDescent="0.15">
      <c r="B8" s="36"/>
      <c r="C8" s="39"/>
      <c r="D8" s="25" t="s">
        <v>10</v>
      </c>
      <c r="E8" s="25">
        <v>100.01</v>
      </c>
      <c r="F8" s="25">
        <v>100.7</v>
      </c>
      <c r="G8" s="42"/>
      <c r="H8" s="25">
        <v>101.36</v>
      </c>
      <c r="I8" s="25">
        <v>101.43</v>
      </c>
    </row>
    <row r="9" spans="2:9" ht="21" x14ac:dyDescent="0.15">
      <c r="B9" s="36"/>
      <c r="C9" s="40">
        <v>3.7</v>
      </c>
      <c r="D9" s="26" t="s">
        <v>9</v>
      </c>
      <c r="E9" s="26">
        <v>100.74</v>
      </c>
      <c r="F9" s="26">
        <v>101.29</v>
      </c>
      <c r="G9" s="43">
        <v>0.69</v>
      </c>
      <c r="H9" s="26">
        <v>101.91</v>
      </c>
      <c r="I9" s="26">
        <v>101.93</v>
      </c>
    </row>
    <row r="10" spans="2:9" ht="21" x14ac:dyDescent="0.15">
      <c r="B10" s="37"/>
      <c r="C10" s="37"/>
      <c r="D10" s="27" t="s">
        <v>10</v>
      </c>
      <c r="E10" s="27">
        <v>99.97</v>
      </c>
      <c r="F10" s="27">
        <v>100.6</v>
      </c>
      <c r="G10" s="44"/>
      <c r="H10" s="27">
        <v>101.47</v>
      </c>
      <c r="I10" s="27">
        <v>101.55</v>
      </c>
    </row>
    <row r="11" spans="2:9" ht="21" x14ac:dyDescent="0.15">
      <c r="B11" s="36" t="s">
        <v>12</v>
      </c>
      <c r="C11" s="38">
        <v>4.17</v>
      </c>
      <c r="D11" s="24" t="s">
        <v>9</v>
      </c>
      <c r="E11" s="24">
        <v>103.73</v>
      </c>
      <c r="F11" s="24">
        <v>102</v>
      </c>
      <c r="G11" s="41">
        <v>0.96</v>
      </c>
      <c r="H11" s="24">
        <v>102.01</v>
      </c>
      <c r="I11" s="24">
        <v>103.18</v>
      </c>
    </row>
    <row r="12" spans="2:9" ht="21" x14ac:dyDescent="0.15">
      <c r="B12" s="36"/>
      <c r="C12" s="39"/>
      <c r="D12" s="25" t="s">
        <v>10</v>
      </c>
      <c r="E12" s="25">
        <v>100.13</v>
      </c>
      <c r="F12" s="25">
        <v>101.04</v>
      </c>
      <c r="G12" s="42"/>
      <c r="H12" s="25">
        <v>103.23</v>
      </c>
      <c r="I12" s="25">
        <v>103.06</v>
      </c>
    </row>
    <row r="13" spans="2:9" ht="21" x14ac:dyDescent="0.15">
      <c r="B13" s="36"/>
      <c r="C13" s="40">
        <v>3.17</v>
      </c>
      <c r="D13" s="26" t="s">
        <v>9</v>
      </c>
      <c r="E13" s="26">
        <v>103.17</v>
      </c>
      <c r="F13" s="26">
        <v>102.14</v>
      </c>
      <c r="G13" s="43">
        <v>1.35</v>
      </c>
      <c r="H13" s="26">
        <v>103.12</v>
      </c>
      <c r="I13" s="26">
        <v>103.41</v>
      </c>
    </row>
    <row r="14" spans="2:9" ht="21" x14ac:dyDescent="0.15">
      <c r="B14" s="37"/>
      <c r="C14" s="37"/>
      <c r="D14" s="27" t="s">
        <v>10</v>
      </c>
      <c r="E14" s="27">
        <v>100.07</v>
      </c>
      <c r="F14" s="27">
        <v>100.79</v>
      </c>
      <c r="G14" s="44"/>
      <c r="H14" s="27">
        <v>103</v>
      </c>
      <c r="I14" s="27">
        <v>102.91</v>
      </c>
    </row>
    <row r="15" spans="2:9" ht="21" x14ac:dyDescent="0.15">
      <c r="B15" s="36" t="s">
        <v>13</v>
      </c>
      <c r="C15" s="38">
        <v>4.9000000000000004</v>
      </c>
      <c r="D15" s="24" t="s">
        <v>9</v>
      </c>
      <c r="E15" s="24">
        <v>101.98</v>
      </c>
      <c r="F15" s="24">
        <v>101.23</v>
      </c>
      <c r="G15" s="41">
        <v>0.38</v>
      </c>
      <c r="H15" s="24">
        <v>102.08</v>
      </c>
      <c r="I15" s="24">
        <v>102.85</v>
      </c>
    </row>
    <row r="16" spans="2:9" ht="21" x14ac:dyDescent="0.15">
      <c r="B16" s="36"/>
      <c r="C16" s="39"/>
      <c r="D16" s="25" t="s">
        <v>10</v>
      </c>
      <c r="E16" s="25">
        <v>99.74</v>
      </c>
      <c r="F16" s="25">
        <v>100.85</v>
      </c>
      <c r="G16" s="42"/>
      <c r="H16" s="25">
        <v>103.02</v>
      </c>
      <c r="I16" s="25">
        <v>103.07</v>
      </c>
    </row>
    <row r="17" spans="2:9" ht="21" x14ac:dyDescent="0.15">
      <c r="B17" s="36"/>
      <c r="C17" s="40">
        <v>3.9</v>
      </c>
      <c r="D17" s="26" t="s">
        <v>9</v>
      </c>
      <c r="E17" s="26">
        <v>101.55</v>
      </c>
      <c r="F17" s="26">
        <v>101.7</v>
      </c>
      <c r="G17" s="43">
        <v>0.74</v>
      </c>
      <c r="H17" s="26">
        <v>102.61</v>
      </c>
      <c r="I17" s="26">
        <v>103.29</v>
      </c>
    </row>
    <row r="18" spans="2:9" ht="21" x14ac:dyDescent="0.15">
      <c r="B18" s="37"/>
      <c r="C18" s="37"/>
      <c r="D18" s="27" t="s">
        <v>10</v>
      </c>
      <c r="E18" s="27">
        <v>99.97</v>
      </c>
      <c r="F18" s="27">
        <v>100.96</v>
      </c>
      <c r="G18" s="44"/>
      <c r="H18" s="27">
        <v>103.11</v>
      </c>
      <c r="I18" s="27">
        <v>103.07</v>
      </c>
    </row>
    <row r="19" spans="2:9" ht="21" x14ac:dyDescent="0.15">
      <c r="B19" s="36" t="s">
        <v>14</v>
      </c>
      <c r="C19" s="38">
        <v>4.13</v>
      </c>
      <c r="D19" s="24" t="s">
        <v>9</v>
      </c>
      <c r="E19" s="24">
        <v>100.88</v>
      </c>
      <c r="F19" s="24">
        <v>100.56</v>
      </c>
      <c r="G19" s="41">
        <v>-3.09</v>
      </c>
      <c r="H19" s="24">
        <v>101.14</v>
      </c>
      <c r="I19" s="29">
        <v>101.3</v>
      </c>
    </row>
    <row r="20" spans="2:9" ht="21" x14ac:dyDescent="0.15">
      <c r="B20" s="36"/>
      <c r="C20" s="39"/>
      <c r="D20" s="25" t="s">
        <v>10</v>
      </c>
      <c r="E20" s="25">
        <v>101.59</v>
      </c>
      <c r="F20" s="25">
        <v>103.65</v>
      </c>
      <c r="G20" s="42"/>
      <c r="H20" s="25">
        <v>103.65</v>
      </c>
      <c r="I20" s="25">
        <v>104.16</v>
      </c>
    </row>
    <row r="21" spans="2:9" ht="21" x14ac:dyDescent="0.15">
      <c r="B21" s="36"/>
      <c r="C21" s="40">
        <v>3.17</v>
      </c>
      <c r="D21" s="26" t="s">
        <v>9</v>
      </c>
      <c r="E21" s="26">
        <v>100.93</v>
      </c>
      <c r="F21" s="26">
        <v>101.53</v>
      </c>
      <c r="G21" s="43">
        <v>-0.15</v>
      </c>
      <c r="H21" s="26">
        <v>102.56</v>
      </c>
      <c r="I21" s="26">
        <v>102.82</v>
      </c>
    </row>
    <row r="22" spans="2:9" ht="21" x14ac:dyDescent="0.15">
      <c r="B22" s="37"/>
      <c r="C22" s="37"/>
      <c r="D22" s="27" t="s">
        <v>10</v>
      </c>
      <c r="E22" s="27">
        <v>101.32</v>
      </c>
      <c r="F22" s="27">
        <v>101.68</v>
      </c>
      <c r="G22" s="44"/>
      <c r="H22" s="27">
        <v>103.77</v>
      </c>
      <c r="I22" s="27">
        <v>104.44</v>
      </c>
    </row>
  </sheetData>
  <mergeCells count="25">
    <mergeCell ref="G13:G14"/>
    <mergeCell ref="G15:G16"/>
    <mergeCell ref="G17:G18"/>
    <mergeCell ref="G19:G20"/>
    <mergeCell ref="G21:G22"/>
    <mergeCell ref="G3:G4"/>
    <mergeCell ref="G5:G6"/>
    <mergeCell ref="G7:G8"/>
    <mergeCell ref="G9:G10"/>
    <mergeCell ref="G11:G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2"/>
  <sheetViews>
    <sheetView workbookViewId="0">
      <selection activeCell="G26" sqref="G26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6" width="12.625" customWidth="1"/>
    <col min="7" max="7" width="22.125" customWidth="1"/>
    <col min="8" max="9" width="12.62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</row>
    <row r="3" spans="2:9" ht="21" x14ac:dyDescent="0.15">
      <c r="B3" s="36" t="s">
        <v>8</v>
      </c>
      <c r="C3" s="38">
        <v>5.16</v>
      </c>
      <c r="D3" s="24" t="s">
        <v>9</v>
      </c>
      <c r="E3" s="24">
        <v>101.4</v>
      </c>
      <c r="F3" s="24">
        <v>100.6</v>
      </c>
      <c r="G3" s="41">
        <v>-0.7</v>
      </c>
      <c r="H3" s="24">
        <v>101.1</v>
      </c>
      <c r="I3" s="24">
        <v>101.1</v>
      </c>
    </row>
    <row r="4" spans="2:9" ht="21" x14ac:dyDescent="0.15">
      <c r="B4" s="36"/>
      <c r="C4" s="39"/>
      <c r="D4" s="25" t="s">
        <v>10</v>
      </c>
      <c r="E4" s="25">
        <v>100.5</v>
      </c>
      <c r="F4" s="25">
        <v>101.3</v>
      </c>
      <c r="G4" s="42"/>
      <c r="H4" s="25">
        <v>103</v>
      </c>
      <c r="I4" s="25">
        <v>103.1</v>
      </c>
    </row>
    <row r="5" spans="2:9" ht="21" x14ac:dyDescent="0.15">
      <c r="B5" s="36"/>
      <c r="C5" s="40">
        <v>4.1399999999999997</v>
      </c>
      <c r="D5" s="26" t="s">
        <v>9</v>
      </c>
      <c r="E5" s="26">
        <v>101.3</v>
      </c>
      <c r="F5" s="26">
        <v>100.8</v>
      </c>
      <c r="G5" s="43">
        <v>-0.4</v>
      </c>
      <c r="H5" s="26">
        <v>101.1</v>
      </c>
      <c r="I5" s="26">
        <v>101</v>
      </c>
    </row>
    <row r="6" spans="2:9" ht="21" x14ac:dyDescent="0.15">
      <c r="B6" s="37"/>
      <c r="C6" s="37"/>
      <c r="D6" s="27" t="s">
        <v>10</v>
      </c>
      <c r="E6" s="27">
        <v>100.4</v>
      </c>
      <c r="F6" s="27">
        <v>101.2</v>
      </c>
      <c r="G6" s="44"/>
      <c r="H6" s="27">
        <v>103.1</v>
      </c>
      <c r="I6" s="27">
        <v>103</v>
      </c>
    </row>
    <row r="7" spans="2:9" ht="21" x14ac:dyDescent="0.15">
      <c r="B7" s="36" t="s">
        <v>11</v>
      </c>
      <c r="C7" s="38">
        <v>5.4</v>
      </c>
      <c r="D7" s="24" t="s">
        <v>9</v>
      </c>
      <c r="E7" s="24">
        <v>100.96</v>
      </c>
      <c r="F7" s="24">
        <v>101.11</v>
      </c>
      <c r="G7" s="41">
        <v>0.28999999999999998</v>
      </c>
      <c r="H7" s="24">
        <v>101.58</v>
      </c>
      <c r="I7" s="24">
        <v>101.71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42"/>
      <c r="H8" s="25">
        <v>101.58</v>
      </c>
      <c r="I8" s="25">
        <v>101.67</v>
      </c>
    </row>
    <row r="9" spans="2:9" ht="21" x14ac:dyDescent="0.15">
      <c r="B9" s="36"/>
      <c r="C9" s="40">
        <v>4.5999999999999996</v>
      </c>
      <c r="D9" s="26" t="s">
        <v>9</v>
      </c>
      <c r="E9" s="26">
        <v>101.04</v>
      </c>
      <c r="F9" s="26">
        <v>101.12</v>
      </c>
      <c r="G9" s="43">
        <v>0.42</v>
      </c>
      <c r="H9" s="26">
        <v>101.49</v>
      </c>
      <c r="I9" s="26">
        <v>101.54</v>
      </c>
    </row>
    <row r="10" spans="2:9" ht="21" x14ac:dyDescent="0.15">
      <c r="B10" s="37"/>
      <c r="C10" s="37"/>
      <c r="D10" s="27" t="s">
        <v>10</v>
      </c>
      <c r="E10" s="27">
        <v>100.01</v>
      </c>
      <c r="F10" s="27">
        <v>100.7</v>
      </c>
      <c r="G10" s="44"/>
      <c r="H10" s="27">
        <v>101.36</v>
      </c>
      <c r="I10" s="27">
        <v>101.43</v>
      </c>
    </row>
    <row r="11" spans="2:9" ht="21" x14ac:dyDescent="0.15">
      <c r="B11" s="36" t="s">
        <v>12</v>
      </c>
      <c r="C11" s="38">
        <v>5.17</v>
      </c>
      <c r="D11" s="24" t="s">
        <v>9</v>
      </c>
      <c r="E11" s="24">
        <v>103.67</v>
      </c>
      <c r="F11" s="24">
        <v>102.1</v>
      </c>
      <c r="G11" s="41">
        <v>1</v>
      </c>
      <c r="H11" s="24">
        <v>102.27</v>
      </c>
      <c r="I11" s="24">
        <v>103.47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42"/>
      <c r="H12" s="25">
        <v>103.42</v>
      </c>
      <c r="I12" s="25">
        <v>103.38</v>
      </c>
    </row>
    <row r="13" spans="2:9" ht="21" x14ac:dyDescent="0.15">
      <c r="B13" s="36"/>
      <c r="C13" s="40">
        <v>4.17</v>
      </c>
      <c r="D13" s="26" t="s">
        <v>9</v>
      </c>
      <c r="E13" s="26">
        <v>103.73</v>
      </c>
      <c r="F13" s="26">
        <v>102</v>
      </c>
      <c r="G13" s="43">
        <v>0.96</v>
      </c>
      <c r="H13" s="26">
        <v>102.01</v>
      </c>
      <c r="I13" s="26">
        <v>103.18</v>
      </c>
    </row>
    <row r="14" spans="2:9" ht="21" x14ac:dyDescent="0.15">
      <c r="B14" s="37"/>
      <c r="C14" s="37"/>
      <c r="D14" s="27" t="s">
        <v>10</v>
      </c>
      <c r="E14" s="27">
        <v>100.13</v>
      </c>
      <c r="F14" s="27">
        <v>101.04</v>
      </c>
      <c r="G14" s="44"/>
      <c r="H14" s="27">
        <v>103.23</v>
      </c>
      <c r="I14" s="27">
        <v>103.06</v>
      </c>
    </row>
    <row r="15" spans="2:9" ht="21" x14ac:dyDescent="0.15">
      <c r="B15" s="36" t="s">
        <v>13</v>
      </c>
      <c r="C15" s="38">
        <v>5.9</v>
      </c>
      <c r="D15" s="24" t="s">
        <v>9</v>
      </c>
      <c r="E15" s="24">
        <v>102.06</v>
      </c>
      <c r="F15" s="24">
        <v>100.85</v>
      </c>
      <c r="G15" s="41">
        <v>-0.1</v>
      </c>
      <c r="H15" s="24">
        <v>101.63</v>
      </c>
      <c r="I15" s="24">
        <v>102.45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42"/>
      <c r="H16" s="25">
        <v>103.06</v>
      </c>
      <c r="I16" s="25">
        <v>103.11</v>
      </c>
    </row>
    <row r="17" spans="2:9" ht="21" x14ac:dyDescent="0.15">
      <c r="B17" s="36"/>
      <c r="C17" s="40">
        <v>4.9000000000000004</v>
      </c>
      <c r="D17" s="26" t="s">
        <v>9</v>
      </c>
      <c r="E17" s="26">
        <v>101.98</v>
      </c>
      <c r="F17" s="26">
        <v>101.23</v>
      </c>
      <c r="G17" s="43">
        <v>0.38</v>
      </c>
      <c r="H17" s="26">
        <v>102.08</v>
      </c>
      <c r="I17" s="26">
        <v>102.85</v>
      </c>
    </row>
    <row r="18" spans="2:9" ht="21" x14ac:dyDescent="0.15">
      <c r="B18" s="37"/>
      <c r="C18" s="37"/>
      <c r="D18" s="27" t="s">
        <v>10</v>
      </c>
      <c r="E18" s="27">
        <v>99.74</v>
      </c>
      <c r="F18" s="27">
        <v>100.85</v>
      </c>
      <c r="G18" s="44"/>
      <c r="H18" s="27">
        <v>103.02</v>
      </c>
      <c r="I18" s="27">
        <v>103.07</v>
      </c>
    </row>
    <row r="19" spans="2:9" ht="21" x14ac:dyDescent="0.15">
      <c r="B19" s="36" t="s">
        <v>14</v>
      </c>
      <c r="C19" s="38">
        <v>5.17</v>
      </c>
      <c r="D19" s="24" t="s">
        <v>9</v>
      </c>
      <c r="E19" s="24">
        <v>101.01</v>
      </c>
      <c r="F19" s="24">
        <v>100.72</v>
      </c>
      <c r="G19" s="41">
        <v>-0.87</v>
      </c>
      <c r="H19" s="24">
        <v>101.33</v>
      </c>
      <c r="I19" s="29">
        <v>101.55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42"/>
      <c r="H20" s="25">
        <v>103.13</v>
      </c>
      <c r="I20" s="25">
        <v>103.48</v>
      </c>
    </row>
    <row r="21" spans="2:9" ht="21" x14ac:dyDescent="0.15">
      <c r="B21" s="36"/>
      <c r="C21" s="40">
        <v>4.13</v>
      </c>
      <c r="D21" s="26" t="s">
        <v>9</v>
      </c>
      <c r="E21" s="26">
        <v>100.88</v>
      </c>
      <c r="F21" s="26">
        <v>100.56</v>
      </c>
      <c r="G21" s="43">
        <v>-3.09</v>
      </c>
      <c r="H21" s="26">
        <v>101.14</v>
      </c>
      <c r="I21" s="26">
        <v>101.3</v>
      </c>
    </row>
    <row r="22" spans="2:9" ht="21" x14ac:dyDescent="0.15">
      <c r="B22" s="37"/>
      <c r="C22" s="37"/>
      <c r="D22" s="27" t="s">
        <v>10</v>
      </c>
      <c r="E22" s="27">
        <v>101.59</v>
      </c>
      <c r="F22" s="27">
        <v>103.65</v>
      </c>
      <c r="G22" s="44"/>
      <c r="H22" s="27">
        <v>103.65</v>
      </c>
      <c r="I22" s="27">
        <v>104.16</v>
      </c>
    </row>
  </sheetData>
  <mergeCells count="25">
    <mergeCell ref="G13:G14"/>
    <mergeCell ref="G15:G16"/>
    <mergeCell ref="G17:G18"/>
    <mergeCell ref="G19:G20"/>
    <mergeCell ref="G21:G22"/>
    <mergeCell ref="G3:G4"/>
    <mergeCell ref="G5:G6"/>
    <mergeCell ref="G7:G8"/>
    <mergeCell ref="G9:G10"/>
    <mergeCell ref="G11:G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I22"/>
  <sheetViews>
    <sheetView workbookViewId="0">
      <selection activeCell="H26" sqref="H26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7" width="12.625" customWidth="1"/>
    <col min="8" max="8" width="22.125" customWidth="1"/>
    <col min="9" max="9" width="12.62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15</v>
      </c>
      <c r="I2" s="23" t="s">
        <v>7</v>
      </c>
    </row>
    <row r="3" spans="2:9" ht="21" x14ac:dyDescent="0.15">
      <c r="B3" s="36" t="s">
        <v>8</v>
      </c>
      <c r="C3" s="38">
        <v>6.14</v>
      </c>
      <c r="D3" s="24" t="s">
        <v>9</v>
      </c>
      <c r="E3" s="24">
        <v>101.4</v>
      </c>
      <c r="F3" s="24">
        <v>100.6</v>
      </c>
      <c r="G3" s="24">
        <v>101.2</v>
      </c>
      <c r="H3" s="41">
        <v>-2.2000000000000002</v>
      </c>
      <c r="I3" s="24">
        <v>101.1</v>
      </c>
    </row>
    <row r="4" spans="2:9" ht="21" x14ac:dyDescent="0.15">
      <c r="B4" s="36"/>
      <c r="C4" s="39"/>
      <c r="D4" s="25" t="s">
        <v>10</v>
      </c>
      <c r="E4" s="25">
        <v>100.5</v>
      </c>
      <c r="F4" s="25">
        <v>101.3</v>
      </c>
      <c r="G4" s="25">
        <v>103.4</v>
      </c>
      <c r="H4" s="42"/>
      <c r="I4" s="25">
        <v>103.1</v>
      </c>
    </row>
    <row r="5" spans="2:9" ht="21" x14ac:dyDescent="0.15">
      <c r="B5" s="36"/>
      <c r="C5" s="40">
        <v>5.16</v>
      </c>
      <c r="D5" s="26" t="s">
        <v>9</v>
      </c>
      <c r="E5" s="26">
        <v>101.3</v>
      </c>
      <c r="F5" s="26">
        <v>100.8</v>
      </c>
      <c r="G5" s="26">
        <v>101</v>
      </c>
      <c r="H5" s="43">
        <v>0.4</v>
      </c>
      <c r="I5" s="26">
        <v>101.1</v>
      </c>
    </row>
    <row r="6" spans="2:9" ht="21" x14ac:dyDescent="0.15">
      <c r="B6" s="37"/>
      <c r="C6" s="37"/>
      <c r="D6" s="27" t="s">
        <v>10</v>
      </c>
      <c r="E6" s="27">
        <v>100.4</v>
      </c>
      <c r="F6" s="27">
        <v>101.2</v>
      </c>
      <c r="G6" s="27">
        <v>100.6</v>
      </c>
      <c r="H6" s="44"/>
      <c r="I6" s="27">
        <v>103.1</v>
      </c>
    </row>
    <row r="7" spans="2:9" ht="21" x14ac:dyDescent="0.15">
      <c r="B7" s="36" t="s">
        <v>11</v>
      </c>
      <c r="C7" s="38">
        <v>6.5</v>
      </c>
      <c r="D7" s="24" t="s">
        <v>9</v>
      </c>
      <c r="E7" s="24">
        <v>100.96</v>
      </c>
      <c r="F7" s="24">
        <v>101.11</v>
      </c>
      <c r="G7" s="24">
        <v>101.4</v>
      </c>
      <c r="H7" s="41">
        <v>-0.2</v>
      </c>
      <c r="I7" s="24">
        <v>101.71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101.6</v>
      </c>
      <c r="H8" s="42"/>
      <c r="I8" s="25">
        <v>101.67</v>
      </c>
    </row>
    <row r="9" spans="2:9" ht="21" x14ac:dyDescent="0.15">
      <c r="B9" s="36"/>
      <c r="C9" s="40">
        <v>5.4</v>
      </c>
      <c r="D9" s="26" t="s">
        <v>9</v>
      </c>
      <c r="E9" s="26">
        <v>101.04</v>
      </c>
      <c r="F9" s="26">
        <v>101.12</v>
      </c>
      <c r="G9" s="26">
        <v>101.49</v>
      </c>
      <c r="H9" s="43">
        <v>0.13</v>
      </c>
      <c r="I9" s="26">
        <v>101.54</v>
      </c>
    </row>
    <row r="10" spans="2:9" ht="21" x14ac:dyDescent="0.15">
      <c r="B10" s="37"/>
      <c r="C10" s="37"/>
      <c r="D10" s="27" t="s">
        <v>10</v>
      </c>
      <c r="E10" s="27">
        <v>100.01</v>
      </c>
      <c r="F10" s="27">
        <v>100.7</v>
      </c>
      <c r="G10" s="27">
        <v>101.36</v>
      </c>
      <c r="H10" s="44"/>
      <c r="I10" s="27">
        <v>101.43</v>
      </c>
    </row>
    <row r="11" spans="2:9" ht="21" x14ac:dyDescent="0.15">
      <c r="B11" s="36" t="s">
        <v>12</v>
      </c>
      <c r="C11" s="38">
        <v>6.2</v>
      </c>
      <c r="D11" s="24" t="s">
        <v>9</v>
      </c>
      <c r="E11" s="24">
        <v>103.67</v>
      </c>
      <c r="F11" s="24">
        <v>102.1</v>
      </c>
      <c r="G11" s="24">
        <v>102</v>
      </c>
      <c r="H11" s="41">
        <v>-1.6</v>
      </c>
      <c r="I11" s="24">
        <v>103.53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103.6</v>
      </c>
      <c r="H12" s="42"/>
      <c r="I12" s="28">
        <v>103.6</v>
      </c>
    </row>
    <row r="13" spans="2:9" ht="21" x14ac:dyDescent="0.15">
      <c r="B13" s="36"/>
      <c r="C13" s="40">
        <v>5.17</v>
      </c>
      <c r="D13" s="26" t="s">
        <v>9</v>
      </c>
      <c r="E13" s="26">
        <v>103.73</v>
      </c>
      <c r="F13" s="26">
        <v>102</v>
      </c>
      <c r="G13" s="26">
        <v>102.01</v>
      </c>
      <c r="H13" s="43">
        <v>-1.1299999999999999</v>
      </c>
      <c r="I13" s="26">
        <v>103.18</v>
      </c>
    </row>
    <row r="14" spans="2:9" ht="21" x14ac:dyDescent="0.15">
      <c r="B14" s="37"/>
      <c r="C14" s="37"/>
      <c r="D14" s="27" t="s">
        <v>10</v>
      </c>
      <c r="E14" s="27">
        <v>100.13</v>
      </c>
      <c r="F14" s="27">
        <v>101.04</v>
      </c>
      <c r="G14" s="27">
        <v>103.23</v>
      </c>
      <c r="H14" s="44"/>
      <c r="I14" s="27">
        <v>103.06</v>
      </c>
    </row>
    <row r="15" spans="2:9" ht="21" x14ac:dyDescent="0.15">
      <c r="B15" s="36" t="s">
        <v>13</v>
      </c>
      <c r="C15" s="38">
        <v>6.8</v>
      </c>
      <c r="D15" s="24" t="s">
        <v>9</v>
      </c>
      <c r="E15" s="24">
        <v>102.06</v>
      </c>
      <c r="F15" s="24">
        <v>100.85</v>
      </c>
      <c r="G15" s="24">
        <v>100.95</v>
      </c>
      <c r="H15" s="41">
        <v>-1.89</v>
      </c>
      <c r="I15" s="24">
        <v>102.34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25">
        <v>102.84</v>
      </c>
      <c r="H16" s="42"/>
      <c r="I16" s="28">
        <v>102.9</v>
      </c>
    </row>
    <row r="17" spans="2:9" ht="21" x14ac:dyDescent="0.15">
      <c r="B17" s="36"/>
      <c r="C17" s="40">
        <v>5.9</v>
      </c>
      <c r="D17" s="26" t="s">
        <v>9</v>
      </c>
      <c r="E17" s="26">
        <v>101.98</v>
      </c>
      <c r="F17" s="26">
        <v>101.23</v>
      </c>
      <c r="G17" s="26">
        <v>102.08</v>
      </c>
      <c r="H17" s="43">
        <v>-0.94</v>
      </c>
      <c r="I17" s="26">
        <v>102.85</v>
      </c>
    </row>
    <row r="18" spans="2:9" ht="21" x14ac:dyDescent="0.15">
      <c r="B18" s="37"/>
      <c r="C18" s="37"/>
      <c r="D18" s="27" t="s">
        <v>10</v>
      </c>
      <c r="E18" s="27">
        <v>99.74</v>
      </c>
      <c r="F18" s="27">
        <v>100.85</v>
      </c>
      <c r="G18" s="27">
        <v>103.02</v>
      </c>
      <c r="H18" s="44"/>
      <c r="I18" s="27">
        <v>103.07</v>
      </c>
    </row>
    <row r="19" spans="2:9" ht="21" x14ac:dyDescent="0.15">
      <c r="B19" s="36" t="s">
        <v>14</v>
      </c>
      <c r="C19" s="38">
        <v>6.22</v>
      </c>
      <c r="D19" s="24" t="s">
        <v>9</v>
      </c>
      <c r="E19" s="24">
        <v>101.01</v>
      </c>
      <c r="F19" s="24">
        <v>100.72</v>
      </c>
      <c r="G19" s="24">
        <v>100.82</v>
      </c>
      <c r="H19" s="41">
        <v>-2.64</v>
      </c>
      <c r="I19" s="29">
        <v>101.55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25">
        <v>103.46</v>
      </c>
      <c r="H20" s="42"/>
      <c r="I20" s="25">
        <v>103.48</v>
      </c>
    </row>
    <row r="21" spans="2:9" ht="21" x14ac:dyDescent="0.15">
      <c r="B21" s="36"/>
      <c r="C21" s="40">
        <v>5.17</v>
      </c>
      <c r="D21" s="26" t="s">
        <v>9</v>
      </c>
      <c r="E21" s="26">
        <v>100.88</v>
      </c>
      <c r="F21" s="26">
        <v>100.56</v>
      </c>
      <c r="G21" s="26">
        <v>101.14</v>
      </c>
      <c r="H21" s="43">
        <v>-2.5099999999999998</v>
      </c>
      <c r="I21" s="26">
        <v>101.3</v>
      </c>
    </row>
    <row r="22" spans="2:9" ht="21" x14ac:dyDescent="0.15">
      <c r="B22" s="37"/>
      <c r="C22" s="37"/>
      <c r="D22" s="27" t="s">
        <v>10</v>
      </c>
      <c r="E22" s="27">
        <v>101.59</v>
      </c>
      <c r="F22" s="27">
        <v>103.65</v>
      </c>
      <c r="G22" s="27">
        <v>103.65</v>
      </c>
      <c r="H22" s="44"/>
      <c r="I22" s="27">
        <v>104.16</v>
      </c>
    </row>
  </sheetData>
  <mergeCells count="25">
    <mergeCell ref="H13:H14"/>
    <mergeCell ref="H15:H16"/>
    <mergeCell ref="H17:H18"/>
    <mergeCell ref="H19:H20"/>
    <mergeCell ref="H21:H22"/>
    <mergeCell ref="H3:H4"/>
    <mergeCell ref="H5:H6"/>
    <mergeCell ref="H7:H8"/>
    <mergeCell ref="H9:H10"/>
    <mergeCell ref="H11:H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I22"/>
  <sheetViews>
    <sheetView workbookViewId="0">
      <selection activeCell="K13" sqref="K13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7" width="12.625" customWidth="1"/>
    <col min="8" max="8" width="22.125" customWidth="1"/>
    <col min="9" max="9" width="12.62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15</v>
      </c>
      <c r="I2" s="23" t="s">
        <v>7</v>
      </c>
    </row>
    <row r="3" spans="2:9" ht="21" x14ac:dyDescent="0.15">
      <c r="B3" s="36" t="s">
        <v>8</v>
      </c>
      <c r="C3" s="38">
        <v>7.13</v>
      </c>
      <c r="D3" s="24" t="s">
        <v>9</v>
      </c>
      <c r="E3" s="24">
        <v>101.4</v>
      </c>
      <c r="F3" s="24">
        <v>100.6</v>
      </c>
      <c r="G3" s="24">
        <v>101.1</v>
      </c>
      <c r="H3" s="41">
        <f>G3-G4</f>
        <v>-2</v>
      </c>
      <c r="I3" s="24">
        <v>101.1</v>
      </c>
    </row>
    <row r="4" spans="2:9" ht="21" x14ac:dyDescent="0.15">
      <c r="B4" s="36"/>
      <c r="C4" s="39"/>
      <c r="D4" s="25" t="s">
        <v>10</v>
      </c>
      <c r="E4" s="25">
        <v>100.5</v>
      </c>
      <c r="F4" s="25">
        <v>101.3</v>
      </c>
      <c r="G4" s="25">
        <v>103.1</v>
      </c>
      <c r="H4" s="42"/>
      <c r="I4" s="25">
        <v>103.1</v>
      </c>
    </row>
    <row r="5" spans="2:9" ht="21" x14ac:dyDescent="0.15">
      <c r="B5" s="36"/>
      <c r="C5" s="40">
        <v>6.14</v>
      </c>
      <c r="D5" s="26" t="s">
        <v>9</v>
      </c>
      <c r="E5" s="26">
        <v>101.4</v>
      </c>
      <c r="F5" s="26">
        <v>100.6</v>
      </c>
      <c r="G5" s="26">
        <v>101.2</v>
      </c>
      <c r="H5" s="43">
        <v>-2.2000000000000002</v>
      </c>
      <c r="I5" s="26">
        <v>101.1</v>
      </c>
    </row>
    <row r="6" spans="2:9" ht="21" x14ac:dyDescent="0.15">
      <c r="B6" s="37"/>
      <c r="C6" s="37"/>
      <c r="D6" s="27" t="s">
        <v>10</v>
      </c>
      <c r="E6" s="27">
        <v>100.5</v>
      </c>
      <c r="F6" s="27">
        <v>101.3</v>
      </c>
      <c r="G6" s="27">
        <v>103.4</v>
      </c>
      <c r="H6" s="44"/>
      <c r="I6" s="27">
        <v>103.1</v>
      </c>
    </row>
    <row r="7" spans="2:9" ht="21" x14ac:dyDescent="0.15">
      <c r="B7" s="36" t="s">
        <v>11</v>
      </c>
      <c r="C7" s="38">
        <v>6.6</v>
      </c>
      <c r="D7" s="24" t="s">
        <v>9</v>
      </c>
      <c r="E7" s="24">
        <v>100.96</v>
      </c>
      <c r="F7" s="24">
        <v>101.11</v>
      </c>
      <c r="G7" s="24">
        <v>100.8</v>
      </c>
      <c r="H7" s="41">
        <f>G7-G8</f>
        <v>-0.90000000000000568</v>
      </c>
      <c r="I7" s="24">
        <v>101.71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101.7</v>
      </c>
      <c r="H8" s="42"/>
      <c r="I8" s="25">
        <v>101.67</v>
      </c>
    </row>
    <row r="9" spans="2:9" ht="21" x14ac:dyDescent="0.15">
      <c r="B9" s="36"/>
      <c r="C9" s="40">
        <v>6.5</v>
      </c>
      <c r="D9" s="26" t="s">
        <v>9</v>
      </c>
      <c r="E9" s="26">
        <v>100.96</v>
      </c>
      <c r="F9" s="26">
        <v>101.11</v>
      </c>
      <c r="G9" s="26">
        <v>101.4</v>
      </c>
      <c r="H9" s="43">
        <v>-0.2</v>
      </c>
      <c r="I9" s="26">
        <v>101.71</v>
      </c>
    </row>
    <row r="10" spans="2:9" ht="21" x14ac:dyDescent="0.15">
      <c r="B10" s="37"/>
      <c r="C10" s="37"/>
      <c r="D10" s="27" t="s">
        <v>10</v>
      </c>
      <c r="E10" s="27">
        <v>99.94</v>
      </c>
      <c r="F10" s="27">
        <v>100.82</v>
      </c>
      <c r="G10" s="27">
        <v>101.6</v>
      </c>
      <c r="H10" s="44"/>
      <c r="I10" s="27">
        <v>101.67</v>
      </c>
    </row>
    <row r="11" spans="2:9" ht="21" x14ac:dyDescent="0.15">
      <c r="B11" s="36" t="s">
        <v>12</v>
      </c>
      <c r="C11" s="38">
        <v>7.27</v>
      </c>
      <c r="D11" s="24" t="s">
        <v>9</v>
      </c>
      <c r="E11" s="24">
        <v>103.67</v>
      </c>
      <c r="F11" s="24">
        <v>102.1</v>
      </c>
      <c r="G11" s="24">
        <v>101.8</v>
      </c>
      <c r="H11" s="41">
        <f>G11-G12</f>
        <v>-2.2999999999999972</v>
      </c>
      <c r="I11" s="24">
        <v>103.53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104.1</v>
      </c>
      <c r="H12" s="42"/>
      <c r="I12" s="28">
        <v>103.6</v>
      </c>
    </row>
    <row r="13" spans="2:9" ht="21" x14ac:dyDescent="0.15">
      <c r="B13" s="36"/>
      <c r="C13" s="40">
        <v>6.2</v>
      </c>
      <c r="D13" s="26" t="s">
        <v>9</v>
      </c>
      <c r="E13" s="26">
        <v>103.67</v>
      </c>
      <c r="F13" s="26">
        <v>102.1</v>
      </c>
      <c r="G13" s="26">
        <v>102</v>
      </c>
      <c r="H13" s="43">
        <v>-1.6</v>
      </c>
      <c r="I13" s="26">
        <v>103.53</v>
      </c>
    </row>
    <row r="14" spans="2:9" ht="21" x14ac:dyDescent="0.15">
      <c r="B14" s="37"/>
      <c r="C14" s="37"/>
      <c r="D14" s="27" t="s">
        <v>10</v>
      </c>
      <c r="E14" s="27">
        <v>101.12</v>
      </c>
      <c r="F14" s="27">
        <v>101.1</v>
      </c>
      <c r="G14" s="27">
        <v>103.6</v>
      </c>
      <c r="H14" s="44"/>
      <c r="I14" s="27">
        <v>103.6</v>
      </c>
    </row>
    <row r="15" spans="2:9" ht="21" x14ac:dyDescent="0.15">
      <c r="B15" s="36" t="s">
        <v>13</v>
      </c>
      <c r="C15" s="38">
        <v>7.8</v>
      </c>
      <c r="D15" s="24" t="s">
        <v>9</v>
      </c>
      <c r="E15" s="24">
        <v>102.06</v>
      </c>
      <c r="F15" s="24">
        <v>100.85</v>
      </c>
      <c r="G15" s="24">
        <v>100.38</v>
      </c>
      <c r="H15" s="41">
        <f>G15-G16</f>
        <v>-2.3400000000000034</v>
      </c>
      <c r="I15" s="24">
        <v>102.34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25">
        <v>102.72</v>
      </c>
      <c r="H16" s="42"/>
      <c r="I16" s="28">
        <v>102.9</v>
      </c>
    </row>
    <row r="17" spans="2:9" ht="21" x14ac:dyDescent="0.15">
      <c r="B17" s="36"/>
      <c r="C17" s="40">
        <v>6.8</v>
      </c>
      <c r="D17" s="26" t="s">
        <v>9</v>
      </c>
      <c r="E17" s="26">
        <v>102.06</v>
      </c>
      <c r="F17" s="26">
        <v>100.85</v>
      </c>
      <c r="G17" s="26">
        <v>100.95</v>
      </c>
      <c r="H17" s="43">
        <v>-1.89</v>
      </c>
      <c r="I17" s="26">
        <v>102.34</v>
      </c>
    </row>
    <row r="18" spans="2:9" ht="21" x14ac:dyDescent="0.15">
      <c r="B18" s="37"/>
      <c r="C18" s="37"/>
      <c r="D18" s="27" t="s">
        <v>10</v>
      </c>
      <c r="E18" s="27">
        <v>99.58</v>
      </c>
      <c r="F18" s="27">
        <v>100.95</v>
      </c>
      <c r="G18" s="27">
        <v>102.84</v>
      </c>
      <c r="H18" s="44"/>
      <c r="I18" s="27">
        <v>102.9</v>
      </c>
    </row>
    <row r="19" spans="2:9" ht="21" x14ac:dyDescent="0.15">
      <c r="B19" s="36" t="s">
        <v>14</v>
      </c>
      <c r="C19" s="38">
        <v>7.17</v>
      </c>
      <c r="D19" s="24" t="s">
        <v>9</v>
      </c>
      <c r="E19" s="24">
        <v>101.01</v>
      </c>
      <c r="F19" s="24">
        <v>100.72</v>
      </c>
      <c r="G19" s="24">
        <v>100.52</v>
      </c>
      <c r="H19" s="41">
        <f>G19-G20</f>
        <v>-3.0799999999999983</v>
      </c>
      <c r="I19" s="29">
        <v>101.55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28">
        <v>103.6</v>
      </c>
      <c r="H20" s="42"/>
      <c r="I20" s="25">
        <v>103.48</v>
      </c>
    </row>
    <row r="21" spans="2:9" ht="21" x14ac:dyDescent="0.15">
      <c r="B21" s="36"/>
      <c r="C21" s="40">
        <v>6.22</v>
      </c>
      <c r="D21" s="26" t="s">
        <v>9</v>
      </c>
      <c r="E21" s="26">
        <v>101.01</v>
      </c>
      <c r="F21" s="26">
        <v>100.72</v>
      </c>
      <c r="G21" s="26">
        <v>100.82</v>
      </c>
      <c r="H21" s="43">
        <v>-2.64</v>
      </c>
      <c r="I21" s="26">
        <v>101.55</v>
      </c>
    </row>
    <row r="22" spans="2:9" ht="21" x14ac:dyDescent="0.15">
      <c r="B22" s="37"/>
      <c r="C22" s="37"/>
      <c r="D22" s="27" t="s">
        <v>10</v>
      </c>
      <c r="E22" s="27">
        <v>101.02</v>
      </c>
      <c r="F22" s="27">
        <v>101.59</v>
      </c>
      <c r="G22" s="27">
        <v>103.46</v>
      </c>
      <c r="H22" s="44"/>
      <c r="I22" s="27">
        <v>103.48</v>
      </c>
    </row>
  </sheetData>
  <mergeCells count="25">
    <mergeCell ref="H13:H14"/>
    <mergeCell ref="H15:H16"/>
    <mergeCell ref="H17:H18"/>
    <mergeCell ref="H19:H20"/>
    <mergeCell ref="H21:H22"/>
    <mergeCell ref="H3:H4"/>
    <mergeCell ref="H5:H6"/>
    <mergeCell ref="H7:H8"/>
    <mergeCell ref="H9:H10"/>
    <mergeCell ref="H11:H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I22"/>
  <sheetViews>
    <sheetView workbookViewId="0">
      <selection activeCell="F28" sqref="F28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7" width="12.625" customWidth="1"/>
    <col min="8" max="8" width="22.125" customWidth="1"/>
    <col min="9" max="9" width="12.62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15</v>
      </c>
      <c r="I2" s="23" t="s">
        <v>7</v>
      </c>
    </row>
    <row r="3" spans="2:9" ht="21" x14ac:dyDescent="0.15">
      <c r="B3" s="36" t="s">
        <v>8</v>
      </c>
      <c r="C3" s="38">
        <v>8.11</v>
      </c>
      <c r="D3" s="24" t="s">
        <v>9</v>
      </c>
      <c r="E3" s="24">
        <v>101.4</v>
      </c>
      <c r="F3" s="24">
        <v>100.6</v>
      </c>
      <c r="G3" s="24">
        <v>100.8</v>
      </c>
      <c r="H3" s="41">
        <f>G3-G4</f>
        <v>-2.1000000000000085</v>
      </c>
      <c r="I3" s="24">
        <v>101.1</v>
      </c>
    </row>
    <row r="4" spans="2:9" ht="21" x14ac:dyDescent="0.15">
      <c r="B4" s="36"/>
      <c r="C4" s="39"/>
      <c r="D4" s="25" t="s">
        <v>10</v>
      </c>
      <c r="E4" s="25">
        <v>100.5</v>
      </c>
      <c r="F4" s="25">
        <v>101.3</v>
      </c>
      <c r="G4" s="25">
        <v>102.9</v>
      </c>
      <c r="H4" s="42"/>
      <c r="I4" s="25">
        <v>103.1</v>
      </c>
    </row>
    <row r="5" spans="2:9" ht="21" x14ac:dyDescent="0.15">
      <c r="B5" s="36"/>
      <c r="C5" s="40">
        <v>7.13</v>
      </c>
      <c r="D5" s="26" t="s">
        <v>9</v>
      </c>
      <c r="E5" s="26">
        <v>101.4</v>
      </c>
      <c r="F5" s="26">
        <v>100.6</v>
      </c>
      <c r="G5" s="26">
        <v>101.1</v>
      </c>
      <c r="H5" s="43">
        <v>-2</v>
      </c>
      <c r="I5" s="26">
        <v>101.1</v>
      </c>
    </row>
    <row r="6" spans="2:9" ht="21" x14ac:dyDescent="0.15">
      <c r="B6" s="37"/>
      <c r="C6" s="37"/>
      <c r="D6" s="27" t="s">
        <v>10</v>
      </c>
      <c r="E6" s="27">
        <v>100.5</v>
      </c>
      <c r="F6" s="27">
        <v>101.3</v>
      </c>
      <c r="G6" s="27">
        <v>103.1</v>
      </c>
      <c r="H6" s="44"/>
      <c r="I6" s="27">
        <v>103.1</v>
      </c>
    </row>
    <row r="7" spans="2:9" ht="21" x14ac:dyDescent="0.15">
      <c r="B7" s="36" t="s">
        <v>11</v>
      </c>
      <c r="C7" s="38">
        <v>8.8000000000000007</v>
      </c>
      <c r="D7" s="24" t="s">
        <v>9</v>
      </c>
      <c r="E7" s="24">
        <v>100.96</v>
      </c>
      <c r="F7" s="24">
        <v>101.11</v>
      </c>
      <c r="G7" s="24">
        <v>101.03</v>
      </c>
      <c r="H7" s="41">
        <f>G7-G8</f>
        <v>-0.64000000000000057</v>
      </c>
      <c r="I7" s="24">
        <v>101.71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101.67</v>
      </c>
      <c r="H8" s="42"/>
      <c r="I8" s="25">
        <v>101.67</v>
      </c>
    </row>
    <row r="9" spans="2:9" ht="21" x14ac:dyDescent="0.15">
      <c r="B9" s="36"/>
      <c r="C9" s="40">
        <v>7.6</v>
      </c>
      <c r="D9" s="26" t="s">
        <v>9</v>
      </c>
      <c r="E9" s="26">
        <v>100.96</v>
      </c>
      <c r="F9" s="26">
        <v>101.11</v>
      </c>
      <c r="G9" s="26">
        <v>100.8</v>
      </c>
      <c r="H9" s="43">
        <v>-0.90000000000000602</v>
      </c>
      <c r="I9" s="26">
        <v>101.71</v>
      </c>
    </row>
    <row r="10" spans="2:9" ht="21" x14ac:dyDescent="0.15">
      <c r="B10" s="37"/>
      <c r="C10" s="37"/>
      <c r="D10" s="27" t="s">
        <v>10</v>
      </c>
      <c r="E10" s="27">
        <v>99.94</v>
      </c>
      <c r="F10" s="27">
        <v>100.82</v>
      </c>
      <c r="G10" s="27">
        <v>101.7</v>
      </c>
      <c r="H10" s="44"/>
      <c r="I10" s="27">
        <v>101.67</v>
      </c>
    </row>
    <row r="11" spans="2:9" ht="21" x14ac:dyDescent="0.15">
      <c r="B11" s="36" t="s">
        <v>12</v>
      </c>
      <c r="C11" s="38">
        <v>7.27</v>
      </c>
      <c r="D11" s="24" t="s">
        <v>9</v>
      </c>
      <c r="E11" s="24">
        <v>103.67</v>
      </c>
      <c r="F11" s="24">
        <v>102.1</v>
      </c>
      <c r="G11" s="24">
        <v>101.8</v>
      </c>
      <c r="H11" s="41">
        <f>G11-G12</f>
        <v>-2.2999999999999972</v>
      </c>
      <c r="I11" s="24">
        <v>103.53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104.1</v>
      </c>
      <c r="H12" s="42"/>
      <c r="I12" s="28">
        <v>103.6</v>
      </c>
    </row>
    <row r="13" spans="2:9" ht="21" x14ac:dyDescent="0.15">
      <c r="B13" s="36"/>
      <c r="C13" s="40">
        <v>7.27</v>
      </c>
      <c r="D13" s="26" t="s">
        <v>9</v>
      </c>
      <c r="E13" s="26">
        <v>103.67</v>
      </c>
      <c r="F13" s="26">
        <v>102.1</v>
      </c>
      <c r="G13" s="26">
        <v>101.8</v>
      </c>
      <c r="H13" s="43">
        <v>-2.2999999999999998</v>
      </c>
      <c r="I13" s="26">
        <v>103.53</v>
      </c>
    </row>
    <row r="14" spans="2:9" ht="21" x14ac:dyDescent="0.15">
      <c r="B14" s="37"/>
      <c r="C14" s="37"/>
      <c r="D14" s="27" t="s">
        <v>10</v>
      </c>
      <c r="E14" s="27">
        <v>101.12</v>
      </c>
      <c r="F14" s="27">
        <v>101.1</v>
      </c>
      <c r="G14" s="27">
        <v>104.1</v>
      </c>
      <c r="H14" s="44"/>
      <c r="I14" s="27">
        <v>103.6</v>
      </c>
    </row>
    <row r="15" spans="2:9" ht="21" x14ac:dyDescent="0.15">
      <c r="B15" s="36" t="s">
        <v>13</v>
      </c>
      <c r="C15" s="38">
        <v>7.8</v>
      </c>
      <c r="D15" s="24" t="s">
        <v>9</v>
      </c>
      <c r="E15" s="24">
        <v>102.06</v>
      </c>
      <c r="F15" s="24">
        <v>100.85</v>
      </c>
      <c r="G15" s="24">
        <v>100</v>
      </c>
      <c r="H15" s="41">
        <f>G15-G16</f>
        <v>-2.6099999999999994</v>
      </c>
      <c r="I15" s="24">
        <v>102.34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25">
        <v>102.61</v>
      </c>
      <c r="H16" s="42"/>
      <c r="I16" s="28">
        <v>102.9</v>
      </c>
    </row>
    <row r="17" spans="2:9" ht="21" x14ac:dyDescent="0.15">
      <c r="B17" s="36"/>
      <c r="C17" s="40">
        <v>7.8</v>
      </c>
      <c r="D17" s="26" t="s">
        <v>9</v>
      </c>
      <c r="E17" s="26">
        <v>102.06</v>
      </c>
      <c r="F17" s="26">
        <v>100.85</v>
      </c>
      <c r="G17" s="26">
        <v>100.38</v>
      </c>
      <c r="H17" s="43">
        <v>-2.34</v>
      </c>
      <c r="I17" s="26">
        <v>102.34</v>
      </c>
    </row>
    <row r="18" spans="2:9" ht="21" x14ac:dyDescent="0.15">
      <c r="B18" s="37"/>
      <c r="C18" s="37"/>
      <c r="D18" s="27" t="s">
        <v>10</v>
      </c>
      <c r="E18" s="27">
        <v>99.58</v>
      </c>
      <c r="F18" s="27">
        <v>100.95</v>
      </c>
      <c r="G18" s="27">
        <v>102.72</v>
      </c>
      <c r="H18" s="44"/>
      <c r="I18" s="27">
        <v>102.9</v>
      </c>
    </row>
    <row r="19" spans="2:9" ht="21" x14ac:dyDescent="0.15">
      <c r="B19" s="36" t="s">
        <v>14</v>
      </c>
      <c r="C19" s="38">
        <v>7.17</v>
      </c>
      <c r="D19" s="24" t="s">
        <v>9</v>
      </c>
      <c r="E19" s="24">
        <v>101.01</v>
      </c>
      <c r="F19" s="24">
        <v>100.72</v>
      </c>
      <c r="G19" s="24">
        <v>100.52</v>
      </c>
      <c r="H19" s="41">
        <f>G19-G20</f>
        <v>-3.0799999999999983</v>
      </c>
      <c r="I19" s="29">
        <v>101.55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28">
        <v>103.6</v>
      </c>
      <c r="H20" s="42"/>
      <c r="I20" s="25">
        <v>103.48</v>
      </c>
    </row>
    <row r="21" spans="2:9" ht="21" x14ac:dyDescent="0.15">
      <c r="B21" s="36"/>
      <c r="C21" s="40">
        <v>7.17</v>
      </c>
      <c r="D21" s="26" t="s">
        <v>9</v>
      </c>
      <c r="E21" s="26">
        <v>101.01</v>
      </c>
      <c r="F21" s="26">
        <v>100.72</v>
      </c>
      <c r="G21" s="26">
        <v>100.52</v>
      </c>
      <c r="H21" s="43">
        <v>-3.08</v>
      </c>
      <c r="I21" s="26">
        <v>101.55</v>
      </c>
    </row>
    <row r="22" spans="2:9" ht="21" x14ac:dyDescent="0.15">
      <c r="B22" s="37"/>
      <c r="C22" s="37"/>
      <c r="D22" s="27" t="s">
        <v>10</v>
      </c>
      <c r="E22" s="27">
        <v>101.02</v>
      </c>
      <c r="F22" s="27">
        <v>101.59</v>
      </c>
      <c r="G22" s="27">
        <v>103.6</v>
      </c>
      <c r="H22" s="44"/>
      <c r="I22" s="27">
        <v>103.48</v>
      </c>
    </row>
  </sheetData>
  <mergeCells count="25">
    <mergeCell ref="H13:H14"/>
    <mergeCell ref="H15:H16"/>
    <mergeCell ref="H17:H18"/>
    <mergeCell ref="H19:H20"/>
    <mergeCell ref="H21:H22"/>
    <mergeCell ref="H3:H4"/>
    <mergeCell ref="H5:H6"/>
    <mergeCell ref="H7:H8"/>
    <mergeCell ref="H9:H10"/>
    <mergeCell ref="H11:H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C1:K23"/>
  <sheetViews>
    <sheetView workbookViewId="0">
      <selection activeCell="D22" sqref="D22:K23"/>
    </sheetView>
  </sheetViews>
  <sheetFormatPr defaultColWidth="9" defaultRowHeight="13.5" x14ac:dyDescent="0.15"/>
  <sheetData>
    <row r="1" spans="3:11" ht="13.5" customHeight="1" x14ac:dyDescent="0.15"/>
    <row r="3" spans="3:11" ht="15" customHeight="1" x14ac:dyDescent="0.15"/>
    <row r="4" spans="3:11" x14ac:dyDescent="0.15">
      <c r="C4" s="45" t="s">
        <v>8</v>
      </c>
      <c r="D4" s="46">
        <v>7.13</v>
      </c>
      <c r="E4" s="32"/>
      <c r="F4" s="32"/>
      <c r="G4" s="32"/>
      <c r="H4" s="32"/>
      <c r="I4" s="47">
        <v>-2</v>
      </c>
      <c r="J4" s="32"/>
      <c r="K4" s="47">
        <v>-2</v>
      </c>
    </row>
    <row r="5" spans="3:11" ht="22.5" customHeight="1" x14ac:dyDescent="0.15">
      <c r="C5" s="45"/>
      <c r="D5" s="46"/>
      <c r="E5" s="33" t="s">
        <v>10</v>
      </c>
      <c r="F5" s="31">
        <v>100.5</v>
      </c>
      <c r="G5" s="31">
        <v>101.3</v>
      </c>
      <c r="H5" s="31">
        <v>103.1</v>
      </c>
      <c r="I5" s="47"/>
      <c r="J5" s="31">
        <v>103.1</v>
      </c>
      <c r="K5" s="47"/>
    </row>
    <row r="6" spans="3:11" ht="15" x14ac:dyDescent="0.15">
      <c r="C6" s="45"/>
      <c r="D6" s="45">
        <v>8.11</v>
      </c>
      <c r="E6" s="34" t="s">
        <v>9</v>
      </c>
      <c r="F6" s="30">
        <v>101.8</v>
      </c>
      <c r="G6" s="30">
        <v>101.5</v>
      </c>
      <c r="H6" s="30">
        <v>100.8</v>
      </c>
      <c r="I6" s="48">
        <v>-2.1</v>
      </c>
      <c r="J6" s="30">
        <v>101.9</v>
      </c>
      <c r="K6" s="48">
        <v>-1.2</v>
      </c>
    </row>
    <row r="7" spans="3:11" ht="22.5" customHeight="1" x14ac:dyDescent="0.15">
      <c r="C7" s="45"/>
      <c r="D7" s="45"/>
      <c r="E7" s="34" t="s">
        <v>10</v>
      </c>
      <c r="F7" s="30">
        <v>100.6</v>
      </c>
      <c r="G7" s="30">
        <v>102</v>
      </c>
      <c r="H7" s="30">
        <v>102.9</v>
      </c>
      <c r="I7" s="48"/>
      <c r="J7" s="30">
        <v>103.1</v>
      </c>
      <c r="K7" s="48"/>
    </row>
    <row r="8" spans="3:11" ht="15" x14ac:dyDescent="0.15">
      <c r="C8" s="45" t="s">
        <v>11</v>
      </c>
      <c r="D8" s="46">
        <v>7.6</v>
      </c>
      <c r="E8" s="33" t="s">
        <v>9</v>
      </c>
      <c r="F8" s="31">
        <v>100.96</v>
      </c>
      <c r="G8" s="31">
        <v>101.11</v>
      </c>
      <c r="H8" s="31">
        <v>100.8</v>
      </c>
      <c r="I8" s="47">
        <v>-0.9</v>
      </c>
      <c r="J8" s="31">
        <v>101.71</v>
      </c>
      <c r="K8" s="47">
        <v>0.04</v>
      </c>
    </row>
    <row r="9" spans="3:11" ht="22.5" customHeight="1" x14ac:dyDescent="0.15">
      <c r="C9" s="45"/>
      <c r="D9" s="46"/>
      <c r="E9" s="33" t="s">
        <v>10</v>
      </c>
      <c r="F9" s="31">
        <v>99.94</v>
      </c>
      <c r="G9" s="31">
        <v>100.82</v>
      </c>
      <c r="H9" s="31">
        <v>101.7</v>
      </c>
      <c r="I9" s="47"/>
      <c r="J9" s="31">
        <v>101.67</v>
      </c>
      <c r="K9" s="47"/>
    </row>
    <row r="10" spans="3:11" ht="15" x14ac:dyDescent="0.15">
      <c r="C10" s="45"/>
      <c r="D10" s="45">
        <v>8.8000000000000007</v>
      </c>
      <c r="E10" s="34" t="s">
        <v>9</v>
      </c>
      <c r="F10" s="30">
        <v>101</v>
      </c>
      <c r="G10" s="30">
        <v>101.31</v>
      </c>
      <c r="H10" s="30">
        <v>101.03</v>
      </c>
      <c r="I10" s="48">
        <v>-0.64</v>
      </c>
      <c r="J10" s="30">
        <v>101.84</v>
      </c>
      <c r="K10" s="48">
        <v>-0.11</v>
      </c>
    </row>
    <row r="11" spans="3:11" ht="22.5" customHeight="1" x14ac:dyDescent="0.15">
      <c r="C11" s="45"/>
      <c r="D11" s="45"/>
      <c r="E11" s="34" t="s">
        <v>10</v>
      </c>
      <c r="F11" s="30">
        <v>100.21</v>
      </c>
      <c r="G11" s="30">
        <v>100.97</v>
      </c>
      <c r="H11" s="30">
        <v>101.67</v>
      </c>
      <c r="I11" s="48"/>
      <c r="J11" s="30">
        <v>101.95</v>
      </c>
      <c r="K11" s="48"/>
    </row>
    <row r="12" spans="3:11" ht="15" x14ac:dyDescent="0.15">
      <c r="C12" s="45" t="s">
        <v>12</v>
      </c>
      <c r="D12" s="46">
        <v>7.27</v>
      </c>
      <c r="E12" s="33" t="s">
        <v>9</v>
      </c>
      <c r="F12" s="31">
        <v>103.67</v>
      </c>
      <c r="G12" s="31">
        <v>102.1</v>
      </c>
      <c r="H12" s="31">
        <v>101.8</v>
      </c>
      <c r="I12" s="47">
        <v>-2.2999999999999998</v>
      </c>
      <c r="J12" s="31">
        <v>103.53</v>
      </c>
      <c r="K12" s="47">
        <v>-7.0000000000000007E-2</v>
      </c>
    </row>
    <row r="13" spans="3:11" ht="22.5" customHeight="1" x14ac:dyDescent="0.15">
      <c r="C13" s="45"/>
      <c r="D13" s="46"/>
      <c r="E13" s="33" t="s">
        <v>10</v>
      </c>
      <c r="F13" s="31">
        <v>101.12</v>
      </c>
      <c r="G13" s="31">
        <v>101.1</v>
      </c>
      <c r="H13" s="31">
        <v>104.1</v>
      </c>
      <c r="I13" s="47"/>
      <c r="J13" s="31">
        <v>103.6</v>
      </c>
      <c r="K13" s="47"/>
    </row>
    <row r="14" spans="3:11" ht="15" x14ac:dyDescent="0.15">
      <c r="C14" s="45"/>
      <c r="D14" s="45">
        <v>8.6999999999999993</v>
      </c>
      <c r="E14" s="34" t="s">
        <v>9</v>
      </c>
      <c r="F14" s="30">
        <v>103.5</v>
      </c>
      <c r="G14" s="30">
        <v>102.3</v>
      </c>
      <c r="H14" s="30">
        <v>101.8</v>
      </c>
      <c r="I14" s="48">
        <v>-2.2999999999999998</v>
      </c>
      <c r="J14" s="30">
        <v>103.4</v>
      </c>
      <c r="K14" s="48">
        <v>-0.8</v>
      </c>
    </row>
    <row r="15" spans="3:11" ht="22.5" customHeight="1" x14ac:dyDescent="0.15">
      <c r="C15" s="45"/>
      <c r="D15" s="45"/>
      <c r="E15" s="34" t="s">
        <v>10</v>
      </c>
      <c r="F15" s="30">
        <v>100.6</v>
      </c>
      <c r="G15" s="30">
        <v>101.7</v>
      </c>
      <c r="H15" s="30">
        <v>104.1</v>
      </c>
      <c r="I15" s="48"/>
      <c r="J15" s="30">
        <v>104.2</v>
      </c>
      <c r="K15" s="48"/>
    </row>
    <row r="16" spans="3:11" ht="15" x14ac:dyDescent="0.15">
      <c r="C16" s="45" t="s">
        <v>13</v>
      </c>
      <c r="D16" s="46">
        <v>7.8</v>
      </c>
      <c r="E16" s="33" t="s">
        <v>9</v>
      </c>
      <c r="F16" s="31">
        <v>102.06</v>
      </c>
      <c r="G16" s="31">
        <v>100.85</v>
      </c>
      <c r="H16" s="31">
        <v>100.38</v>
      </c>
      <c r="I16" s="47">
        <v>-2.34</v>
      </c>
      <c r="J16" s="31">
        <v>102.34</v>
      </c>
      <c r="K16" s="47">
        <v>-0.56000000000000005</v>
      </c>
    </row>
    <row r="17" spans="3:11" ht="22.5" customHeight="1" x14ac:dyDescent="0.15">
      <c r="C17" s="45"/>
      <c r="D17" s="46"/>
      <c r="E17" s="33" t="s">
        <v>10</v>
      </c>
      <c r="F17" s="31">
        <v>99.58</v>
      </c>
      <c r="G17" s="31">
        <v>100.95</v>
      </c>
      <c r="H17" s="31">
        <v>102.72</v>
      </c>
      <c r="I17" s="47"/>
      <c r="J17" s="31">
        <v>102.9</v>
      </c>
      <c r="K17" s="47"/>
    </row>
    <row r="18" spans="3:11" ht="15" x14ac:dyDescent="0.15">
      <c r="C18" s="45"/>
      <c r="D18" s="45">
        <v>8.8000000000000007</v>
      </c>
      <c r="E18" s="34" t="s">
        <v>9</v>
      </c>
      <c r="F18" s="30">
        <v>102.01</v>
      </c>
      <c r="G18" s="30">
        <v>100.92</v>
      </c>
      <c r="H18" s="30">
        <v>100</v>
      </c>
      <c r="I18" s="48">
        <v>-2.61</v>
      </c>
      <c r="J18" s="30">
        <v>101.82</v>
      </c>
      <c r="K18" s="48">
        <v>-0.97</v>
      </c>
    </row>
    <row r="19" spans="3:11" ht="22.5" customHeight="1" x14ac:dyDescent="0.15">
      <c r="C19" s="45"/>
      <c r="D19" s="45"/>
      <c r="E19" s="34" t="s">
        <v>10</v>
      </c>
      <c r="F19" s="30">
        <v>99.68</v>
      </c>
      <c r="G19" s="30">
        <v>100.45</v>
      </c>
      <c r="H19" s="30">
        <v>102.61</v>
      </c>
      <c r="I19" s="48"/>
      <c r="J19" s="30">
        <v>102.79</v>
      </c>
      <c r="K19" s="48"/>
    </row>
    <row r="20" spans="3:11" ht="15" x14ac:dyDescent="0.15">
      <c r="C20" s="45" t="s">
        <v>14</v>
      </c>
      <c r="D20" s="46">
        <v>7.17</v>
      </c>
      <c r="E20" s="33" t="s">
        <v>9</v>
      </c>
      <c r="F20" s="31">
        <v>101.01</v>
      </c>
      <c r="G20" s="31">
        <v>100.72</v>
      </c>
      <c r="H20" s="31">
        <v>100.52</v>
      </c>
      <c r="I20" s="47">
        <v>-3.08</v>
      </c>
      <c r="J20" s="31">
        <v>101.55</v>
      </c>
      <c r="K20" s="47">
        <v>-1.93</v>
      </c>
    </row>
    <row r="21" spans="3:11" ht="15" x14ac:dyDescent="0.15">
      <c r="C21" s="45"/>
      <c r="D21" s="46"/>
      <c r="E21" s="33" t="s">
        <v>10</v>
      </c>
      <c r="F21" s="31">
        <v>101.02</v>
      </c>
      <c r="G21" s="31">
        <v>101.59</v>
      </c>
      <c r="H21" s="31">
        <v>103.6</v>
      </c>
      <c r="I21" s="47"/>
      <c r="J21" s="31">
        <v>103.48</v>
      </c>
      <c r="K21" s="47"/>
    </row>
    <row r="22" spans="3:11" ht="15" x14ac:dyDescent="0.15">
      <c r="C22" s="45"/>
      <c r="D22" s="45">
        <v>8.2899999999999991</v>
      </c>
      <c r="E22" s="34" t="s">
        <v>9</v>
      </c>
      <c r="F22" s="30">
        <v>101.04</v>
      </c>
      <c r="G22" s="30">
        <v>100.85</v>
      </c>
      <c r="H22" s="30">
        <v>100.58</v>
      </c>
      <c r="I22" s="48">
        <v>-2.89</v>
      </c>
      <c r="J22" s="30">
        <v>101.75</v>
      </c>
      <c r="K22" s="48">
        <v>-1.76</v>
      </c>
    </row>
    <row r="23" spans="3:11" ht="15" x14ac:dyDescent="0.15">
      <c r="C23" s="45"/>
      <c r="D23" s="45"/>
      <c r="E23" s="34" t="s">
        <v>10</v>
      </c>
      <c r="F23" s="30">
        <v>101.77</v>
      </c>
      <c r="G23" s="30">
        <v>103.24</v>
      </c>
      <c r="H23" s="30">
        <v>103.47</v>
      </c>
      <c r="I23" s="48"/>
      <c r="J23" s="30">
        <v>103.51</v>
      </c>
      <c r="K23" s="48"/>
    </row>
  </sheetData>
  <mergeCells count="35">
    <mergeCell ref="K14:K15"/>
    <mergeCell ref="K16:K17"/>
    <mergeCell ref="K18:K19"/>
    <mergeCell ref="K20:K21"/>
    <mergeCell ref="K22:K23"/>
    <mergeCell ref="K4:K5"/>
    <mergeCell ref="K6:K7"/>
    <mergeCell ref="K8:K9"/>
    <mergeCell ref="K10:K11"/>
    <mergeCell ref="K12:K13"/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I22"/>
  <sheetViews>
    <sheetView workbookViewId="0">
      <selection activeCell="I21" sqref="B2:I22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8" width="12.625" customWidth="1"/>
    <col min="9" max="9" width="22.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7</v>
      </c>
      <c r="I2" s="23" t="s">
        <v>15</v>
      </c>
    </row>
    <row r="3" spans="2:9" ht="21" x14ac:dyDescent="0.15">
      <c r="B3" s="36" t="s">
        <v>8</v>
      </c>
      <c r="C3" s="38">
        <v>9.1300000000000008</v>
      </c>
      <c r="D3" s="24" t="s">
        <v>9</v>
      </c>
      <c r="E3" s="24">
        <v>101.85</v>
      </c>
      <c r="F3" s="24">
        <v>101.8</v>
      </c>
      <c r="G3" s="24">
        <v>101.3</v>
      </c>
      <c r="H3" s="24">
        <v>101.4</v>
      </c>
      <c r="I3" s="41">
        <f>H3-H4</f>
        <v>-1.0899999999999892</v>
      </c>
    </row>
    <row r="4" spans="2:9" ht="21" x14ac:dyDescent="0.15">
      <c r="B4" s="36"/>
      <c r="C4" s="39"/>
      <c r="D4" s="25" t="s">
        <v>10</v>
      </c>
      <c r="E4" s="25">
        <v>100.39</v>
      </c>
      <c r="F4" s="25">
        <v>101.71</v>
      </c>
      <c r="G4" s="25">
        <v>102.64</v>
      </c>
      <c r="H4" s="25">
        <v>102.49</v>
      </c>
      <c r="I4" s="42"/>
    </row>
    <row r="5" spans="2:9" ht="21" x14ac:dyDescent="0.15">
      <c r="B5" s="36"/>
      <c r="C5" s="40">
        <v>8.11</v>
      </c>
      <c r="D5" s="26" t="s">
        <v>9</v>
      </c>
      <c r="E5" s="26">
        <v>101.8</v>
      </c>
      <c r="F5" s="26">
        <v>101.5</v>
      </c>
      <c r="G5" s="26">
        <v>100.8</v>
      </c>
      <c r="H5" s="26">
        <v>101.9</v>
      </c>
      <c r="I5" s="43">
        <v>-1.2</v>
      </c>
    </row>
    <row r="6" spans="2:9" ht="21" x14ac:dyDescent="0.15">
      <c r="B6" s="37"/>
      <c r="C6" s="37"/>
      <c r="D6" s="27" t="s">
        <v>10</v>
      </c>
      <c r="E6" s="27">
        <v>100.6</v>
      </c>
      <c r="F6" s="27">
        <v>102</v>
      </c>
      <c r="G6" s="27">
        <v>102.9</v>
      </c>
      <c r="H6" s="27">
        <v>103.1</v>
      </c>
      <c r="I6" s="44"/>
    </row>
    <row r="7" spans="2:9" ht="21" x14ac:dyDescent="0.15">
      <c r="B7" s="36" t="s">
        <v>11</v>
      </c>
      <c r="C7" s="38">
        <v>9.6999999999999993</v>
      </c>
      <c r="D7" s="24" t="s">
        <v>9</v>
      </c>
      <c r="E7" s="24">
        <v>100.96</v>
      </c>
      <c r="F7" s="24">
        <v>101.11</v>
      </c>
      <c r="G7" s="24">
        <v>101.03</v>
      </c>
      <c r="H7" s="24">
        <v>101.52</v>
      </c>
      <c r="I7" s="41">
        <f>H7-H8</f>
        <v>-0.23000000000000398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101.67</v>
      </c>
      <c r="H8" s="25">
        <v>101.75</v>
      </c>
      <c r="I8" s="42"/>
    </row>
    <row r="9" spans="2:9" ht="21" x14ac:dyDescent="0.15">
      <c r="B9" s="36"/>
      <c r="C9" s="40">
        <v>8.8000000000000007</v>
      </c>
      <c r="D9" s="26" t="s">
        <v>9</v>
      </c>
      <c r="E9" s="26">
        <v>101</v>
      </c>
      <c r="F9" s="26">
        <v>101.31</v>
      </c>
      <c r="G9" s="26">
        <v>101.03</v>
      </c>
      <c r="H9" s="26">
        <v>101.84</v>
      </c>
      <c r="I9" s="43">
        <v>-0.11</v>
      </c>
    </row>
    <row r="10" spans="2:9" ht="21" x14ac:dyDescent="0.15">
      <c r="B10" s="37"/>
      <c r="C10" s="37"/>
      <c r="D10" s="27" t="s">
        <v>10</v>
      </c>
      <c r="E10" s="27">
        <v>100.21</v>
      </c>
      <c r="F10" s="27">
        <v>100.97</v>
      </c>
      <c r="G10" s="27">
        <v>101.67</v>
      </c>
      <c r="H10" s="27">
        <v>101.95</v>
      </c>
      <c r="I10" s="44"/>
    </row>
    <row r="11" spans="2:9" ht="21" x14ac:dyDescent="0.15">
      <c r="B11" s="36" t="s">
        <v>12</v>
      </c>
      <c r="C11" s="38">
        <v>8.3000000000000007</v>
      </c>
      <c r="D11" s="24" t="s">
        <v>9</v>
      </c>
      <c r="E11" s="24">
        <v>103.67</v>
      </c>
      <c r="F11" s="24">
        <v>102.1</v>
      </c>
      <c r="G11" s="24">
        <v>101.8</v>
      </c>
      <c r="H11" s="24">
        <v>102.94</v>
      </c>
      <c r="I11" s="41">
        <f>H11-H12</f>
        <v>-1.1899999999999977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104.1</v>
      </c>
      <c r="H12" s="28">
        <v>104.13</v>
      </c>
      <c r="I12" s="42"/>
    </row>
    <row r="13" spans="2:9" ht="21" x14ac:dyDescent="0.15">
      <c r="B13" s="36"/>
      <c r="C13" s="40">
        <v>8.6999999999999993</v>
      </c>
      <c r="D13" s="26" t="s">
        <v>9</v>
      </c>
      <c r="E13" s="26">
        <v>103.5</v>
      </c>
      <c r="F13" s="26">
        <v>102.3</v>
      </c>
      <c r="G13" s="26">
        <v>101.8</v>
      </c>
      <c r="H13" s="26">
        <v>103.4</v>
      </c>
      <c r="I13" s="43">
        <v>-0.8</v>
      </c>
    </row>
    <row r="14" spans="2:9" ht="21" x14ac:dyDescent="0.15">
      <c r="B14" s="37"/>
      <c r="C14" s="37"/>
      <c r="D14" s="27" t="s">
        <v>10</v>
      </c>
      <c r="E14" s="27">
        <v>100.6</v>
      </c>
      <c r="F14" s="27">
        <v>101.7</v>
      </c>
      <c r="G14" s="27">
        <v>104.1</v>
      </c>
      <c r="H14" s="27">
        <v>104.2</v>
      </c>
      <c r="I14" s="44"/>
    </row>
    <row r="15" spans="2:9" ht="21" x14ac:dyDescent="0.15">
      <c r="B15" s="36" t="s">
        <v>13</v>
      </c>
      <c r="C15" s="38">
        <v>9.8000000000000007</v>
      </c>
      <c r="D15" s="24" t="s">
        <v>9</v>
      </c>
      <c r="E15" s="24">
        <v>102.06</v>
      </c>
      <c r="F15" s="24">
        <v>100.85</v>
      </c>
      <c r="G15" s="24">
        <v>100</v>
      </c>
      <c r="H15" s="24">
        <v>101.37</v>
      </c>
      <c r="I15" s="41">
        <f>H15-H16</f>
        <v>-1.1299999999999955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25">
        <v>102.61</v>
      </c>
      <c r="H16" s="28">
        <v>102.5</v>
      </c>
      <c r="I16" s="42"/>
    </row>
    <row r="17" spans="2:9" ht="21" x14ac:dyDescent="0.15">
      <c r="B17" s="36"/>
      <c r="C17" s="40">
        <v>8.8000000000000007</v>
      </c>
      <c r="D17" s="26" t="s">
        <v>9</v>
      </c>
      <c r="E17" s="26">
        <v>102.01</v>
      </c>
      <c r="F17" s="26">
        <v>100.92</v>
      </c>
      <c r="G17" s="26">
        <v>100</v>
      </c>
      <c r="H17" s="26">
        <v>101.82</v>
      </c>
      <c r="I17" s="43">
        <v>-0.97</v>
      </c>
    </row>
    <row r="18" spans="2:9" ht="21" x14ac:dyDescent="0.15">
      <c r="B18" s="37"/>
      <c r="C18" s="37"/>
      <c r="D18" s="27" t="s">
        <v>10</v>
      </c>
      <c r="E18" s="27">
        <v>99.68</v>
      </c>
      <c r="F18" s="27">
        <v>100.45</v>
      </c>
      <c r="G18" s="27">
        <v>102.61</v>
      </c>
      <c r="H18" s="27">
        <v>102.79</v>
      </c>
      <c r="I18" s="44"/>
    </row>
    <row r="19" spans="2:9" ht="21" x14ac:dyDescent="0.15">
      <c r="B19" s="36" t="s">
        <v>14</v>
      </c>
      <c r="C19" s="38">
        <v>9.2899999999999991</v>
      </c>
      <c r="D19" s="24" t="s">
        <v>9</v>
      </c>
      <c r="E19" s="24">
        <v>101.01</v>
      </c>
      <c r="F19" s="24">
        <v>100.72</v>
      </c>
      <c r="G19" s="24">
        <v>100.52</v>
      </c>
      <c r="H19" s="29">
        <v>101.55</v>
      </c>
      <c r="I19" s="41">
        <f>H19-H20</f>
        <v>-1.9300000000000068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28">
        <v>103.6</v>
      </c>
      <c r="H20" s="25">
        <v>103.48</v>
      </c>
      <c r="I20" s="42"/>
    </row>
    <row r="21" spans="2:9" ht="21" x14ac:dyDescent="0.15">
      <c r="B21" s="36"/>
      <c r="C21" s="40">
        <v>8.2899999999999991</v>
      </c>
      <c r="D21" s="26" t="s">
        <v>9</v>
      </c>
      <c r="E21" s="26">
        <v>101.04</v>
      </c>
      <c r="F21" s="26">
        <v>100.85</v>
      </c>
      <c r="G21" s="26">
        <v>100.58</v>
      </c>
      <c r="H21" s="26">
        <v>101.75</v>
      </c>
      <c r="I21" s="43">
        <v>-1.76</v>
      </c>
    </row>
    <row r="22" spans="2:9" ht="21" x14ac:dyDescent="0.15">
      <c r="B22" s="37"/>
      <c r="C22" s="37"/>
      <c r="D22" s="27" t="s">
        <v>10</v>
      </c>
      <c r="E22" s="27">
        <v>101.77</v>
      </c>
      <c r="F22" s="27">
        <v>103.24</v>
      </c>
      <c r="G22" s="27">
        <v>103.47</v>
      </c>
      <c r="H22" s="27">
        <v>103.51</v>
      </c>
      <c r="I22" s="44"/>
    </row>
  </sheetData>
  <mergeCells count="25">
    <mergeCell ref="I13:I14"/>
    <mergeCell ref="I15:I16"/>
    <mergeCell ref="I17:I18"/>
    <mergeCell ref="I19:I20"/>
    <mergeCell ref="I21:I22"/>
    <mergeCell ref="I3:I4"/>
    <mergeCell ref="I5:I6"/>
    <mergeCell ref="I7:I8"/>
    <mergeCell ref="I9:I10"/>
    <mergeCell ref="I11:I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I22"/>
  <sheetViews>
    <sheetView workbookViewId="0">
      <selection activeCell="G28" sqref="G28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8" width="12.625" customWidth="1"/>
    <col min="9" max="9" width="22.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7</v>
      </c>
      <c r="I2" s="23" t="s">
        <v>16</v>
      </c>
    </row>
    <row r="3" spans="2:9" ht="21" x14ac:dyDescent="0.15">
      <c r="B3" s="36" t="s">
        <v>8</v>
      </c>
      <c r="C3" s="38">
        <v>10.119999999999999</v>
      </c>
      <c r="D3" s="24" t="s">
        <v>9</v>
      </c>
      <c r="E3" s="24">
        <v>101.85</v>
      </c>
      <c r="F3" s="24">
        <v>101.8</v>
      </c>
      <c r="G3" s="24">
        <v>101.3</v>
      </c>
      <c r="H3" s="24">
        <v>101.3</v>
      </c>
      <c r="I3" s="41">
        <f>H3-H4</f>
        <v>-1.2800000000000011</v>
      </c>
    </row>
    <row r="4" spans="2:9" ht="21" x14ac:dyDescent="0.15">
      <c r="B4" s="36"/>
      <c r="C4" s="39"/>
      <c r="D4" s="25" t="s">
        <v>10</v>
      </c>
      <c r="E4" s="25">
        <v>100.39</v>
      </c>
      <c r="F4" s="25">
        <v>101.71</v>
      </c>
      <c r="G4" s="25">
        <v>102.64</v>
      </c>
      <c r="H4" s="25">
        <v>102.58</v>
      </c>
      <c r="I4" s="42"/>
    </row>
    <row r="5" spans="2:9" ht="21" x14ac:dyDescent="0.15">
      <c r="B5" s="36"/>
      <c r="C5" s="40">
        <v>9.1300000000000008</v>
      </c>
      <c r="D5" s="26" t="s">
        <v>9</v>
      </c>
      <c r="E5" s="26">
        <v>101.85</v>
      </c>
      <c r="F5" s="26">
        <v>101.8</v>
      </c>
      <c r="G5" s="26">
        <v>101.3</v>
      </c>
      <c r="H5" s="26">
        <v>101.4</v>
      </c>
      <c r="I5" s="43">
        <v>-1.0899999999999901</v>
      </c>
    </row>
    <row r="6" spans="2:9" ht="21" x14ac:dyDescent="0.15">
      <c r="B6" s="37"/>
      <c r="C6" s="37"/>
      <c r="D6" s="27" t="s">
        <v>10</v>
      </c>
      <c r="E6" s="27">
        <v>100.39</v>
      </c>
      <c r="F6" s="27">
        <v>101.71</v>
      </c>
      <c r="G6" s="27">
        <v>102.64</v>
      </c>
      <c r="H6" s="27">
        <v>102.49</v>
      </c>
      <c r="I6" s="44"/>
    </row>
    <row r="7" spans="2:9" ht="21" x14ac:dyDescent="0.15">
      <c r="B7" s="36" t="s">
        <v>11</v>
      </c>
      <c r="C7" s="38">
        <v>9.6999999999999993</v>
      </c>
      <c r="D7" s="24" t="s">
        <v>9</v>
      </c>
      <c r="E7" s="24">
        <v>100.96</v>
      </c>
      <c r="F7" s="24">
        <v>101.11</v>
      </c>
      <c r="G7" s="24">
        <v>101.03</v>
      </c>
      <c r="H7" s="24">
        <v>101.56</v>
      </c>
      <c r="I7" s="41">
        <f>H7-H8</f>
        <v>-6.0000000000002274E-2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101.67</v>
      </c>
      <c r="H8" s="25">
        <v>101.62</v>
      </c>
      <c r="I8" s="42"/>
    </row>
    <row r="9" spans="2:9" ht="21" x14ac:dyDescent="0.15">
      <c r="B9" s="36"/>
      <c r="C9" s="40">
        <v>9.6999999999999993</v>
      </c>
      <c r="D9" s="26" t="s">
        <v>9</v>
      </c>
      <c r="E9" s="26">
        <v>100.96</v>
      </c>
      <c r="F9" s="26">
        <v>101.11</v>
      </c>
      <c r="G9" s="26">
        <v>101.03</v>
      </c>
      <c r="H9" s="26">
        <v>101.52</v>
      </c>
      <c r="I9" s="43">
        <v>-0.23000000000000401</v>
      </c>
    </row>
    <row r="10" spans="2:9" ht="21" x14ac:dyDescent="0.15">
      <c r="B10" s="37"/>
      <c r="C10" s="37"/>
      <c r="D10" s="27" t="s">
        <v>10</v>
      </c>
      <c r="E10" s="27">
        <v>99.94</v>
      </c>
      <c r="F10" s="27">
        <v>100.82</v>
      </c>
      <c r="G10" s="27">
        <v>101.67</v>
      </c>
      <c r="H10" s="27">
        <v>101.75</v>
      </c>
      <c r="I10" s="44"/>
    </row>
    <row r="11" spans="2:9" ht="21" x14ac:dyDescent="0.15">
      <c r="B11" s="36" t="s">
        <v>12</v>
      </c>
      <c r="C11" s="38">
        <v>10.3</v>
      </c>
      <c r="D11" s="24" t="s">
        <v>9</v>
      </c>
      <c r="E11" s="24">
        <v>103.67</v>
      </c>
      <c r="F11" s="24">
        <v>102.1</v>
      </c>
      <c r="G11" s="24">
        <v>101.8</v>
      </c>
      <c r="H11" s="24">
        <v>103.17</v>
      </c>
      <c r="I11" s="41">
        <f>H11-H12</f>
        <v>7.000000000000739E-2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104.1</v>
      </c>
      <c r="H12" s="28">
        <v>103.1</v>
      </c>
      <c r="I12" s="42"/>
    </row>
    <row r="13" spans="2:9" ht="21" x14ac:dyDescent="0.15">
      <c r="B13" s="36"/>
      <c r="C13" s="40">
        <v>9.3000000000000007</v>
      </c>
      <c r="D13" s="26" t="s">
        <v>9</v>
      </c>
      <c r="E13" s="26">
        <v>103.67</v>
      </c>
      <c r="F13" s="26">
        <v>102.1</v>
      </c>
      <c r="G13" s="26">
        <v>101.8</v>
      </c>
      <c r="H13" s="26">
        <v>102.94</v>
      </c>
      <c r="I13" s="43">
        <v>-1.19</v>
      </c>
    </row>
    <row r="14" spans="2:9" ht="21" x14ac:dyDescent="0.15">
      <c r="B14" s="37"/>
      <c r="C14" s="37"/>
      <c r="D14" s="27" t="s">
        <v>10</v>
      </c>
      <c r="E14" s="27">
        <v>101.12</v>
      </c>
      <c r="F14" s="27">
        <v>101.1</v>
      </c>
      <c r="G14" s="27">
        <v>104.1</v>
      </c>
      <c r="H14" s="27">
        <v>104.13</v>
      </c>
      <c r="I14" s="44"/>
    </row>
    <row r="15" spans="2:9" ht="21" x14ac:dyDescent="0.15">
      <c r="B15" s="36" t="s">
        <v>13</v>
      </c>
      <c r="C15" s="38">
        <v>10.6</v>
      </c>
      <c r="D15" s="24" t="s">
        <v>9</v>
      </c>
      <c r="E15" s="24">
        <v>102.06</v>
      </c>
      <c r="F15" s="24">
        <v>100.85</v>
      </c>
      <c r="G15" s="24">
        <v>100</v>
      </c>
      <c r="H15" s="24">
        <v>101.53</v>
      </c>
      <c r="I15" s="41">
        <f>H15-H16</f>
        <v>-1.2399999999999949</v>
      </c>
    </row>
    <row r="16" spans="2:9" ht="21" x14ac:dyDescent="0.15">
      <c r="B16" s="36"/>
      <c r="C16" s="39"/>
      <c r="D16" s="25" t="s">
        <v>10</v>
      </c>
      <c r="E16" s="25">
        <v>99.58</v>
      </c>
      <c r="F16" s="25">
        <v>100.95</v>
      </c>
      <c r="G16" s="25">
        <v>102.61</v>
      </c>
      <c r="H16" s="28">
        <v>102.77</v>
      </c>
      <c r="I16" s="42"/>
    </row>
    <row r="17" spans="2:9" ht="21" x14ac:dyDescent="0.15">
      <c r="B17" s="36"/>
      <c r="C17" s="40">
        <v>9.8000000000000007</v>
      </c>
      <c r="D17" s="26" t="s">
        <v>9</v>
      </c>
      <c r="E17" s="26">
        <v>102.06</v>
      </c>
      <c r="F17" s="26">
        <v>100.85</v>
      </c>
      <c r="G17" s="26">
        <v>100</v>
      </c>
      <c r="H17" s="26">
        <v>101.37</v>
      </c>
      <c r="I17" s="43">
        <v>-1.1299999999999999</v>
      </c>
    </row>
    <row r="18" spans="2:9" ht="21" x14ac:dyDescent="0.15">
      <c r="B18" s="37"/>
      <c r="C18" s="37"/>
      <c r="D18" s="27" t="s">
        <v>10</v>
      </c>
      <c r="E18" s="27">
        <v>99.58</v>
      </c>
      <c r="F18" s="27">
        <v>100.95</v>
      </c>
      <c r="G18" s="27">
        <v>102.61</v>
      </c>
      <c r="H18" s="27">
        <v>102.5</v>
      </c>
      <c r="I18" s="44"/>
    </row>
    <row r="19" spans="2:9" ht="21" x14ac:dyDescent="0.15">
      <c r="B19" s="36" t="s">
        <v>14</v>
      </c>
      <c r="C19" s="38">
        <v>10.7</v>
      </c>
      <c r="D19" s="24" t="s">
        <v>9</v>
      </c>
      <c r="E19" s="24">
        <v>101.01</v>
      </c>
      <c r="F19" s="24">
        <v>100.72</v>
      </c>
      <c r="G19" s="24">
        <v>100.52</v>
      </c>
      <c r="H19" s="29">
        <v>101.37</v>
      </c>
      <c r="I19" s="41">
        <f>H19-H20</f>
        <v>-1.3199999999999932</v>
      </c>
    </row>
    <row r="20" spans="2:9" ht="21" x14ac:dyDescent="0.15">
      <c r="B20" s="36"/>
      <c r="C20" s="39"/>
      <c r="D20" s="25" t="s">
        <v>10</v>
      </c>
      <c r="E20" s="25">
        <v>101.02</v>
      </c>
      <c r="F20" s="25">
        <v>101.59</v>
      </c>
      <c r="G20" s="28">
        <v>103.6</v>
      </c>
      <c r="H20" s="25">
        <v>102.69</v>
      </c>
      <c r="I20" s="42"/>
    </row>
    <row r="21" spans="2:9" ht="21" x14ac:dyDescent="0.15">
      <c r="B21" s="36"/>
      <c r="C21" s="40">
        <v>9.2899999999999991</v>
      </c>
      <c r="D21" s="26" t="s">
        <v>9</v>
      </c>
      <c r="E21" s="26">
        <v>101.01</v>
      </c>
      <c r="F21" s="26">
        <v>100.72</v>
      </c>
      <c r="G21" s="26">
        <v>100.52</v>
      </c>
      <c r="H21" s="26">
        <v>101.55</v>
      </c>
      <c r="I21" s="43">
        <v>-1.9300000000000099</v>
      </c>
    </row>
    <row r="22" spans="2:9" ht="21" x14ac:dyDescent="0.15">
      <c r="B22" s="37"/>
      <c r="C22" s="37"/>
      <c r="D22" s="27" t="s">
        <v>10</v>
      </c>
      <c r="E22" s="27">
        <v>101.02</v>
      </c>
      <c r="F22" s="27">
        <v>101.59</v>
      </c>
      <c r="G22" s="27">
        <v>103.6</v>
      </c>
      <c r="H22" s="27">
        <v>103.48</v>
      </c>
      <c r="I22" s="44"/>
    </row>
  </sheetData>
  <mergeCells count="25">
    <mergeCell ref="I13:I14"/>
    <mergeCell ref="I15:I16"/>
    <mergeCell ref="I17:I18"/>
    <mergeCell ref="I19:I20"/>
    <mergeCell ref="I21:I22"/>
    <mergeCell ref="I3:I4"/>
    <mergeCell ref="I5:I6"/>
    <mergeCell ref="I7:I8"/>
    <mergeCell ref="I9:I10"/>
    <mergeCell ref="I11:I12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  <mergeCell ref="B3:B6"/>
    <mergeCell ref="B7:B10"/>
    <mergeCell ref="B11:B14"/>
    <mergeCell ref="B15:B18"/>
    <mergeCell ref="B19:B22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I18"/>
  <sheetViews>
    <sheetView workbookViewId="0">
      <selection activeCell="G29" sqref="G29"/>
    </sheetView>
  </sheetViews>
  <sheetFormatPr defaultColWidth="9" defaultRowHeight="13.5" x14ac:dyDescent="0.15"/>
  <cols>
    <col min="2" max="2" width="16.5" customWidth="1"/>
    <col min="3" max="3" width="13.75" customWidth="1"/>
    <col min="4" max="4" width="8" customWidth="1"/>
    <col min="5" max="8" width="12.625" customWidth="1"/>
    <col min="9" max="9" width="22.5" customWidth="1"/>
  </cols>
  <sheetData>
    <row r="2" spans="2:9" ht="45" customHeight="1" x14ac:dyDescent="0.1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6</v>
      </c>
      <c r="H2" s="23" t="s">
        <v>7</v>
      </c>
      <c r="I2" s="23" t="s">
        <v>16</v>
      </c>
    </row>
    <row r="3" spans="2:9" ht="21" x14ac:dyDescent="0.15">
      <c r="B3" s="36" t="s">
        <v>8</v>
      </c>
      <c r="C3" s="38">
        <v>11.14</v>
      </c>
      <c r="D3" s="24" t="s">
        <v>9</v>
      </c>
      <c r="E3" s="24">
        <v>101.85</v>
      </c>
      <c r="F3" s="24">
        <v>101.8</v>
      </c>
      <c r="G3" s="24">
        <v>101.3</v>
      </c>
      <c r="H3" s="24">
        <v>101.8</v>
      </c>
      <c r="I3" s="41">
        <f>H3-H4</f>
        <v>-1</v>
      </c>
    </row>
    <row r="4" spans="2:9" ht="21" x14ac:dyDescent="0.15">
      <c r="B4" s="36"/>
      <c r="C4" s="39"/>
      <c r="D4" s="25" t="s">
        <v>10</v>
      </c>
      <c r="E4" s="25">
        <v>100.39</v>
      </c>
      <c r="F4" s="25">
        <v>101.71</v>
      </c>
      <c r="G4" s="25">
        <v>102.64</v>
      </c>
      <c r="H4" s="25">
        <v>102.8</v>
      </c>
      <c r="I4" s="42"/>
    </row>
    <row r="5" spans="2:9" ht="21" x14ac:dyDescent="0.15">
      <c r="B5" s="36"/>
      <c r="C5" s="40">
        <v>10.119999999999999</v>
      </c>
      <c r="D5" s="26" t="s">
        <v>9</v>
      </c>
      <c r="E5" s="26">
        <v>101.85</v>
      </c>
      <c r="F5" s="26">
        <v>101.8</v>
      </c>
      <c r="G5" s="26">
        <v>101.3</v>
      </c>
      <c r="H5" s="26">
        <v>101.3</v>
      </c>
      <c r="I5" s="43">
        <v>-1.28</v>
      </c>
    </row>
    <row r="6" spans="2:9" ht="21" x14ac:dyDescent="0.15">
      <c r="B6" s="37"/>
      <c r="C6" s="37"/>
      <c r="D6" s="27" t="s">
        <v>10</v>
      </c>
      <c r="E6" s="27">
        <v>100.39</v>
      </c>
      <c r="F6" s="27">
        <v>101.71</v>
      </c>
      <c r="G6" s="27">
        <v>102.64</v>
      </c>
      <c r="H6" s="27">
        <v>102.58</v>
      </c>
      <c r="I6" s="44"/>
    </row>
    <row r="7" spans="2:9" ht="21" x14ac:dyDescent="0.15">
      <c r="B7" s="36" t="s">
        <v>11</v>
      </c>
      <c r="C7" s="38">
        <v>11.7</v>
      </c>
      <c r="D7" s="24" t="s">
        <v>9</v>
      </c>
      <c r="E7" s="24">
        <v>100.96</v>
      </c>
      <c r="F7" s="24">
        <v>101.11</v>
      </c>
      <c r="G7" s="24">
        <v>101.03</v>
      </c>
      <c r="H7" s="24">
        <v>102.05</v>
      </c>
      <c r="I7" s="41">
        <f>H7-H8</f>
        <v>0.20000000000000284</v>
      </c>
    </row>
    <row r="8" spans="2:9" ht="21" x14ac:dyDescent="0.15">
      <c r="B8" s="36"/>
      <c r="C8" s="39"/>
      <c r="D8" s="25" t="s">
        <v>10</v>
      </c>
      <c r="E8" s="25">
        <v>99.94</v>
      </c>
      <c r="F8" s="25">
        <v>100.82</v>
      </c>
      <c r="G8" s="25">
        <v>101.67</v>
      </c>
      <c r="H8" s="25">
        <v>101.85</v>
      </c>
      <c r="I8" s="42"/>
    </row>
    <row r="9" spans="2:9" ht="21" x14ac:dyDescent="0.15">
      <c r="B9" s="36"/>
      <c r="C9" s="40">
        <v>10.7</v>
      </c>
      <c r="D9" s="26" t="s">
        <v>9</v>
      </c>
      <c r="E9" s="26">
        <v>100.96</v>
      </c>
      <c r="F9" s="26">
        <v>101.11</v>
      </c>
      <c r="G9" s="26">
        <v>101.03</v>
      </c>
      <c r="H9" s="26">
        <v>101.56</v>
      </c>
      <c r="I9" s="43">
        <v>-6.0000000000002301E-2</v>
      </c>
    </row>
    <row r="10" spans="2:9" ht="21" x14ac:dyDescent="0.15">
      <c r="B10" s="37"/>
      <c r="C10" s="37"/>
      <c r="D10" s="27" t="s">
        <v>10</v>
      </c>
      <c r="E10" s="27">
        <v>99.94</v>
      </c>
      <c r="F10" s="27">
        <v>100.82</v>
      </c>
      <c r="G10" s="27">
        <v>101.67</v>
      </c>
      <c r="H10" s="27">
        <v>101.62</v>
      </c>
      <c r="I10" s="44"/>
    </row>
    <row r="11" spans="2:9" ht="21" x14ac:dyDescent="0.15">
      <c r="B11" s="36" t="s">
        <v>12</v>
      </c>
      <c r="C11" s="38">
        <v>10.28</v>
      </c>
      <c r="D11" s="24" t="s">
        <v>9</v>
      </c>
      <c r="E11" s="24">
        <v>103.67</v>
      </c>
      <c r="F11" s="24">
        <v>102.1</v>
      </c>
      <c r="G11" s="24">
        <v>101.8</v>
      </c>
      <c r="H11" s="24">
        <v>103.22</v>
      </c>
      <c r="I11" s="41">
        <f>H11-H12</f>
        <v>0.12999999999999545</v>
      </c>
    </row>
    <row r="12" spans="2:9" ht="21" x14ac:dyDescent="0.15">
      <c r="B12" s="36"/>
      <c r="C12" s="39"/>
      <c r="D12" s="25" t="s">
        <v>10</v>
      </c>
      <c r="E12" s="25">
        <v>101.12</v>
      </c>
      <c r="F12" s="25">
        <v>101.1</v>
      </c>
      <c r="G12" s="25">
        <v>104.1</v>
      </c>
      <c r="H12" s="28">
        <v>103.09</v>
      </c>
      <c r="I12" s="42"/>
    </row>
    <row r="13" spans="2:9" ht="21" x14ac:dyDescent="0.15">
      <c r="B13" s="36"/>
      <c r="C13" s="40">
        <v>10.3</v>
      </c>
      <c r="D13" s="26" t="s">
        <v>9</v>
      </c>
      <c r="E13" s="26">
        <v>103.67</v>
      </c>
      <c r="F13" s="26">
        <v>102.1</v>
      </c>
      <c r="G13" s="26">
        <v>101.8</v>
      </c>
      <c r="H13" s="26">
        <v>103.17</v>
      </c>
      <c r="I13" s="43">
        <v>7.0000000000007404E-2</v>
      </c>
    </row>
    <row r="14" spans="2:9" ht="21" x14ac:dyDescent="0.15">
      <c r="B14" s="37"/>
      <c r="C14" s="37"/>
      <c r="D14" s="27" t="s">
        <v>10</v>
      </c>
      <c r="E14" s="27">
        <v>101.12</v>
      </c>
      <c r="F14" s="27">
        <v>101.1</v>
      </c>
      <c r="G14" s="27">
        <v>104.1</v>
      </c>
      <c r="H14" s="27">
        <v>103.1</v>
      </c>
      <c r="I14" s="44"/>
    </row>
    <row r="15" spans="2:9" ht="21" x14ac:dyDescent="0.15">
      <c r="B15" s="36" t="s">
        <v>14</v>
      </c>
      <c r="C15" s="38">
        <v>11.7</v>
      </c>
      <c r="D15" s="24" t="s">
        <v>9</v>
      </c>
      <c r="E15" s="24">
        <v>101.01</v>
      </c>
      <c r="F15" s="24">
        <v>100.72</v>
      </c>
      <c r="G15" s="24">
        <v>100.52</v>
      </c>
      <c r="H15" s="29">
        <v>101.35</v>
      </c>
      <c r="I15" s="41">
        <f>H15-H16</f>
        <v>-1.4200000000000017</v>
      </c>
    </row>
    <row r="16" spans="2:9" ht="21" x14ac:dyDescent="0.15">
      <c r="B16" s="36"/>
      <c r="C16" s="39"/>
      <c r="D16" s="25" t="s">
        <v>10</v>
      </c>
      <c r="E16" s="25">
        <v>101.02</v>
      </c>
      <c r="F16" s="25">
        <v>101.59</v>
      </c>
      <c r="G16" s="28">
        <v>103.6</v>
      </c>
      <c r="H16" s="25">
        <v>102.77</v>
      </c>
      <c r="I16" s="42"/>
    </row>
    <row r="17" spans="2:9" ht="21" x14ac:dyDescent="0.15">
      <c r="B17" s="36"/>
      <c r="C17" s="40">
        <v>10.7</v>
      </c>
      <c r="D17" s="26" t="s">
        <v>9</v>
      </c>
      <c r="E17" s="26">
        <v>101.01</v>
      </c>
      <c r="F17" s="26">
        <v>100.72</v>
      </c>
      <c r="G17" s="26">
        <v>100.52</v>
      </c>
      <c r="H17" s="26">
        <v>101.37</v>
      </c>
      <c r="I17" s="43">
        <v>-1.3199999999999901</v>
      </c>
    </row>
    <row r="18" spans="2:9" ht="21" x14ac:dyDescent="0.15">
      <c r="B18" s="37"/>
      <c r="C18" s="37"/>
      <c r="D18" s="27" t="s">
        <v>10</v>
      </c>
      <c r="E18" s="27">
        <v>101.02</v>
      </c>
      <c r="F18" s="27">
        <v>101.59</v>
      </c>
      <c r="G18" s="27">
        <v>103.6</v>
      </c>
      <c r="H18" s="27">
        <v>102.69</v>
      </c>
      <c r="I18" s="44"/>
    </row>
  </sheetData>
  <mergeCells count="20">
    <mergeCell ref="I13:I14"/>
    <mergeCell ref="I15:I16"/>
    <mergeCell ref="I17:I18"/>
    <mergeCell ref="I3:I4"/>
    <mergeCell ref="I5:I6"/>
    <mergeCell ref="I7:I8"/>
    <mergeCell ref="I9:I10"/>
    <mergeCell ref="I11:I12"/>
    <mergeCell ref="B3:B6"/>
    <mergeCell ref="B7:B10"/>
    <mergeCell ref="B11:B14"/>
    <mergeCell ref="B15:B18"/>
    <mergeCell ref="C3:C4"/>
    <mergeCell ref="C5:C6"/>
    <mergeCell ref="C7:C8"/>
    <mergeCell ref="C9:C10"/>
    <mergeCell ref="C11:C12"/>
    <mergeCell ref="C13:C14"/>
    <mergeCell ref="C15:C16"/>
    <mergeCell ref="C17:C18"/>
  </mergeCells>
  <phoneticPr fontId="19" type="noConversion"/>
  <pageMargins left="0.7" right="0.7" top="0.51180555555555596" bottom="0.47222222222222199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2:I19"/>
  <sheetViews>
    <sheetView workbookViewId="0">
      <selection activeCell="M11" sqref="M11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" customWidth="1"/>
    <col min="7" max="7" width="20.125" customWidth="1"/>
    <col min="8" max="8" width="13.875" customWidth="1"/>
    <col min="9" max="9" width="20.75" customWidth="1"/>
  </cols>
  <sheetData>
    <row r="2" spans="3:9" ht="15" customHeight="1" x14ac:dyDescent="0.15"/>
    <row r="3" spans="3:9" ht="21.75" x14ac:dyDescent="0.15">
      <c r="C3" s="17" t="s">
        <v>0</v>
      </c>
      <c r="D3" s="17" t="s">
        <v>1</v>
      </c>
      <c r="E3" s="17" t="s">
        <v>2</v>
      </c>
      <c r="F3" s="17" t="s">
        <v>7</v>
      </c>
      <c r="G3" s="17" t="s">
        <v>16</v>
      </c>
      <c r="H3" s="17" t="s">
        <v>17</v>
      </c>
      <c r="I3" s="17" t="s">
        <v>18</v>
      </c>
    </row>
    <row r="4" spans="3:9" ht="21" customHeight="1" x14ac:dyDescent="0.15">
      <c r="C4" s="49" t="s">
        <v>8</v>
      </c>
      <c r="D4" s="50">
        <v>12.14</v>
      </c>
      <c r="E4" s="19" t="s">
        <v>9</v>
      </c>
      <c r="F4" s="19">
        <v>101.95</v>
      </c>
      <c r="G4" s="51">
        <v>-0.25</v>
      </c>
      <c r="H4" s="19">
        <v>101.35</v>
      </c>
      <c r="I4" s="51">
        <v>-0.05</v>
      </c>
    </row>
    <row r="5" spans="3:9" ht="19.5" x14ac:dyDescent="0.15">
      <c r="C5" s="49"/>
      <c r="D5" s="50"/>
      <c r="E5" s="19" t="s">
        <v>10</v>
      </c>
      <c r="F5" s="19">
        <v>102.2</v>
      </c>
      <c r="G5" s="51"/>
      <c r="H5" s="19">
        <v>101.4</v>
      </c>
      <c r="I5" s="51"/>
    </row>
    <row r="6" spans="3:9" ht="21" customHeight="1" x14ac:dyDescent="0.15">
      <c r="C6" s="49"/>
      <c r="D6" s="49">
        <v>11.14</v>
      </c>
      <c r="E6" s="18" t="s">
        <v>9</v>
      </c>
      <c r="F6" s="18">
        <v>101.95</v>
      </c>
      <c r="G6" s="52">
        <v>-0.25</v>
      </c>
      <c r="H6" s="18">
        <v>101.35</v>
      </c>
      <c r="I6" s="52">
        <v>-0.05</v>
      </c>
    </row>
    <row r="7" spans="3:9" ht="19.5" x14ac:dyDescent="0.15">
      <c r="C7" s="49"/>
      <c r="D7" s="49"/>
      <c r="E7" s="18" t="s">
        <v>10</v>
      </c>
      <c r="F7" s="18">
        <v>102.2</v>
      </c>
      <c r="G7" s="52"/>
      <c r="H7" s="18">
        <v>101.4</v>
      </c>
      <c r="I7" s="52"/>
    </row>
    <row r="8" spans="3:9" ht="21" customHeight="1" x14ac:dyDescent="0.15">
      <c r="C8" s="49" t="s">
        <v>11</v>
      </c>
      <c r="D8" s="50">
        <v>12.7</v>
      </c>
      <c r="E8" s="19" t="s">
        <v>9</v>
      </c>
      <c r="F8" s="19">
        <v>102.24</v>
      </c>
      <c r="G8" s="51">
        <v>0.62</v>
      </c>
      <c r="H8" s="19">
        <v>101.19</v>
      </c>
      <c r="I8" s="51">
        <v>-0.84</v>
      </c>
    </row>
    <row r="9" spans="3:9" ht="19.5" x14ac:dyDescent="0.15">
      <c r="C9" s="49"/>
      <c r="D9" s="50"/>
      <c r="E9" s="19" t="s">
        <v>10</v>
      </c>
      <c r="F9" s="19">
        <v>101.62</v>
      </c>
      <c r="G9" s="51"/>
      <c r="H9" s="19">
        <v>102.03</v>
      </c>
      <c r="I9" s="51"/>
    </row>
    <row r="10" spans="3:9" ht="21" customHeight="1" x14ac:dyDescent="0.15">
      <c r="C10" s="49"/>
      <c r="D10" s="49">
        <v>11.7</v>
      </c>
      <c r="E10" s="18" t="s">
        <v>9</v>
      </c>
      <c r="F10" s="18">
        <v>100.96</v>
      </c>
      <c r="G10" s="18">
        <v>101.11</v>
      </c>
      <c r="H10" s="18">
        <v>101.56</v>
      </c>
      <c r="I10" s="52">
        <v>-0.06</v>
      </c>
    </row>
    <row r="11" spans="3:9" ht="19.5" x14ac:dyDescent="0.15">
      <c r="C11" s="49"/>
      <c r="D11" s="49"/>
      <c r="E11" s="18" t="s">
        <v>10</v>
      </c>
      <c r="F11" s="18">
        <v>99.94</v>
      </c>
      <c r="G11" s="18">
        <v>100.82</v>
      </c>
      <c r="H11" s="18">
        <v>101.62</v>
      </c>
      <c r="I11" s="52"/>
    </row>
    <row r="12" spans="3:9" ht="21" customHeight="1" x14ac:dyDescent="0.15">
      <c r="C12" s="49" t="s">
        <v>12</v>
      </c>
      <c r="D12" s="50">
        <v>11.29</v>
      </c>
      <c r="E12" s="19" t="s">
        <v>9</v>
      </c>
      <c r="F12" s="19">
        <v>103.8</v>
      </c>
      <c r="G12" s="51">
        <v>0.8</v>
      </c>
      <c r="H12" s="19">
        <v>104.2</v>
      </c>
      <c r="I12" s="51">
        <v>2.2000000000000002</v>
      </c>
    </row>
    <row r="13" spans="3:9" ht="19.5" x14ac:dyDescent="0.15">
      <c r="C13" s="49"/>
      <c r="D13" s="50"/>
      <c r="E13" s="19" t="s">
        <v>10</v>
      </c>
      <c r="F13" s="19">
        <v>103</v>
      </c>
      <c r="G13" s="51"/>
      <c r="H13" s="19">
        <v>102</v>
      </c>
      <c r="I13" s="51"/>
    </row>
    <row r="14" spans="3:9" ht="21" customHeight="1" x14ac:dyDescent="0.15">
      <c r="C14" s="49"/>
      <c r="D14" s="49">
        <v>10.3</v>
      </c>
      <c r="E14" s="18" t="s">
        <v>9</v>
      </c>
      <c r="F14" s="18">
        <v>103.67</v>
      </c>
      <c r="G14" s="52">
        <v>102.1</v>
      </c>
      <c r="H14" s="18">
        <v>103.17</v>
      </c>
      <c r="I14" s="52">
        <v>7.0000000000000007E-2</v>
      </c>
    </row>
    <row r="15" spans="3:9" ht="19.5" x14ac:dyDescent="0.15">
      <c r="C15" s="49"/>
      <c r="D15" s="49"/>
      <c r="E15" s="18" t="s">
        <v>10</v>
      </c>
      <c r="F15" s="18">
        <v>101.12</v>
      </c>
      <c r="G15" s="52"/>
      <c r="H15" s="18">
        <v>103.1</v>
      </c>
      <c r="I15" s="52"/>
    </row>
    <row r="16" spans="3:9" ht="21" customHeight="1" x14ac:dyDescent="0.15">
      <c r="C16" s="49" t="s">
        <v>14</v>
      </c>
      <c r="D16" s="50">
        <v>11.7</v>
      </c>
      <c r="E16" s="19" t="s">
        <v>9</v>
      </c>
      <c r="F16" s="19">
        <v>101.01</v>
      </c>
      <c r="G16" s="19">
        <v>100.72</v>
      </c>
      <c r="H16" s="19">
        <v>101.35</v>
      </c>
      <c r="I16" s="51">
        <v>-1.42</v>
      </c>
    </row>
    <row r="17" spans="3:9" ht="19.5" x14ac:dyDescent="0.15">
      <c r="C17" s="49"/>
      <c r="D17" s="50"/>
      <c r="E17" s="19" t="s">
        <v>10</v>
      </c>
      <c r="F17" s="19">
        <v>101.02</v>
      </c>
      <c r="G17" s="19">
        <v>101.59</v>
      </c>
      <c r="H17" s="19">
        <v>102.77</v>
      </c>
      <c r="I17" s="51"/>
    </row>
    <row r="18" spans="3:9" ht="19.5" x14ac:dyDescent="0.15">
      <c r="C18" s="49"/>
      <c r="D18" s="49">
        <v>10.7</v>
      </c>
      <c r="E18" s="18" t="s">
        <v>9</v>
      </c>
      <c r="F18" s="18">
        <v>101.01</v>
      </c>
      <c r="G18" s="18">
        <v>100.72</v>
      </c>
      <c r="H18" s="18">
        <v>101.37</v>
      </c>
      <c r="I18" s="52">
        <v>-1.32</v>
      </c>
    </row>
    <row r="19" spans="3:9" ht="19.5" x14ac:dyDescent="0.15">
      <c r="C19" s="49"/>
      <c r="D19" s="49"/>
      <c r="E19" s="18" t="s">
        <v>10</v>
      </c>
      <c r="F19" s="18">
        <v>101.02</v>
      </c>
      <c r="G19" s="18">
        <v>101.59</v>
      </c>
      <c r="H19" s="18">
        <v>102.69</v>
      </c>
      <c r="I19" s="52"/>
    </row>
  </sheetData>
  <mergeCells count="25">
    <mergeCell ref="I14:I15"/>
    <mergeCell ref="I16:I17"/>
    <mergeCell ref="I18:I19"/>
    <mergeCell ref="I4:I5"/>
    <mergeCell ref="I6:I7"/>
    <mergeCell ref="I8:I9"/>
    <mergeCell ref="I10:I11"/>
    <mergeCell ref="I12:I13"/>
    <mergeCell ref="G4:G5"/>
    <mergeCell ref="G6:G7"/>
    <mergeCell ref="G8:G9"/>
    <mergeCell ref="G12:G13"/>
    <mergeCell ref="G14:G15"/>
    <mergeCell ref="C4:C7"/>
    <mergeCell ref="C8:C11"/>
    <mergeCell ref="C12:C15"/>
    <mergeCell ref="C16:C19"/>
    <mergeCell ref="D4:D5"/>
    <mergeCell ref="D6:D7"/>
    <mergeCell ref="D8:D9"/>
    <mergeCell ref="D10:D11"/>
    <mergeCell ref="D12:D13"/>
    <mergeCell ref="D14:D15"/>
    <mergeCell ref="D16:D17"/>
    <mergeCell ref="D18:D19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C2:I23"/>
  <sheetViews>
    <sheetView workbookViewId="0">
      <selection activeCell="K20" sqref="K20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17</v>
      </c>
      <c r="G3" s="17" t="s">
        <v>18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1.1399999999999999</v>
      </c>
      <c r="E4" s="19" t="s">
        <v>9</v>
      </c>
      <c r="F4" s="19">
        <v>101.6</v>
      </c>
      <c r="G4" s="51">
        <f>F4-F5</f>
        <v>-0.10000000000000853</v>
      </c>
      <c r="H4" s="19">
        <v>103.5</v>
      </c>
      <c r="I4" s="51">
        <f>H4-H5</f>
        <v>0.5</v>
      </c>
    </row>
    <row r="5" spans="3:9" ht="19.5" x14ac:dyDescent="0.15">
      <c r="C5" s="49"/>
      <c r="D5" s="50"/>
      <c r="E5" s="19" t="s">
        <v>10</v>
      </c>
      <c r="F5" s="19">
        <v>101.7</v>
      </c>
      <c r="G5" s="51"/>
      <c r="H5" s="19">
        <v>103</v>
      </c>
      <c r="I5" s="51"/>
    </row>
    <row r="6" spans="3:9" ht="21" customHeight="1" x14ac:dyDescent="0.15">
      <c r="C6" s="49"/>
      <c r="D6" s="49">
        <v>12.14</v>
      </c>
      <c r="E6" s="18" t="s">
        <v>9</v>
      </c>
      <c r="F6" s="18">
        <v>101.3</v>
      </c>
      <c r="G6" s="52">
        <f>F6-F7</f>
        <v>-0.10000000000000853</v>
      </c>
      <c r="H6" s="18">
        <v>103.2</v>
      </c>
      <c r="I6" s="52">
        <f>H6-H7</f>
        <v>0.40000000000000568</v>
      </c>
    </row>
    <row r="7" spans="3:9" ht="19.5" x14ac:dyDescent="0.15">
      <c r="C7" s="49"/>
      <c r="D7" s="49"/>
      <c r="E7" s="18" t="s">
        <v>10</v>
      </c>
      <c r="F7" s="18">
        <v>101.4</v>
      </c>
      <c r="G7" s="52"/>
      <c r="H7" s="18">
        <v>102.8</v>
      </c>
      <c r="I7" s="52"/>
    </row>
    <row r="8" spans="3:9" ht="21" customHeight="1" x14ac:dyDescent="0.15">
      <c r="C8" s="49" t="s">
        <v>11</v>
      </c>
      <c r="D8" s="50">
        <v>1.7</v>
      </c>
      <c r="E8" s="19" t="s">
        <v>9</v>
      </c>
      <c r="F8" s="19">
        <v>101.3</v>
      </c>
      <c r="G8" s="51">
        <f>F8-F9</f>
        <v>-0.90000000000000568</v>
      </c>
      <c r="H8" s="19">
        <v>102.3</v>
      </c>
      <c r="I8" s="51">
        <f>H8-H9</f>
        <v>-0.20000000000000284</v>
      </c>
    </row>
    <row r="9" spans="3:9" ht="19.5" x14ac:dyDescent="0.15">
      <c r="C9" s="49"/>
      <c r="D9" s="50"/>
      <c r="E9" s="19" t="s">
        <v>10</v>
      </c>
      <c r="F9" s="19">
        <v>102.2</v>
      </c>
      <c r="G9" s="51"/>
      <c r="H9" s="19">
        <v>102.5</v>
      </c>
      <c r="I9" s="51"/>
    </row>
    <row r="10" spans="3:9" ht="21" customHeight="1" x14ac:dyDescent="0.15">
      <c r="C10" s="49"/>
      <c r="D10" s="49">
        <v>12.7</v>
      </c>
      <c r="E10" s="18" t="s">
        <v>9</v>
      </c>
      <c r="F10" s="18">
        <v>101.2</v>
      </c>
      <c r="G10" s="52">
        <f>F10-F11</f>
        <v>-0.79999999999999716</v>
      </c>
      <c r="H10" s="18">
        <v>102.2</v>
      </c>
      <c r="I10" s="52">
        <f>H10-H11</f>
        <v>-9.9999999999994316E-2</v>
      </c>
    </row>
    <row r="11" spans="3:9" ht="19.5" x14ac:dyDescent="0.15">
      <c r="C11" s="49"/>
      <c r="D11" s="49"/>
      <c r="E11" s="18" t="s">
        <v>10</v>
      </c>
      <c r="F11" s="21">
        <v>102</v>
      </c>
      <c r="G11" s="52"/>
      <c r="H11" s="18">
        <v>102.3</v>
      </c>
      <c r="I11" s="52"/>
    </row>
    <row r="12" spans="3:9" ht="21" customHeight="1" x14ac:dyDescent="0.15">
      <c r="C12" s="49" t="s">
        <v>12</v>
      </c>
      <c r="D12" s="53">
        <v>1.3</v>
      </c>
      <c r="E12" s="19" t="s">
        <v>9</v>
      </c>
      <c r="F12" s="19">
        <v>104.3</v>
      </c>
      <c r="G12" s="51">
        <f>F12-F13</f>
        <v>1.8999999999999915</v>
      </c>
      <c r="H12" s="19">
        <v>105.3</v>
      </c>
      <c r="I12" s="51">
        <f>H12-H13</f>
        <v>0.89999999999999147</v>
      </c>
    </row>
    <row r="13" spans="3:9" ht="19.5" x14ac:dyDescent="0.15">
      <c r="C13" s="49"/>
      <c r="D13" s="50"/>
      <c r="E13" s="19" t="s">
        <v>10</v>
      </c>
      <c r="F13" s="19">
        <v>102.4</v>
      </c>
      <c r="G13" s="51"/>
      <c r="H13" s="19">
        <v>104.4</v>
      </c>
      <c r="I13" s="51"/>
    </row>
    <row r="14" spans="3:9" ht="21" customHeight="1" x14ac:dyDescent="0.15">
      <c r="C14" s="49"/>
      <c r="D14" s="49">
        <v>12.21</v>
      </c>
      <c r="E14" s="18" t="s">
        <v>9</v>
      </c>
      <c r="F14" s="21">
        <v>104.2</v>
      </c>
      <c r="G14" s="52">
        <f>F14-F15</f>
        <v>2.2000000000000028</v>
      </c>
      <c r="H14" s="18">
        <v>104.9</v>
      </c>
      <c r="I14" s="52">
        <f>H14-H15</f>
        <v>1.1000000000000085</v>
      </c>
    </row>
    <row r="15" spans="3:9" ht="19.5" x14ac:dyDescent="0.15">
      <c r="C15" s="49"/>
      <c r="D15" s="49"/>
      <c r="E15" s="18" t="s">
        <v>10</v>
      </c>
      <c r="F15" s="21">
        <v>102</v>
      </c>
      <c r="G15" s="52"/>
      <c r="H15" s="18">
        <v>103.8</v>
      </c>
      <c r="I15" s="52"/>
    </row>
    <row r="16" spans="3:9" ht="21" customHeight="1" x14ac:dyDescent="0.15">
      <c r="C16" s="49" t="s">
        <v>21</v>
      </c>
      <c r="D16" s="50">
        <v>1.7</v>
      </c>
      <c r="E16" s="19" t="s">
        <v>9</v>
      </c>
      <c r="F16" s="19">
        <v>102.3</v>
      </c>
      <c r="G16" s="51">
        <f t="shared" ref="G16:G20" si="0">F16-F17</f>
        <v>0.79999999999999716</v>
      </c>
      <c r="H16" s="19">
        <v>103.1</v>
      </c>
      <c r="I16" s="51">
        <f t="shared" ref="I16:I20" si="1">H16-H17</f>
        <v>-0.30000000000001137</v>
      </c>
    </row>
    <row r="17" spans="3:9" ht="19.5" x14ac:dyDescent="0.15">
      <c r="C17" s="49"/>
      <c r="D17" s="50"/>
      <c r="E17" s="19" t="s">
        <v>10</v>
      </c>
      <c r="F17" s="19">
        <v>101.5</v>
      </c>
      <c r="G17" s="51"/>
      <c r="H17" s="19">
        <v>103.4</v>
      </c>
      <c r="I17" s="51"/>
    </row>
    <row r="18" spans="3:9" ht="19.5" x14ac:dyDescent="0.15">
      <c r="C18" s="49"/>
      <c r="D18" s="49">
        <v>12.7</v>
      </c>
      <c r="E18" s="18" t="s">
        <v>9</v>
      </c>
      <c r="F18" s="18">
        <v>102.1</v>
      </c>
      <c r="G18" s="52">
        <f t="shared" si="0"/>
        <v>9.9999999999994316E-2</v>
      </c>
      <c r="H18" s="18">
        <v>103.2</v>
      </c>
      <c r="I18" s="52">
        <f t="shared" si="1"/>
        <v>-0.5</v>
      </c>
    </row>
    <row r="19" spans="3:9" ht="19.5" x14ac:dyDescent="0.15">
      <c r="C19" s="49"/>
      <c r="D19" s="49"/>
      <c r="E19" s="18" t="s">
        <v>10</v>
      </c>
      <c r="F19" s="21">
        <v>102</v>
      </c>
      <c r="G19" s="52"/>
      <c r="H19" s="18">
        <v>103.7</v>
      </c>
      <c r="I19" s="52"/>
    </row>
    <row r="20" spans="3:9" ht="21" customHeight="1" x14ac:dyDescent="0.15">
      <c r="C20" s="49" t="s">
        <v>14</v>
      </c>
      <c r="D20" s="50">
        <v>1.1100000000000001</v>
      </c>
      <c r="E20" s="19" t="s">
        <v>9</v>
      </c>
      <c r="F20" s="19">
        <v>101.1</v>
      </c>
      <c r="G20" s="51">
        <f t="shared" si="0"/>
        <v>-1.5</v>
      </c>
      <c r="H20" s="19">
        <v>103.3</v>
      </c>
      <c r="I20" s="51">
        <f t="shared" si="1"/>
        <v>-0.29999999999999716</v>
      </c>
    </row>
    <row r="21" spans="3:9" ht="19.5" x14ac:dyDescent="0.15">
      <c r="C21" s="49"/>
      <c r="D21" s="50"/>
      <c r="E21" s="19" t="s">
        <v>10</v>
      </c>
      <c r="F21" s="19">
        <v>102.6</v>
      </c>
      <c r="G21" s="51"/>
      <c r="H21" s="19">
        <v>103.6</v>
      </c>
      <c r="I21" s="51"/>
    </row>
    <row r="22" spans="3:9" ht="19.5" x14ac:dyDescent="0.15">
      <c r="C22" s="49"/>
      <c r="D22" s="49">
        <v>12.6</v>
      </c>
      <c r="E22" s="18" t="s">
        <v>9</v>
      </c>
      <c r="F22" s="18">
        <v>101.2</v>
      </c>
      <c r="G22" s="52">
        <f>F22-F23</f>
        <v>-1.5999999999999943</v>
      </c>
      <c r="H22" s="18">
        <v>103.2</v>
      </c>
      <c r="I22" s="52">
        <f>H22-H23</f>
        <v>-0.5</v>
      </c>
    </row>
    <row r="23" spans="3:9" ht="19.5" x14ac:dyDescent="0.15">
      <c r="C23" s="49"/>
      <c r="D23" s="49"/>
      <c r="E23" s="18" t="s">
        <v>10</v>
      </c>
      <c r="F23" s="18">
        <v>102.8</v>
      </c>
      <c r="G23" s="52"/>
      <c r="H23" s="18">
        <v>103.7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C2:I23"/>
  <sheetViews>
    <sheetView workbookViewId="0">
      <selection activeCell="M20" sqref="M20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17</v>
      </c>
      <c r="G3" s="17" t="s">
        <v>18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2.15</v>
      </c>
      <c r="E4" s="19" t="s">
        <v>9</v>
      </c>
      <c r="F4" s="19">
        <v>101.9</v>
      </c>
      <c r="G4" s="51">
        <f t="shared" ref="G4:G8" si="0">F4-F5</f>
        <v>0.20000000000000284</v>
      </c>
      <c r="H4" s="19">
        <v>103.8</v>
      </c>
      <c r="I4" s="51">
        <f t="shared" ref="I4:I8" si="1">H4-H5</f>
        <v>0.79999999999999716</v>
      </c>
    </row>
    <row r="5" spans="3:9" ht="19.5" x14ac:dyDescent="0.15">
      <c r="C5" s="49"/>
      <c r="D5" s="50"/>
      <c r="E5" s="19" t="s">
        <v>10</v>
      </c>
      <c r="F5" s="19">
        <v>101.7</v>
      </c>
      <c r="G5" s="51"/>
      <c r="H5" s="19">
        <v>103</v>
      </c>
      <c r="I5" s="51"/>
    </row>
    <row r="6" spans="3:9" ht="21" customHeight="1" x14ac:dyDescent="0.15">
      <c r="C6" s="49"/>
      <c r="D6" s="49">
        <v>1.1399999999999999</v>
      </c>
      <c r="E6" s="18" t="s">
        <v>9</v>
      </c>
      <c r="F6" s="18">
        <v>101.6</v>
      </c>
      <c r="G6" s="52">
        <v>-0.100000000000009</v>
      </c>
      <c r="H6" s="18">
        <v>103.5</v>
      </c>
      <c r="I6" s="52">
        <v>0.5</v>
      </c>
    </row>
    <row r="7" spans="3:9" ht="19.5" x14ac:dyDescent="0.15">
      <c r="C7" s="49"/>
      <c r="D7" s="49"/>
      <c r="E7" s="18" t="s">
        <v>10</v>
      </c>
      <c r="F7" s="18">
        <v>101.7</v>
      </c>
      <c r="G7" s="52"/>
      <c r="H7" s="18">
        <v>103</v>
      </c>
      <c r="I7" s="52"/>
    </row>
    <row r="8" spans="3:9" ht="21" customHeight="1" x14ac:dyDescent="0.15">
      <c r="C8" s="49" t="s">
        <v>11</v>
      </c>
      <c r="D8" s="50">
        <v>2.7</v>
      </c>
      <c r="E8" s="19" t="s">
        <v>9</v>
      </c>
      <c r="F8" s="19">
        <v>101.2</v>
      </c>
      <c r="G8" s="51">
        <f t="shared" si="0"/>
        <v>-0.79999999999999716</v>
      </c>
      <c r="H8" s="19">
        <v>102.3</v>
      </c>
      <c r="I8" s="51">
        <f t="shared" si="1"/>
        <v>-0.10000000000000853</v>
      </c>
    </row>
    <row r="9" spans="3:9" ht="19.5" x14ac:dyDescent="0.15">
      <c r="C9" s="49"/>
      <c r="D9" s="50"/>
      <c r="E9" s="19" t="s">
        <v>10</v>
      </c>
      <c r="F9" s="20">
        <v>102</v>
      </c>
      <c r="G9" s="51"/>
      <c r="H9" s="19">
        <v>102.4</v>
      </c>
      <c r="I9" s="51"/>
    </row>
    <row r="10" spans="3:9" ht="21" customHeight="1" x14ac:dyDescent="0.15">
      <c r="C10" s="49"/>
      <c r="D10" s="49">
        <v>1.7</v>
      </c>
      <c r="E10" s="18" t="s">
        <v>9</v>
      </c>
      <c r="F10" s="18">
        <v>101.3</v>
      </c>
      <c r="G10" s="52">
        <v>-0.90000000000000602</v>
      </c>
      <c r="H10" s="18">
        <v>102.3</v>
      </c>
      <c r="I10" s="52">
        <v>-0.20000000000000301</v>
      </c>
    </row>
    <row r="11" spans="3:9" ht="19.5" x14ac:dyDescent="0.15">
      <c r="C11" s="49"/>
      <c r="D11" s="49"/>
      <c r="E11" s="18" t="s">
        <v>10</v>
      </c>
      <c r="F11" s="21">
        <v>102.2</v>
      </c>
      <c r="G11" s="52"/>
      <c r="H11" s="18">
        <v>102.5</v>
      </c>
      <c r="I11" s="52"/>
    </row>
    <row r="12" spans="3:9" ht="21" customHeight="1" x14ac:dyDescent="0.15">
      <c r="C12" s="49" t="s">
        <v>12</v>
      </c>
      <c r="D12" s="53">
        <v>2.2799999999999998</v>
      </c>
      <c r="E12" s="19" t="s">
        <v>9</v>
      </c>
      <c r="F12" s="19">
        <v>104.4</v>
      </c>
      <c r="G12" s="51">
        <f>F12-F13</f>
        <v>1.9000000000000057</v>
      </c>
      <c r="H12" s="19">
        <v>105.3</v>
      </c>
      <c r="I12" s="51">
        <f>H12-H13</f>
        <v>0.89999999999999147</v>
      </c>
    </row>
    <row r="13" spans="3:9" ht="19.5" x14ac:dyDescent="0.15">
      <c r="C13" s="49"/>
      <c r="D13" s="50"/>
      <c r="E13" s="19" t="s">
        <v>10</v>
      </c>
      <c r="F13" s="19">
        <v>102.5</v>
      </c>
      <c r="G13" s="51"/>
      <c r="H13" s="19">
        <v>104.4</v>
      </c>
      <c r="I13" s="51"/>
    </row>
    <row r="14" spans="3:9" ht="21" customHeight="1" x14ac:dyDescent="0.15">
      <c r="C14" s="49"/>
      <c r="D14" s="49">
        <v>1.3</v>
      </c>
      <c r="E14" s="18" t="s">
        <v>9</v>
      </c>
      <c r="F14" s="21">
        <v>104.3</v>
      </c>
      <c r="G14" s="52">
        <v>1.8999999999999899</v>
      </c>
      <c r="H14" s="18">
        <v>105.3</v>
      </c>
      <c r="I14" s="52">
        <v>0.89999999999999103</v>
      </c>
    </row>
    <row r="15" spans="3:9" ht="19.5" x14ac:dyDescent="0.15">
      <c r="C15" s="49"/>
      <c r="D15" s="49"/>
      <c r="E15" s="18" t="s">
        <v>10</v>
      </c>
      <c r="F15" s="21">
        <v>102.4</v>
      </c>
      <c r="G15" s="52"/>
      <c r="H15" s="18">
        <v>104.4</v>
      </c>
      <c r="I15" s="52"/>
    </row>
    <row r="16" spans="3:9" ht="21" customHeight="1" x14ac:dyDescent="0.15">
      <c r="C16" s="49" t="s">
        <v>21</v>
      </c>
      <c r="D16" s="50">
        <v>2.8</v>
      </c>
      <c r="E16" s="19" t="s">
        <v>9</v>
      </c>
      <c r="F16" s="20">
        <v>102.1</v>
      </c>
      <c r="G16" s="51">
        <f t="shared" ref="G16:G20" si="2">F16-F17</f>
        <v>1.8999999999999915</v>
      </c>
      <c r="H16" s="20">
        <v>103</v>
      </c>
      <c r="I16" s="51">
        <f t="shared" ref="I16:I20" si="3">H16-H17</f>
        <v>1.4000000000000057</v>
      </c>
    </row>
    <row r="17" spans="3:9" ht="19.5" x14ac:dyDescent="0.15">
      <c r="C17" s="49"/>
      <c r="D17" s="50"/>
      <c r="E17" s="19" t="s">
        <v>10</v>
      </c>
      <c r="F17" s="19">
        <v>100.2</v>
      </c>
      <c r="G17" s="51"/>
      <c r="H17" s="19">
        <v>101.6</v>
      </c>
      <c r="I17" s="51"/>
    </row>
    <row r="18" spans="3:9" ht="19.5" x14ac:dyDescent="0.15">
      <c r="C18" s="49"/>
      <c r="D18" s="49">
        <v>1.7</v>
      </c>
      <c r="E18" s="18" t="s">
        <v>9</v>
      </c>
      <c r="F18" s="18">
        <v>102.3</v>
      </c>
      <c r="G18" s="52">
        <v>0.79999999999999705</v>
      </c>
      <c r="H18" s="18">
        <v>103.1</v>
      </c>
      <c r="I18" s="52">
        <v>-0.30000000000001098</v>
      </c>
    </row>
    <row r="19" spans="3:9" ht="19.5" x14ac:dyDescent="0.15">
      <c r="C19" s="49"/>
      <c r="D19" s="49"/>
      <c r="E19" s="18" t="s">
        <v>10</v>
      </c>
      <c r="F19" s="21">
        <v>101.5</v>
      </c>
      <c r="G19" s="52"/>
      <c r="H19" s="18">
        <v>103.4</v>
      </c>
      <c r="I19" s="52"/>
    </row>
    <row r="20" spans="3:9" ht="21" customHeight="1" x14ac:dyDescent="0.15">
      <c r="C20" s="49" t="s">
        <v>14</v>
      </c>
      <c r="D20" s="50">
        <v>2.13</v>
      </c>
      <c r="E20" s="19" t="s">
        <v>9</v>
      </c>
      <c r="F20" s="19">
        <v>101.3</v>
      </c>
      <c r="G20" s="51">
        <f t="shared" si="2"/>
        <v>-1.6000000000000085</v>
      </c>
      <c r="H20" s="19">
        <v>103.3</v>
      </c>
      <c r="I20" s="51">
        <f t="shared" si="3"/>
        <v>-0.79999999999999716</v>
      </c>
    </row>
    <row r="21" spans="3:9" ht="19.5" x14ac:dyDescent="0.15">
      <c r="C21" s="49"/>
      <c r="D21" s="50"/>
      <c r="E21" s="19" t="s">
        <v>10</v>
      </c>
      <c r="F21" s="19">
        <v>102.9</v>
      </c>
      <c r="G21" s="51"/>
      <c r="H21" s="19">
        <v>104.1</v>
      </c>
      <c r="I21" s="51"/>
    </row>
    <row r="22" spans="3:9" ht="19.5" x14ac:dyDescent="0.15">
      <c r="C22" s="49"/>
      <c r="D22" s="49">
        <v>1.1100000000000001</v>
      </c>
      <c r="E22" s="18" t="s">
        <v>9</v>
      </c>
      <c r="F22" s="18">
        <v>101.1</v>
      </c>
      <c r="G22" s="52">
        <v>-1.5</v>
      </c>
      <c r="H22" s="18">
        <v>103.3</v>
      </c>
      <c r="I22" s="52">
        <v>-0.29999999999999699</v>
      </c>
    </row>
    <row r="23" spans="3:9" ht="19.5" x14ac:dyDescent="0.15">
      <c r="C23" s="49"/>
      <c r="D23" s="49"/>
      <c r="E23" s="18" t="s">
        <v>10</v>
      </c>
      <c r="F23" s="18">
        <v>102.6</v>
      </c>
      <c r="G23" s="52"/>
      <c r="H23" s="18">
        <v>103.6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C2:I23"/>
  <sheetViews>
    <sheetView workbookViewId="0">
      <selection activeCell="N15" sqref="N15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22</v>
      </c>
      <c r="G3" s="17" t="s">
        <v>23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3.14</v>
      </c>
      <c r="E4" s="19" t="s">
        <v>9</v>
      </c>
      <c r="F4" s="19">
        <v>102.7</v>
      </c>
      <c r="G4" s="51">
        <f>F4-F5</f>
        <v>-0.31000000000000227</v>
      </c>
      <c r="H4" s="19">
        <v>102.86</v>
      </c>
      <c r="I4" s="51">
        <f>H4-H5</f>
        <v>-0.32000000000000739</v>
      </c>
    </row>
    <row r="5" spans="3:9" ht="19.5" x14ac:dyDescent="0.15">
      <c r="C5" s="49"/>
      <c r="D5" s="50"/>
      <c r="E5" s="19" t="s">
        <v>10</v>
      </c>
      <c r="F5" s="19">
        <v>103.01</v>
      </c>
      <c r="G5" s="51"/>
      <c r="H5" s="19">
        <v>103.18</v>
      </c>
      <c r="I5" s="51"/>
    </row>
    <row r="6" spans="3:9" ht="21" customHeight="1" x14ac:dyDescent="0.15">
      <c r="C6" s="49"/>
      <c r="D6" s="49">
        <v>2.15</v>
      </c>
      <c r="E6" s="18" t="s">
        <v>9</v>
      </c>
      <c r="F6" s="18"/>
      <c r="G6" s="52"/>
      <c r="H6" s="18">
        <v>103.8</v>
      </c>
      <c r="I6" s="52">
        <v>0.79999999999999705</v>
      </c>
    </row>
    <row r="7" spans="3:9" ht="19.5" x14ac:dyDescent="0.15">
      <c r="C7" s="49"/>
      <c r="D7" s="49"/>
      <c r="E7" s="18" t="s">
        <v>10</v>
      </c>
      <c r="F7" s="18"/>
      <c r="G7" s="52"/>
      <c r="H7" s="18">
        <v>103</v>
      </c>
      <c r="I7" s="52"/>
    </row>
    <row r="8" spans="3:9" ht="21" customHeight="1" x14ac:dyDescent="0.15">
      <c r="C8" s="49" t="s">
        <v>11</v>
      </c>
      <c r="D8" s="50">
        <v>3.7</v>
      </c>
      <c r="E8" s="19" t="s">
        <v>9</v>
      </c>
      <c r="F8" s="19">
        <v>101.35</v>
      </c>
      <c r="G8" s="51">
        <f>F8-F9</f>
        <v>-0.87000000000000455</v>
      </c>
      <c r="H8" s="19">
        <v>102.16</v>
      </c>
      <c r="I8" s="51">
        <f>H8-H9</f>
        <v>-0.28000000000000114</v>
      </c>
    </row>
    <row r="9" spans="3:9" ht="19.5" x14ac:dyDescent="0.15">
      <c r="C9" s="49"/>
      <c r="D9" s="50"/>
      <c r="E9" s="19" t="s">
        <v>10</v>
      </c>
      <c r="F9" s="20">
        <v>102.22</v>
      </c>
      <c r="G9" s="51"/>
      <c r="H9" s="19">
        <v>102.44</v>
      </c>
      <c r="I9" s="51"/>
    </row>
    <row r="10" spans="3:9" ht="21" customHeight="1" x14ac:dyDescent="0.15">
      <c r="C10" s="49"/>
      <c r="D10" s="49">
        <v>2.7</v>
      </c>
      <c r="E10" s="18" t="s">
        <v>9</v>
      </c>
      <c r="F10" s="18"/>
      <c r="G10" s="52"/>
      <c r="H10" s="18">
        <v>102.3</v>
      </c>
      <c r="I10" s="52">
        <v>-0.100000000000009</v>
      </c>
    </row>
    <row r="11" spans="3:9" ht="19.5" x14ac:dyDescent="0.15">
      <c r="C11" s="49"/>
      <c r="D11" s="49"/>
      <c r="E11" s="18" t="s">
        <v>10</v>
      </c>
      <c r="F11" s="21"/>
      <c r="G11" s="52"/>
      <c r="H11" s="18">
        <v>102.4</v>
      </c>
      <c r="I11" s="52"/>
    </row>
    <row r="12" spans="3:9" ht="21" customHeight="1" x14ac:dyDescent="0.15">
      <c r="C12" s="49" t="s">
        <v>12</v>
      </c>
      <c r="D12" s="53">
        <v>2.2799999999999998</v>
      </c>
      <c r="E12" s="19" t="s">
        <v>9</v>
      </c>
      <c r="F12" s="19">
        <v>104</v>
      </c>
      <c r="G12" s="51">
        <f>F12-F13</f>
        <v>-9.9999999999994316E-2</v>
      </c>
      <c r="H12" s="19">
        <v>105.3</v>
      </c>
      <c r="I12" s="51">
        <f>H12-H13</f>
        <v>0.79999999999999716</v>
      </c>
    </row>
    <row r="13" spans="3:9" ht="19.5" x14ac:dyDescent="0.15">
      <c r="C13" s="49"/>
      <c r="D13" s="50"/>
      <c r="E13" s="19" t="s">
        <v>10</v>
      </c>
      <c r="F13" s="19">
        <v>104.1</v>
      </c>
      <c r="G13" s="51"/>
      <c r="H13" s="19">
        <v>104.5</v>
      </c>
      <c r="I13" s="51"/>
    </row>
    <row r="14" spans="3:9" ht="21" customHeight="1" x14ac:dyDescent="0.15">
      <c r="C14" s="49"/>
      <c r="D14" s="49">
        <v>2.2799999999999998</v>
      </c>
      <c r="E14" s="18" t="s">
        <v>9</v>
      </c>
      <c r="F14" s="21"/>
      <c r="G14" s="52"/>
      <c r="H14" s="18">
        <v>105.3</v>
      </c>
      <c r="I14" s="52">
        <v>0.89999999999999103</v>
      </c>
    </row>
    <row r="15" spans="3:9" ht="19.5" x14ac:dyDescent="0.15">
      <c r="C15" s="49"/>
      <c r="D15" s="49"/>
      <c r="E15" s="18" t="s">
        <v>10</v>
      </c>
      <c r="F15" s="21"/>
      <c r="G15" s="52"/>
      <c r="H15" s="18">
        <v>104.4</v>
      </c>
      <c r="I15" s="52"/>
    </row>
    <row r="16" spans="3:9" ht="21" customHeight="1" x14ac:dyDescent="0.15">
      <c r="C16" s="49" t="s">
        <v>21</v>
      </c>
      <c r="D16" s="50">
        <v>3.7</v>
      </c>
      <c r="E16" s="19" t="s">
        <v>9</v>
      </c>
      <c r="F16" s="20">
        <v>101.56</v>
      </c>
      <c r="G16" s="51">
        <f>F16-F17</f>
        <v>-1.6599999999999966</v>
      </c>
      <c r="H16" s="20">
        <v>102.65</v>
      </c>
      <c r="I16" s="51">
        <f>H16-H17</f>
        <v>-0.93999999999999773</v>
      </c>
    </row>
    <row r="17" spans="3:9" ht="19.5" x14ac:dyDescent="0.15">
      <c r="C17" s="49"/>
      <c r="D17" s="50"/>
      <c r="E17" s="19" t="s">
        <v>10</v>
      </c>
      <c r="F17" s="19">
        <v>103.22</v>
      </c>
      <c r="G17" s="51"/>
      <c r="H17" s="19">
        <v>103.59</v>
      </c>
      <c r="I17" s="51"/>
    </row>
    <row r="18" spans="3:9" ht="19.5" x14ac:dyDescent="0.15">
      <c r="C18" s="49"/>
      <c r="D18" s="49">
        <v>2.8</v>
      </c>
      <c r="E18" s="18" t="s">
        <v>9</v>
      </c>
      <c r="F18" s="18"/>
      <c r="G18" s="52"/>
      <c r="H18" s="18">
        <v>103</v>
      </c>
      <c r="I18" s="52">
        <v>1.4000000000000099</v>
      </c>
    </row>
    <row r="19" spans="3:9" ht="19.5" x14ac:dyDescent="0.15">
      <c r="C19" s="49"/>
      <c r="D19" s="49"/>
      <c r="E19" s="18" t="s">
        <v>10</v>
      </c>
      <c r="F19" s="21"/>
      <c r="G19" s="52"/>
      <c r="H19" s="18">
        <v>101.6</v>
      </c>
      <c r="I19" s="52"/>
    </row>
    <row r="20" spans="3:9" ht="21" customHeight="1" x14ac:dyDescent="0.15">
      <c r="C20" s="49" t="s">
        <v>14</v>
      </c>
      <c r="D20" s="50">
        <v>3.15</v>
      </c>
      <c r="E20" s="19" t="s">
        <v>9</v>
      </c>
      <c r="F20" s="19">
        <v>101.86</v>
      </c>
      <c r="G20" s="51">
        <f>F20-F21</f>
        <v>-0.70999999999999375</v>
      </c>
      <c r="H20" s="19">
        <v>102.98</v>
      </c>
      <c r="I20" s="51">
        <f>H20-H21</f>
        <v>-0.71999999999999886</v>
      </c>
    </row>
    <row r="21" spans="3:9" ht="19.5" x14ac:dyDescent="0.15">
      <c r="C21" s="49"/>
      <c r="D21" s="50"/>
      <c r="E21" s="19" t="s">
        <v>10</v>
      </c>
      <c r="F21" s="19">
        <v>102.57</v>
      </c>
      <c r="G21" s="51"/>
      <c r="H21" s="19">
        <v>103.7</v>
      </c>
      <c r="I21" s="51"/>
    </row>
    <row r="22" spans="3:9" ht="19.5" x14ac:dyDescent="0.15">
      <c r="C22" s="49"/>
      <c r="D22" s="49">
        <v>2.13</v>
      </c>
      <c r="E22" s="18" t="s">
        <v>9</v>
      </c>
      <c r="F22" s="18"/>
      <c r="G22" s="52"/>
      <c r="H22" s="18">
        <v>103.3</v>
      </c>
      <c r="I22" s="52">
        <v>-0.79999999999999705</v>
      </c>
    </row>
    <row r="23" spans="3:9" ht="19.5" x14ac:dyDescent="0.15">
      <c r="C23" s="49"/>
      <c r="D23" s="49"/>
      <c r="E23" s="18" t="s">
        <v>10</v>
      </c>
      <c r="F23" s="18"/>
      <c r="G23" s="52"/>
      <c r="H23" s="18">
        <v>104.1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C2:I23"/>
  <sheetViews>
    <sheetView workbookViewId="0">
      <selection activeCell="M17" sqref="M17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22</v>
      </c>
      <c r="G3" s="17" t="s">
        <v>23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4.12</v>
      </c>
      <c r="E4" s="19" t="s">
        <v>9</v>
      </c>
      <c r="F4" s="19">
        <v>102.7</v>
      </c>
      <c r="G4" s="51">
        <f>F4-F5</f>
        <v>-0.29999999999999716</v>
      </c>
      <c r="H4" s="19">
        <v>102.9</v>
      </c>
      <c r="I4" s="51">
        <f>H4-H5</f>
        <v>-0.29999999999999716</v>
      </c>
    </row>
    <row r="5" spans="3:9" ht="19.5" x14ac:dyDescent="0.15">
      <c r="C5" s="49"/>
      <c r="D5" s="50"/>
      <c r="E5" s="19" t="s">
        <v>10</v>
      </c>
      <c r="F5" s="19">
        <v>103</v>
      </c>
      <c r="G5" s="51"/>
      <c r="H5" s="19">
        <v>103.2</v>
      </c>
      <c r="I5" s="51"/>
    </row>
    <row r="6" spans="3:9" ht="21" customHeight="1" x14ac:dyDescent="0.15">
      <c r="C6" s="49"/>
      <c r="D6" s="49">
        <v>3.14</v>
      </c>
      <c r="E6" s="18" t="s">
        <v>9</v>
      </c>
      <c r="F6" s="18">
        <v>102.7</v>
      </c>
      <c r="G6" s="52">
        <v>-0.310000000000002</v>
      </c>
      <c r="H6" s="18">
        <v>102.86</v>
      </c>
      <c r="I6" s="52">
        <v>-0.320000000000007</v>
      </c>
    </row>
    <row r="7" spans="3:9" ht="19.5" x14ac:dyDescent="0.15">
      <c r="C7" s="49"/>
      <c r="D7" s="49"/>
      <c r="E7" s="18" t="s">
        <v>10</v>
      </c>
      <c r="F7" s="18">
        <v>103.01</v>
      </c>
      <c r="G7" s="52"/>
      <c r="H7" s="18">
        <v>103.18</v>
      </c>
      <c r="I7" s="52"/>
    </row>
    <row r="8" spans="3:9" ht="21" customHeight="1" x14ac:dyDescent="0.15">
      <c r="C8" s="49" t="s">
        <v>11</v>
      </c>
      <c r="D8" s="50">
        <v>4.7</v>
      </c>
      <c r="E8" s="19" t="s">
        <v>9</v>
      </c>
      <c r="F8" s="19">
        <v>101.79</v>
      </c>
      <c r="G8" s="51">
        <f>F8-F9</f>
        <v>-0.93999999999999773</v>
      </c>
      <c r="H8" s="19">
        <v>102.65</v>
      </c>
      <c r="I8" s="51">
        <f>H8-H9</f>
        <v>-0.25999999999999091</v>
      </c>
    </row>
    <row r="9" spans="3:9" ht="19.5" x14ac:dyDescent="0.15">
      <c r="C9" s="49"/>
      <c r="D9" s="50"/>
      <c r="E9" s="19" t="s">
        <v>10</v>
      </c>
      <c r="F9" s="20">
        <v>102.73</v>
      </c>
      <c r="G9" s="51"/>
      <c r="H9" s="19">
        <v>102.91</v>
      </c>
      <c r="I9" s="51"/>
    </row>
    <row r="10" spans="3:9" ht="21" customHeight="1" x14ac:dyDescent="0.15">
      <c r="C10" s="49"/>
      <c r="D10" s="49">
        <v>3.7</v>
      </c>
      <c r="E10" s="18" t="s">
        <v>9</v>
      </c>
      <c r="F10" s="18">
        <v>101.35</v>
      </c>
      <c r="G10" s="52">
        <v>-0.87000000000000499</v>
      </c>
      <c r="H10" s="18">
        <v>102.16</v>
      </c>
      <c r="I10" s="52">
        <v>-0.28000000000000103</v>
      </c>
    </row>
    <row r="11" spans="3:9" ht="19.5" x14ac:dyDescent="0.15">
      <c r="C11" s="49"/>
      <c r="D11" s="49"/>
      <c r="E11" s="18" t="s">
        <v>10</v>
      </c>
      <c r="F11" s="21">
        <v>102.22</v>
      </c>
      <c r="G11" s="52"/>
      <c r="H11" s="18">
        <v>102.44</v>
      </c>
      <c r="I11" s="52"/>
    </row>
    <row r="12" spans="3:9" ht="21" customHeight="1" x14ac:dyDescent="0.15">
      <c r="C12" s="49" t="s">
        <v>12</v>
      </c>
      <c r="D12" s="53">
        <v>3.28</v>
      </c>
      <c r="E12" s="19" t="s">
        <v>9</v>
      </c>
      <c r="F12" s="19">
        <v>104.88</v>
      </c>
      <c r="G12" s="51">
        <f>F12-F13</f>
        <v>0.93999999999999773</v>
      </c>
      <c r="H12" s="19">
        <v>105.16</v>
      </c>
      <c r="I12" s="51">
        <f>H12-H13</f>
        <v>0.70999999999999375</v>
      </c>
    </row>
    <row r="13" spans="3:9" ht="19.5" x14ac:dyDescent="0.15">
      <c r="C13" s="49"/>
      <c r="D13" s="50"/>
      <c r="E13" s="19" t="s">
        <v>10</v>
      </c>
      <c r="F13" s="19">
        <v>103.94</v>
      </c>
      <c r="G13" s="51"/>
      <c r="H13" s="19">
        <v>104.45</v>
      </c>
      <c r="I13" s="51"/>
    </row>
    <row r="14" spans="3:9" ht="21" customHeight="1" x14ac:dyDescent="0.15">
      <c r="C14" s="49"/>
      <c r="D14" s="49">
        <v>2.2799999999999998</v>
      </c>
      <c r="E14" s="18" t="s">
        <v>9</v>
      </c>
      <c r="F14" s="21">
        <v>104</v>
      </c>
      <c r="G14" s="52">
        <v>-9.9999999999994302E-2</v>
      </c>
      <c r="H14" s="18">
        <v>105.3</v>
      </c>
      <c r="I14" s="52">
        <v>0.79999999999999705</v>
      </c>
    </row>
    <row r="15" spans="3:9" ht="19.5" x14ac:dyDescent="0.15">
      <c r="C15" s="49"/>
      <c r="D15" s="49"/>
      <c r="E15" s="18" t="s">
        <v>10</v>
      </c>
      <c r="F15" s="21">
        <v>104.1</v>
      </c>
      <c r="G15" s="52"/>
      <c r="H15" s="18">
        <v>104.5</v>
      </c>
      <c r="I15" s="52"/>
    </row>
    <row r="16" spans="3:9" ht="21" customHeight="1" x14ac:dyDescent="0.15">
      <c r="C16" s="49" t="s">
        <v>21</v>
      </c>
      <c r="D16" s="50">
        <v>4.7</v>
      </c>
      <c r="E16" s="19" t="s">
        <v>9</v>
      </c>
      <c r="F16" s="20">
        <v>101.49</v>
      </c>
      <c r="G16" s="51">
        <f>F16-F17</f>
        <v>-1.6099999999999994</v>
      </c>
      <c r="H16" s="20">
        <v>102.54</v>
      </c>
      <c r="I16" s="51">
        <f>H16-H17</f>
        <v>-1.0799999999999983</v>
      </c>
    </row>
    <row r="17" spans="3:9" ht="19.5" x14ac:dyDescent="0.15">
      <c r="C17" s="49"/>
      <c r="D17" s="50"/>
      <c r="E17" s="19" t="s">
        <v>10</v>
      </c>
      <c r="F17" s="19">
        <v>103.1</v>
      </c>
      <c r="G17" s="51"/>
      <c r="H17" s="19">
        <v>103.62</v>
      </c>
      <c r="I17" s="51"/>
    </row>
    <row r="18" spans="3:9" ht="19.5" x14ac:dyDescent="0.15">
      <c r="C18" s="49"/>
      <c r="D18" s="49">
        <v>3.7</v>
      </c>
      <c r="E18" s="18" t="s">
        <v>9</v>
      </c>
      <c r="F18" s="18">
        <v>101.56</v>
      </c>
      <c r="G18" s="52">
        <v>-1.66</v>
      </c>
      <c r="H18" s="18">
        <v>102.65</v>
      </c>
      <c r="I18" s="52">
        <v>-0.93999999999999795</v>
      </c>
    </row>
    <row r="19" spans="3:9" ht="19.5" x14ac:dyDescent="0.15">
      <c r="C19" s="49"/>
      <c r="D19" s="49"/>
      <c r="E19" s="18" t="s">
        <v>10</v>
      </c>
      <c r="F19" s="21">
        <v>103.22</v>
      </c>
      <c r="G19" s="52"/>
      <c r="H19" s="18">
        <v>103.59</v>
      </c>
      <c r="I19" s="52"/>
    </row>
    <row r="20" spans="3:9" ht="21" customHeight="1" x14ac:dyDescent="0.15">
      <c r="C20" s="49" t="s">
        <v>14</v>
      </c>
      <c r="D20" s="50">
        <v>4.17</v>
      </c>
      <c r="E20" s="19" t="s">
        <v>9</v>
      </c>
      <c r="F20" s="19">
        <v>101.84</v>
      </c>
      <c r="G20" s="51">
        <f>F20-F21</f>
        <v>-0.65999999999999659</v>
      </c>
      <c r="H20" s="19">
        <v>102.92</v>
      </c>
      <c r="I20" s="51">
        <f>H20-H21</f>
        <v>-0.67999999999999261</v>
      </c>
    </row>
    <row r="21" spans="3:9" ht="19.5" x14ac:dyDescent="0.15">
      <c r="C21" s="49"/>
      <c r="D21" s="50"/>
      <c r="E21" s="19" t="s">
        <v>10</v>
      </c>
      <c r="F21" s="19">
        <v>102.5</v>
      </c>
      <c r="G21" s="51"/>
      <c r="H21" s="22">
        <v>103.6</v>
      </c>
      <c r="I21" s="51"/>
    </row>
    <row r="22" spans="3:9" ht="19.5" x14ac:dyDescent="0.15">
      <c r="C22" s="49"/>
      <c r="D22" s="49">
        <v>3.15</v>
      </c>
      <c r="E22" s="18" t="s">
        <v>9</v>
      </c>
      <c r="F22" s="18">
        <v>101.86</v>
      </c>
      <c r="G22" s="52">
        <v>-0.70999999999999397</v>
      </c>
      <c r="H22" s="18">
        <v>102.98</v>
      </c>
      <c r="I22" s="52">
        <v>-0.71999999999999897</v>
      </c>
    </row>
    <row r="23" spans="3:9" ht="19.5" x14ac:dyDescent="0.15">
      <c r="C23" s="49"/>
      <c r="D23" s="49"/>
      <c r="E23" s="18" t="s">
        <v>10</v>
      </c>
      <c r="F23" s="18">
        <v>102.57</v>
      </c>
      <c r="G23" s="52"/>
      <c r="H23" s="18">
        <v>103.7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C2:I23"/>
  <sheetViews>
    <sheetView workbookViewId="0">
      <selection activeCell="L21" sqref="L21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24</v>
      </c>
      <c r="G3" s="17" t="s">
        <v>25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7.11</v>
      </c>
      <c r="E4" s="19" t="s">
        <v>9</v>
      </c>
      <c r="F4" s="19">
        <v>103.5</v>
      </c>
      <c r="G4" s="51">
        <f t="shared" ref="G4:G8" si="0">F4-F5</f>
        <v>-0.59999999999999432</v>
      </c>
      <c r="H4" s="19">
        <v>103</v>
      </c>
      <c r="I4" s="51">
        <f t="shared" ref="I4:I8" si="1">H4-H5</f>
        <v>-9.9999999999994316E-2</v>
      </c>
    </row>
    <row r="5" spans="3:9" ht="19.5" x14ac:dyDescent="0.15">
      <c r="C5" s="49"/>
      <c r="D5" s="50"/>
      <c r="E5" s="19" t="s">
        <v>10</v>
      </c>
      <c r="F5" s="19">
        <v>104.1</v>
      </c>
      <c r="G5" s="51"/>
      <c r="H5" s="19">
        <v>103.1</v>
      </c>
      <c r="I5" s="51"/>
    </row>
    <row r="6" spans="3:9" ht="21" customHeight="1" x14ac:dyDescent="0.15">
      <c r="C6" s="49"/>
      <c r="D6" s="49">
        <v>6.12</v>
      </c>
      <c r="E6" s="18" t="s">
        <v>9</v>
      </c>
      <c r="F6" s="18">
        <v>103.4</v>
      </c>
      <c r="G6" s="52">
        <v>-0.79999999999999705</v>
      </c>
      <c r="H6" s="18">
        <v>102.9</v>
      </c>
      <c r="I6" s="52">
        <v>-0.29999999999999699</v>
      </c>
    </row>
    <row r="7" spans="3:9" ht="19.5" x14ac:dyDescent="0.15">
      <c r="C7" s="49"/>
      <c r="D7" s="49"/>
      <c r="E7" s="18" t="s">
        <v>10</v>
      </c>
      <c r="F7" s="18">
        <v>104.2</v>
      </c>
      <c r="G7" s="52"/>
      <c r="H7" s="18">
        <v>103.2</v>
      </c>
      <c r="I7" s="52"/>
    </row>
    <row r="8" spans="3:9" ht="21" customHeight="1" x14ac:dyDescent="0.15">
      <c r="C8" s="49" t="s">
        <v>11</v>
      </c>
      <c r="D8" s="50">
        <v>7.9</v>
      </c>
      <c r="E8" s="19" t="s">
        <v>9</v>
      </c>
      <c r="F8" s="19">
        <v>102.73</v>
      </c>
      <c r="G8" s="51">
        <f t="shared" si="0"/>
        <v>-0.8399999999999892</v>
      </c>
      <c r="H8" s="19">
        <v>102.42</v>
      </c>
      <c r="I8" s="51">
        <f t="shared" si="1"/>
        <v>-0.5</v>
      </c>
    </row>
    <row r="9" spans="3:9" ht="19.5" x14ac:dyDescent="0.15">
      <c r="C9" s="49"/>
      <c r="D9" s="50"/>
      <c r="E9" s="19" t="s">
        <v>10</v>
      </c>
      <c r="F9" s="20">
        <v>103.57</v>
      </c>
      <c r="G9" s="51"/>
      <c r="H9" s="19">
        <v>102.92</v>
      </c>
      <c r="I9" s="51"/>
    </row>
    <row r="10" spans="3:9" ht="21" customHeight="1" x14ac:dyDescent="0.15">
      <c r="C10" s="49"/>
      <c r="D10" s="49">
        <v>6.11</v>
      </c>
      <c r="E10" s="18" t="s">
        <v>9</v>
      </c>
      <c r="F10" s="18">
        <v>103.01</v>
      </c>
      <c r="G10" s="52">
        <v>-0.56999999999999296</v>
      </c>
      <c r="H10" s="18">
        <v>102.57</v>
      </c>
      <c r="I10" s="52">
        <v>-0.42000000000000198</v>
      </c>
    </row>
    <row r="11" spans="3:9" ht="19.5" x14ac:dyDescent="0.15">
      <c r="C11" s="49"/>
      <c r="D11" s="49"/>
      <c r="E11" s="18" t="s">
        <v>10</v>
      </c>
      <c r="F11" s="21">
        <v>103.58</v>
      </c>
      <c r="G11" s="52"/>
      <c r="H11" s="18">
        <v>102.99</v>
      </c>
      <c r="I11" s="52"/>
    </row>
    <row r="12" spans="3:9" ht="21" customHeight="1" x14ac:dyDescent="0.15">
      <c r="C12" s="49" t="s">
        <v>12</v>
      </c>
      <c r="D12" s="53">
        <v>7.3</v>
      </c>
      <c r="E12" s="19" t="s">
        <v>9</v>
      </c>
      <c r="F12" s="19">
        <v>103.82</v>
      </c>
      <c r="G12" s="51">
        <f>F12-F13</f>
        <v>-2.5900000000000034</v>
      </c>
      <c r="H12" s="19">
        <v>103.72</v>
      </c>
      <c r="I12" s="51">
        <f>H12-H13</f>
        <v>-1</v>
      </c>
    </row>
    <row r="13" spans="3:9" ht="19.5" x14ac:dyDescent="0.15">
      <c r="C13" s="49"/>
      <c r="D13" s="50"/>
      <c r="E13" s="19" t="s">
        <v>10</v>
      </c>
      <c r="F13" s="19">
        <v>106.41</v>
      </c>
      <c r="G13" s="51"/>
      <c r="H13" s="19">
        <v>104.72</v>
      </c>
      <c r="I13" s="51"/>
    </row>
    <row r="14" spans="3:9" ht="21" customHeight="1" x14ac:dyDescent="0.15">
      <c r="C14" s="49"/>
      <c r="D14" s="54" t="s">
        <v>29</v>
      </c>
      <c r="E14" s="18" t="s">
        <v>9</v>
      </c>
      <c r="F14" s="21">
        <v>104.65</v>
      </c>
      <c r="G14" s="52">
        <v>-1.5699999999999901</v>
      </c>
      <c r="H14" s="18">
        <v>104.19</v>
      </c>
      <c r="I14" s="52">
        <v>-0.48000000000000398</v>
      </c>
    </row>
    <row r="15" spans="3:9" ht="19.5" x14ac:dyDescent="0.15">
      <c r="C15" s="49"/>
      <c r="D15" s="54"/>
      <c r="E15" s="18" t="s">
        <v>10</v>
      </c>
      <c r="F15" s="21">
        <v>106.22</v>
      </c>
      <c r="G15" s="52"/>
      <c r="H15" s="18">
        <v>104.67</v>
      </c>
      <c r="I15" s="52"/>
    </row>
    <row r="16" spans="3:9" ht="21" customHeight="1" x14ac:dyDescent="0.15">
      <c r="C16" s="49" t="s">
        <v>21</v>
      </c>
      <c r="D16" s="50">
        <v>7.7</v>
      </c>
      <c r="E16" s="19" t="s">
        <v>9</v>
      </c>
      <c r="F16" s="20">
        <v>101.85</v>
      </c>
      <c r="G16" s="51">
        <f t="shared" ref="G16:G20" si="2">F16-F17</f>
        <v>-2.710000000000008</v>
      </c>
      <c r="H16" s="20">
        <v>102.2</v>
      </c>
      <c r="I16" s="51">
        <f t="shared" ref="I16:I20" si="3">H16-H17</f>
        <v>-1.039999999999992</v>
      </c>
    </row>
    <row r="17" spans="3:9" ht="19.5" x14ac:dyDescent="0.15">
      <c r="C17" s="49"/>
      <c r="D17" s="50"/>
      <c r="E17" s="19" t="s">
        <v>10</v>
      </c>
      <c r="F17" s="19">
        <v>104.56</v>
      </c>
      <c r="G17" s="51"/>
      <c r="H17" s="19">
        <v>103.24</v>
      </c>
      <c r="I17" s="51"/>
    </row>
    <row r="18" spans="3:9" ht="19.5" x14ac:dyDescent="0.15">
      <c r="C18" s="49"/>
      <c r="D18" s="54">
        <v>6.7</v>
      </c>
      <c r="E18" s="18" t="s">
        <v>9</v>
      </c>
      <c r="F18" s="18">
        <v>101.21</v>
      </c>
      <c r="G18" s="52">
        <v>-1.55000000000001</v>
      </c>
      <c r="H18" s="18">
        <v>102.14</v>
      </c>
      <c r="I18" s="52">
        <v>-1.1500000000000099</v>
      </c>
    </row>
    <row r="19" spans="3:9" ht="19.5" x14ac:dyDescent="0.15">
      <c r="C19" s="49"/>
      <c r="D19" s="54"/>
      <c r="E19" s="18" t="s">
        <v>10</v>
      </c>
      <c r="F19" s="21">
        <v>102.76</v>
      </c>
      <c r="G19" s="52"/>
      <c r="H19" s="18">
        <v>103.29</v>
      </c>
      <c r="I19" s="52"/>
    </row>
    <row r="20" spans="3:9" ht="21" customHeight="1" x14ac:dyDescent="0.15">
      <c r="C20" s="49" t="s">
        <v>14</v>
      </c>
      <c r="D20" s="55" t="s">
        <v>30</v>
      </c>
      <c r="E20" s="19" t="s">
        <v>9</v>
      </c>
      <c r="F20" s="19">
        <v>103</v>
      </c>
      <c r="G20" s="51">
        <f t="shared" si="2"/>
        <v>-2.230000000000004</v>
      </c>
      <c r="H20" s="19">
        <v>102.7</v>
      </c>
      <c r="I20" s="51">
        <f t="shared" si="3"/>
        <v>-1</v>
      </c>
    </row>
    <row r="21" spans="3:9" ht="19.5" x14ac:dyDescent="0.15">
      <c r="C21" s="49"/>
      <c r="D21" s="55"/>
      <c r="E21" s="19" t="s">
        <v>10</v>
      </c>
      <c r="F21" s="19">
        <v>105.23</v>
      </c>
      <c r="G21" s="51"/>
      <c r="H21" s="22">
        <v>103.7</v>
      </c>
      <c r="I21" s="51"/>
    </row>
    <row r="22" spans="3:9" ht="19.5" x14ac:dyDescent="0.15">
      <c r="C22" s="49"/>
      <c r="D22" s="49" t="s">
        <v>28</v>
      </c>
      <c r="E22" s="18" t="s">
        <v>9</v>
      </c>
      <c r="F22" s="18">
        <v>102.8</v>
      </c>
      <c r="G22" s="52">
        <v>-2.5</v>
      </c>
      <c r="H22" s="18">
        <v>102.33</v>
      </c>
      <c r="I22" s="52">
        <v>-1.37</v>
      </c>
    </row>
    <row r="23" spans="3:9" ht="19.5" x14ac:dyDescent="0.15">
      <c r="C23" s="49"/>
      <c r="D23" s="49"/>
      <c r="E23" s="18" t="s">
        <v>10</v>
      </c>
      <c r="F23" s="18">
        <v>105.3</v>
      </c>
      <c r="G23" s="52"/>
      <c r="H23" s="18">
        <v>103.7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C2:I23"/>
  <sheetViews>
    <sheetView workbookViewId="0">
      <selection activeCell="L16" sqref="L16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22</v>
      </c>
      <c r="G3" s="17" t="s">
        <v>23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5.15</v>
      </c>
      <c r="E4" s="19" t="s">
        <v>9</v>
      </c>
      <c r="F4" s="19">
        <v>102.3</v>
      </c>
      <c r="G4" s="51">
        <f>F4-F5</f>
        <v>-0.60000000000000853</v>
      </c>
      <c r="H4" s="19">
        <v>102.7</v>
      </c>
      <c r="I4" s="51">
        <f>H4-H5</f>
        <v>-0.5</v>
      </c>
    </row>
    <row r="5" spans="3:9" ht="19.5" x14ac:dyDescent="0.15">
      <c r="C5" s="49"/>
      <c r="D5" s="50"/>
      <c r="E5" s="19" t="s">
        <v>10</v>
      </c>
      <c r="F5" s="19">
        <v>102.9</v>
      </c>
      <c r="G5" s="51"/>
      <c r="H5" s="19">
        <v>103.2</v>
      </c>
      <c r="I5" s="51"/>
    </row>
    <row r="6" spans="3:9" ht="21" customHeight="1" x14ac:dyDescent="0.15">
      <c r="C6" s="49"/>
      <c r="D6" s="49">
        <v>4.12</v>
      </c>
      <c r="E6" s="18" t="s">
        <v>9</v>
      </c>
      <c r="F6" s="18">
        <v>102.7</v>
      </c>
      <c r="G6" s="52">
        <v>-0.29999999999999699</v>
      </c>
      <c r="H6" s="18">
        <v>102.9</v>
      </c>
      <c r="I6" s="52">
        <v>-0.29999999999999699</v>
      </c>
    </row>
    <row r="7" spans="3:9" ht="19.5" x14ac:dyDescent="0.15">
      <c r="C7" s="49"/>
      <c r="D7" s="49"/>
      <c r="E7" s="18" t="s">
        <v>10</v>
      </c>
      <c r="F7" s="18">
        <v>103</v>
      </c>
      <c r="G7" s="52"/>
      <c r="H7" s="18">
        <v>103.2</v>
      </c>
      <c r="I7" s="52"/>
    </row>
    <row r="8" spans="3:9" ht="21" customHeight="1" x14ac:dyDescent="0.15">
      <c r="C8" s="49" t="s">
        <v>11</v>
      </c>
      <c r="D8" s="50">
        <v>5.7</v>
      </c>
      <c r="E8" s="19" t="s">
        <v>9</v>
      </c>
      <c r="F8" s="19">
        <v>102.05</v>
      </c>
      <c r="G8" s="51">
        <f>F8-F9</f>
        <v>-0.35999999999999943</v>
      </c>
      <c r="H8" s="19">
        <v>102.76</v>
      </c>
      <c r="I8" s="51">
        <f>H8-H9</f>
        <v>-7.9999999999998295E-2</v>
      </c>
    </row>
    <row r="9" spans="3:9" ht="19.5" x14ac:dyDescent="0.15">
      <c r="C9" s="49"/>
      <c r="D9" s="50"/>
      <c r="E9" s="19" t="s">
        <v>10</v>
      </c>
      <c r="F9" s="20">
        <v>102.41</v>
      </c>
      <c r="G9" s="51"/>
      <c r="H9" s="19">
        <v>102.84</v>
      </c>
      <c r="I9" s="51"/>
    </row>
    <row r="10" spans="3:9" ht="21" customHeight="1" x14ac:dyDescent="0.15">
      <c r="C10" s="49"/>
      <c r="D10" s="49">
        <v>4.7</v>
      </c>
      <c r="E10" s="18" t="s">
        <v>9</v>
      </c>
      <c r="F10" s="18">
        <v>101.79</v>
      </c>
      <c r="G10" s="52">
        <v>-0.93999999999999795</v>
      </c>
      <c r="H10" s="18">
        <v>102.65</v>
      </c>
      <c r="I10" s="52">
        <v>-0.25999999999999102</v>
      </c>
    </row>
    <row r="11" spans="3:9" ht="19.5" x14ac:dyDescent="0.15">
      <c r="C11" s="49"/>
      <c r="D11" s="49"/>
      <c r="E11" s="18" t="s">
        <v>10</v>
      </c>
      <c r="F11" s="21">
        <v>102.73</v>
      </c>
      <c r="G11" s="52"/>
      <c r="H11" s="18">
        <v>102.91</v>
      </c>
      <c r="I11" s="52"/>
    </row>
    <row r="12" spans="3:9" ht="21" customHeight="1" x14ac:dyDescent="0.15">
      <c r="C12" s="49" t="s">
        <v>12</v>
      </c>
      <c r="D12" s="53">
        <v>5.3</v>
      </c>
      <c r="E12" s="19" t="s">
        <v>9</v>
      </c>
      <c r="F12" s="19">
        <v>104.1</v>
      </c>
      <c r="G12" s="51">
        <f>F12-F13</f>
        <v>-0.10000000000000853</v>
      </c>
      <c r="H12" s="19">
        <v>104.2</v>
      </c>
      <c r="I12" s="51">
        <f>H12-H13</f>
        <v>-0.59999999999999432</v>
      </c>
    </row>
    <row r="13" spans="3:9" ht="19.5" x14ac:dyDescent="0.15">
      <c r="C13" s="49"/>
      <c r="D13" s="50"/>
      <c r="E13" s="19" t="s">
        <v>10</v>
      </c>
      <c r="F13" s="19">
        <v>104.2</v>
      </c>
      <c r="G13" s="51"/>
      <c r="H13" s="19">
        <v>104.8</v>
      </c>
      <c r="I13" s="51"/>
    </row>
    <row r="14" spans="3:9" ht="21" customHeight="1" x14ac:dyDescent="0.15">
      <c r="C14" s="49"/>
      <c r="D14" s="49">
        <v>3.28</v>
      </c>
      <c r="E14" s="18" t="s">
        <v>9</v>
      </c>
      <c r="F14" s="21">
        <v>104.88</v>
      </c>
      <c r="G14" s="52">
        <v>0.93999999999999795</v>
      </c>
      <c r="H14" s="18">
        <v>105.16</v>
      </c>
      <c r="I14" s="52">
        <v>0.70999999999999397</v>
      </c>
    </row>
    <row r="15" spans="3:9" ht="19.5" x14ac:dyDescent="0.15">
      <c r="C15" s="49"/>
      <c r="D15" s="49"/>
      <c r="E15" s="18" t="s">
        <v>10</v>
      </c>
      <c r="F15" s="21">
        <v>103.94</v>
      </c>
      <c r="G15" s="52"/>
      <c r="H15" s="18">
        <v>104.45</v>
      </c>
      <c r="I15" s="52"/>
    </row>
    <row r="16" spans="3:9" ht="21" customHeight="1" x14ac:dyDescent="0.15">
      <c r="C16" s="49" t="s">
        <v>21</v>
      </c>
      <c r="D16" s="50">
        <v>5.0999999999999996</v>
      </c>
      <c r="E16" s="19" t="s">
        <v>9</v>
      </c>
      <c r="F16" s="20">
        <v>101.61</v>
      </c>
      <c r="G16" s="51">
        <f>F16-F17</f>
        <v>-1.5400000000000063</v>
      </c>
      <c r="H16" s="20">
        <v>102.5</v>
      </c>
      <c r="I16" s="51">
        <f>H16-H17</f>
        <v>-1.0499999999999972</v>
      </c>
    </row>
    <row r="17" spans="3:9" ht="19.5" x14ac:dyDescent="0.15">
      <c r="C17" s="49"/>
      <c r="D17" s="50"/>
      <c r="E17" s="19" t="s">
        <v>10</v>
      </c>
      <c r="F17" s="19">
        <v>103.15</v>
      </c>
      <c r="G17" s="51"/>
      <c r="H17" s="19">
        <v>103.55</v>
      </c>
      <c r="I17" s="51"/>
    </row>
    <row r="18" spans="3:9" ht="19.5" x14ac:dyDescent="0.15">
      <c r="C18" s="49"/>
      <c r="D18" s="49">
        <v>4.7</v>
      </c>
      <c r="E18" s="18" t="s">
        <v>9</v>
      </c>
      <c r="F18" s="18">
        <v>101.49</v>
      </c>
      <c r="G18" s="52">
        <v>-1.61</v>
      </c>
      <c r="H18" s="18">
        <v>102.54</v>
      </c>
      <c r="I18" s="52">
        <v>-1.08</v>
      </c>
    </row>
    <row r="19" spans="3:9" ht="19.5" x14ac:dyDescent="0.15">
      <c r="C19" s="49"/>
      <c r="D19" s="49"/>
      <c r="E19" s="18" t="s">
        <v>10</v>
      </c>
      <c r="F19" s="21">
        <v>103.1</v>
      </c>
      <c r="G19" s="52"/>
      <c r="H19" s="18">
        <v>103.62</v>
      </c>
      <c r="I19" s="52"/>
    </row>
    <row r="20" spans="3:9" ht="21" customHeight="1" x14ac:dyDescent="0.15">
      <c r="C20" s="49" t="s">
        <v>14</v>
      </c>
      <c r="D20" s="50">
        <v>5.8</v>
      </c>
      <c r="E20" s="19" t="s">
        <v>9</v>
      </c>
      <c r="F20" s="19">
        <v>101.87</v>
      </c>
      <c r="G20" s="51">
        <f>F20-F21</f>
        <v>-0.81999999999999318</v>
      </c>
      <c r="H20" s="19">
        <v>102.95</v>
      </c>
      <c r="I20" s="51">
        <f>H20-H21</f>
        <v>-0.71999999999999886</v>
      </c>
    </row>
    <row r="21" spans="3:9" ht="19.5" x14ac:dyDescent="0.15">
      <c r="C21" s="49"/>
      <c r="D21" s="50"/>
      <c r="E21" s="19" t="s">
        <v>10</v>
      </c>
      <c r="F21" s="19">
        <v>102.69</v>
      </c>
      <c r="G21" s="51"/>
      <c r="H21" s="22">
        <v>103.67</v>
      </c>
      <c r="I21" s="51"/>
    </row>
    <row r="22" spans="3:9" ht="19.5" x14ac:dyDescent="0.15">
      <c r="C22" s="49"/>
      <c r="D22" s="49">
        <v>4.17</v>
      </c>
      <c r="E22" s="18" t="s">
        <v>9</v>
      </c>
      <c r="F22" s="18">
        <v>101.84</v>
      </c>
      <c r="G22" s="52">
        <v>-0.65999999999999703</v>
      </c>
      <c r="H22" s="18">
        <v>102.92</v>
      </c>
      <c r="I22" s="52">
        <v>-0.67999999999999305</v>
      </c>
    </row>
    <row r="23" spans="3:9" ht="19.5" x14ac:dyDescent="0.15">
      <c r="C23" s="49"/>
      <c r="D23" s="49"/>
      <c r="E23" s="18" t="s">
        <v>10</v>
      </c>
      <c r="F23" s="18">
        <v>102.5</v>
      </c>
      <c r="G23" s="52"/>
      <c r="H23" s="18">
        <v>103.6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C2:I23"/>
  <sheetViews>
    <sheetView workbookViewId="0">
      <selection activeCell="M12" sqref="M12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24</v>
      </c>
      <c r="G3" s="17" t="s">
        <v>25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6.12</v>
      </c>
      <c r="E4" s="19" t="s">
        <v>9</v>
      </c>
      <c r="F4" s="19">
        <v>103.4</v>
      </c>
      <c r="G4" s="51">
        <f>F4-F5</f>
        <v>-0.79999999999999716</v>
      </c>
      <c r="H4" s="19">
        <v>102.9</v>
      </c>
      <c r="I4" s="51">
        <f>H4-H5</f>
        <v>-0.29999999999999716</v>
      </c>
    </row>
    <row r="5" spans="3:9" ht="19.5" x14ac:dyDescent="0.15">
      <c r="C5" s="49"/>
      <c r="D5" s="50"/>
      <c r="E5" s="19" t="s">
        <v>10</v>
      </c>
      <c r="F5" s="19">
        <v>104.2</v>
      </c>
      <c r="G5" s="51"/>
      <c r="H5" s="19">
        <v>103.2</v>
      </c>
      <c r="I5" s="51"/>
    </row>
    <row r="6" spans="3:9" ht="21" customHeight="1" x14ac:dyDescent="0.15">
      <c r="C6" s="49"/>
      <c r="D6" s="49">
        <v>5.15</v>
      </c>
      <c r="E6" s="18" t="s">
        <v>9</v>
      </c>
      <c r="F6" s="18">
        <v>103.3</v>
      </c>
      <c r="G6" s="52">
        <f t="shared" ref="G6:G10" si="0">F6-F7</f>
        <v>-0.79999999999999716</v>
      </c>
      <c r="H6" s="18">
        <v>102.7</v>
      </c>
      <c r="I6" s="52">
        <f t="shared" ref="I6:I10" si="1">H6-H7</f>
        <v>-0.5</v>
      </c>
    </row>
    <row r="7" spans="3:9" ht="19.5" x14ac:dyDescent="0.15">
      <c r="C7" s="49"/>
      <c r="D7" s="49"/>
      <c r="E7" s="18" t="s">
        <v>10</v>
      </c>
      <c r="F7" s="18">
        <v>104.1</v>
      </c>
      <c r="G7" s="52"/>
      <c r="H7" s="18">
        <v>103.2</v>
      </c>
      <c r="I7" s="52"/>
    </row>
    <row r="8" spans="3:9" ht="21" customHeight="1" x14ac:dyDescent="0.15">
      <c r="C8" s="49" t="s">
        <v>11</v>
      </c>
      <c r="D8" s="50">
        <v>6.11</v>
      </c>
      <c r="E8" s="19" t="s">
        <v>9</v>
      </c>
      <c r="F8" s="19">
        <v>103.01</v>
      </c>
      <c r="G8" s="51">
        <f t="shared" si="0"/>
        <v>-0.56999999999999318</v>
      </c>
      <c r="H8" s="19">
        <v>102.57</v>
      </c>
      <c r="I8" s="51">
        <f t="shared" si="1"/>
        <v>-0.42000000000000171</v>
      </c>
    </row>
    <row r="9" spans="3:9" ht="19.5" x14ac:dyDescent="0.15">
      <c r="C9" s="49"/>
      <c r="D9" s="50"/>
      <c r="E9" s="19" t="s">
        <v>10</v>
      </c>
      <c r="F9" s="20">
        <v>103.58</v>
      </c>
      <c r="G9" s="51"/>
      <c r="H9" s="19">
        <v>102.99</v>
      </c>
      <c r="I9" s="51"/>
    </row>
    <row r="10" spans="3:9" ht="21" customHeight="1" x14ac:dyDescent="0.15">
      <c r="C10" s="49"/>
      <c r="D10" s="49">
        <v>5.7</v>
      </c>
      <c r="E10" s="18" t="s">
        <v>9</v>
      </c>
      <c r="F10" s="18">
        <v>103.46</v>
      </c>
      <c r="G10" s="52">
        <f t="shared" si="0"/>
        <v>9.9999999999994316E-2</v>
      </c>
      <c r="H10" s="18">
        <v>102.76</v>
      </c>
      <c r="I10" s="52">
        <f t="shared" si="1"/>
        <v>-7.9999999999998295E-2</v>
      </c>
    </row>
    <row r="11" spans="3:9" ht="19.5" x14ac:dyDescent="0.15">
      <c r="C11" s="49"/>
      <c r="D11" s="49"/>
      <c r="E11" s="18" t="s">
        <v>10</v>
      </c>
      <c r="F11" s="21">
        <v>103.36</v>
      </c>
      <c r="G11" s="52"/>
      <c r="H11" s="18">
        <v>102.84</v>
      </c>
      <c r="I11" s="52"/>
    </row>
    <row r="12" spans="3:9" ht="21" customHeight="1" x14ac:dyDescent="0.15">
      <c r="C12" s="49" t="s">
        <v>12</v>
      </c>
      <c r="D12" s="53">
        <v>6.3</v>
      </c>
      <c r="E12" s="19" t="s">
        <v>9</v>
      </c>
      <c r="F12" s="19">
        <v>104.65</v>
      </c>
      <c r="G12" s="51">
        <f>F12-F13</f>
        <v>-1.5699999999999932</v>
      </c>
      <c r="H12" s="19">
        <v>104.19</v>
      </c>
      <c r="I12" s="51">
        <f>H12-H13</f>
        <v>-0.48000000000000398</v>
      </c>
    </row>
    <row r="13" spans="3:9" ht="19.5" x14ac:dyDescent="0.15">
      <c r="C13" s="49"/>
      <c r="D13" s="50"/>
      <c r="E13" s="19" t="s">
        <v>10</v>
      </c>
      <c r="F13" s="19">
        <v>106.22</v>
      </c>
      <c r="G13" s="51"/>
      <c r="H13" s="19">
        <v>104.67</v>
      </c>
      <c r="I13" s="51"/>
    </row>
    <row r="14" spans="3:9" ht="21" customHeight="1" x14ac:dyDescent="0.15">
      <c r="C14" s="49"/>
      <c r="D14" s="54" t="s">
        <v>26</v>
      </c>
      <c r="E14" s="18" t="s">
        <v>9</v>
      </c>
      <c r="F14" s="21">
        <v>104.77</v>
      </c>
      <c r="G14" s="52">
        <f t="shared" ref="G14:G18" si="2">F14-F15</f>
        <v>-1.2800000000000011</v>
      </c>
      <c r="H14" s="18">
        <v>104.21</v>
      </c>
      <c r="I14" s="52">
        <f>H14-H15</f>
        <v>-0.57000000000000739</v>
      </c>
    </row>
    <row r="15" spans="3:9" ht="19.5" x14ac:dyDescent="0.15">
      <c r="C15" s="49"/>
      <c r="D15" s="54"/>
      <c r="E15" s="18" t="s">
        <v>10</v>
      </c>
      <c r="F15" s="21">
        <v>106.05</v>
      </c>
      <c r="G15" s="52"/>
      <c r="H15" s="18">
        <v>104.78</v>
      </c>
      <c r="I15" s="52"/>
    </row>
    <row r="16" spans="3:9" ht="21" customHeight="1" x14ac:dyDescent="0.15">
      <c r="C16" s="49" t="s">
        <v>21</v>
      </c>
      <c r="D16" s="50">
        <v>6.7</v>
      </c>
      <c r="E16" s="19" t="s">
        <v>9</v>
      </c>
      <c r="F16" s="20">
        <v>101.21</v>
      </c>
      <c r="G16" s="51">
        <f t="shared" si="2"/>
        <v>-1.5500000000000114</v>
      </c>
      <c r="H16" s="20">
        <v>102.14</v>
      </c>
      <c r="I16" s="51">
        <f t="shared" ref="I16:I18" si="3">H16-H17</f>
        <v>-1.1500000000000057</v>
      </c>
    </row>
    <row r="17" spans="3:9" ht="19.5" x14ac:dyDescent="0.15">
      <c r="C17" s="49"/>
      <c r="D17" s="50"/>
      <c r="E17" s="19" t="s">
        <v>10</v>
      </c>
      <c r="F17" s="19">
        <v>102.76</v>
      </c>
      <c r="G17" s="51"/>
      <c r="H17" s="19">
        <v>103.29</v>
      </c>
      <c r="I17" s="51"/>
    </row>
    <row r="18" spans="3:9" ht="19.5" x14ac:dyDescent="0.15">
      <c r="C18" s="49"/>
      <c r="D18" s="54" t="s">
        <v>27</v>
      </c>
      <c r="E18" s="18" t="s">
        <v>9</v>
      </c>
      <c r="F18" s="18">
        <v>102.66</v>
      </c>
      <c r="G18" s="52">
        <f t="shared" si="2"/>
        <v>-2.0700000000000074</v>
      </c>
      <c r="H18" s="18">
        <v>102.5</v>
      </c>
      <c r="I18" s="52">
        <f t="shared" si="3"/>
        <v>-1.0499999999999972</v>
      </c>
    </row>
    <row r="19" spans="3:9" ht="19.5" x14ac:dyDescent="0.15">
      <c r="C19" s="49"/>
      <c r="D19" s="54"/>
      <c r="E19" s="18" t="s">
        <v>10</v>
      </c>
      <c r="F19" s="21">
        <v>104.73</v>
      </c>
      <c r="G19" s="52"/>
      <c r="H19" s="18">
        <v>103.55</v>
      </c>
      <c r="I19" s="52"/>
    </row>
    <row r="20" spans="3:9" ht="21" customHeight="1" x14ac:dyDescent="0.15">
      <c r="C20" s="49" t="s">
        <v>14</v>
      </c>
      <c r="D20" s="55" t="s">
        <v>28</v>
      </c>
      <c r="E20" s="19" t="s">
        <v>9</v>
      </c>
      <c r="F20" s="19">
        <v>102.8</v>
      </c>
      <c r="G20" s="51">
        <f>F20-F21</f>
        <v>-2.5</v>
      </c>
      <c r="H20" s="19">
        <v>102.33</v>
      </c>
      <c r="I20" s="51">
        <f>H20-H21</f>
        <v>-1.3700000000000045</v>
      </c>
    </row>
    <row r="21" spans="3:9" ht="19.5" x14ac:dyDescent="0.15">
      <c r="C21" s="49"/>
      <c r="D21" s="55"/>
      <c r="E21" s="19" t="s">
        <v>10</v>
      </c>
      <c r="F21" s="19">
        <v>105.3</v>
      </c>
      <c r="G21" s="51"/>
      <c r="H21" s="22">
        <v>103.7</v>
      </c>
      <c r="I21" s="51"/>
    </row>
    <row r="22" spans="3:9" ht="19.5" x14ac:dyDescent="0.15">
      <c r="C22" s="49"/>
      <c r="D22" s="49">
        <v>5.8</v>
      </c>
      <c r="E22" s="18" t="s">
        <v>9</v>
      </c>
      <c r="F22" s="18">
        <v>104.18</v>
      </c>
      <c r="G22" s="52">
        <f>F22-F23</f>
        <v>-0.84999999999999432</v>
      </c>
      <c r="H22" s="18">
        <v>102.95</v>
      </c>
      <c r="I22" s="52">
        <f>H22-H23</f>
        <v>-0.71999999999999886</v>
      </c>
    </row>
    <row r="23" spans="3:9" ht="19.5" x14ac:dyDescent="0.15">
      <c r="C23" s="49"/>
      <c r="D23" s="49"/>
      <c r="E23" s="18" t="s">
        <v>10</v>
      </c>
      <c r="F23" s="18">
        <v>105.03</v>
      </c>
      <c r="G23" s="52"/>
      <c r="H23" s="18">
        <v>103.67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C2:I23"/>
  <sheetViews>
    <sheetView workbookViewId="0">
      <selection activeCell="C20" sqref="C20:C23"/>
    </sheetView>
  </sheetViews>
  <sheetFormatPr defaultColWidth="9" defaultRowHeight="13.5" x14ac:dyDescent="0.15"/>
  <cols>
    <col min="3" max="3" width="10.875" customWidth="1"/>
    <col min="4" max="4" width="11.875" customWidth="1"/>
    <col min="5" max="5" width="9.375" customWidth="1"/>
    <col min="6" max="6" width="13.875" customWidth="1"/>
    <col min="7" max="7" width="20.75" customWidth="1"/>
    <col min="8" max="8" width="13.875" customWidth="1"/>
    <col min="9" max="9" width="20.75" customWidth="1"/>
  </cols>
  <sheetData>
    <row r="2" spans="3:9" ht="15" customHeight="1" x14ac:dyDescent="0.15"/>
    <row r="3" spans="3:9" ht="44.1" customHeight="1" x14ac:dyDescent="0.15">
      <c r="C3" s="17" t="s">
        <v>0</v>
      </c>
      <c r="D3" s="17" t="s">
        <v>1</v>
      </c>
      <c r="E3" s="17" t="s">
        <v>2</v>
      </c>
      <c r="F3" s="17" t="s">
        <v>24</v>
      </c>
      <c r="G3" s="17" t="s">
        <v>25</v>
      </c>
      <c r="H3" s="17" t="s">
        <v>19</v>
      </c>
      <c r="I3" s="17" t="s">
        <v>20</v>
      </c>
    </row>
    <row r="4" spans="3:9" ht="21" customHeight="1" x14ac:dyDescent="0.15">
      <c r="C4" s="49" t="s">
        <v>8</v>
      </c>
      <c r="D4" s="50">
        <v>8.1300000000000008</v>
      </c>
      <c r="E4" s="19" t="s">
        <v>9</v>
      </c>
      <c r="F4" s="19">
        <v>102.66</v>
      </c>
      <c r="G4" s="51">
        <f>F4-F5</f>
        <v>-0.89000000000000057</v>
      </c>
      <c r="H4" s="19">
        <v>102.36</v>
      </c>
      <c r="I4" s="51">
        <f>H4-H5</f>
        <v>-0.57999999999999829</v>
      </c>
    </row>
    <row r="5" spans="3:9" ht="19.5" x14ac:dyDescent="0.15">
      <c r="C5" s="49"/>
      <c r="D5" s="50"/>
      <c r="E5" s="19" t="s">
        <v>10</v>
      </c>
      <c r="F5" s="19">
        <v>103.55</v>
      </c>
      <c r="G5" s="51"/>
      <c r="H5" s="19">
        <v>102.94</v>
      </c>
      <c r="I5" s="51"/>
    </row>
    <row r="6" spans="3:9" ht="21" customHeight="1" x14ac:dyDescent="0.15">
      <c r="C6" s="49"/>
      <c r="D6" s="49">
        <v>7.11</v>
      </c>
      <c r="E6" s="18" t="s">
        <v>9</v>
      </c>
      <c r="F6" s="18">
        <v>103.5</v>
      </c>
      <c r="G6" s="52">
        <v>-0.59999999999999398</v>
      </c>
      <c r="H6" s="18">
        <v>103</v>
      </c>
      <c r="I6" s="52">
        <v>-9.9999999999994302E-2</v>
      </c>
    </row>
    <row r="7" spans="3:9" ht="19.5" x14ac:dyDescent="0.15">
      <c r="C7" s="49"/>
      <c r="D7" s="49"/>
      <c r="E7" s="18" t="s">
        <v>10</v>
      </c>
      <c r="F7" s="18">
        <v>104.1</v>
      </c>
      <c r="G7" s="52"/>
      <c r="H7" s="18">
        <v>103.1</v>
      </c>
      <c r="I7" s="52"/>
    </row>
    <row r="8" spans="3:9" ht="21" customHeight="1" x14ac:dyDescent="0.15">
      <c r="C8" s="49" t="s">
        <v>11</v>
      </c>
      <c r="D8" s="50">
        <v>8.6</v>
      </c>
      <c r="E8" s="19" t="s">
        <v>9</v>
      </c>
      <c r="F8" s="19">
        <v>102.73</v>
      </c>
      <c r="G8" s="51">
        <f>F8-F9</f>
        <v>-0.8399999999999892</v>
      </c>
      <c r="H8" s="19">
        <v>102.42</v>
      </c>
      <c r="I8" s="51">
        <f>H8-H9</f>
        <v>-0.5</v>
      </c>
    </row>
    <row r="9" spans="3:9" ht="19.5" x14ac:dyDescent="0.15">
      <c r="C9" s="49"/>
      <c r="D9" s="50"/>
      <c r="E9" s="19" t="s">
        <v>10</v>
      </c>
      <c r="F9" s="20">
        <v>103.57</v>
      </c>
      <c r="G9" s="51"/>
      <c r="H9" s="19">
        <v>102.92</v>
      </c>
      <c r="I9" s="51"/>
    </row>
    <row r="10" spans="3:9" ht="21" customHeight="1" x14ac:dyDescent="0.15">
      <c r="C10" s="49"/>
      <c r="D10" s="49">
        <v>7.9</v>
      </c>
      <c r="E10" s="18" t="s">
        <v>9</v>
      </c>
      <c r="F10" s="18">
        <v>102.73</v>
      </c>
      <c r="G10" s="52">
        <v>-0.83999999999998898</v>
      </c>
      <c r="H10" s="18">
        <v>102.42</v>
      </c>
      <c r="I10" s="52">
        <v>-0.5</v>
      </c>
    </row>
    <row r="11" spans="3:9" ht="19.5" x14ac:dyDescent="0.15">
      <c r="C11" s="49"/>
      <c r="D11" s="49"/>
      <c r="E11" s="18" t="s">
        <v>10</v>
      </c>
      <c r="F11" s="21">
        <v>103.57</v>
      </c>
      <c r="G11" s="52"/>
      <c r="H11" s="18">
        <v>102.92</v>
      </c>
      <c r="I11" s="52"/>
    </row>
    <row r="12" spans="3:9" ht="21" customHeight="1" x14ac:dyDescent="0.15">
      <c r="C12" s="49" t="s">
        <v>12</v>
      </c>
      <c r="D12" s="53">
        <v>9.01</v>
      </c>
      <c r="E12" s="19" t="s">
        <v>9</v>
      </c>
      <c r="F12" s="19">
        <v>104.82</v>
      </c>
      <c r="G12" s="51">
        <f>F12-F13</f>
        <v>-1.3500000000000085</v>
      </c>
      <c r="H12" s="19">
        <v>104.26</v>
      </c>
      <c r="I12" s="51">
        <f>H12-H13</f>
        <v>-0.31999999999999318</v>
      </c>
    </row>
    <row r="13" spans="3:9" ht="19.5" x14ac:dyDescent="0.15">
      <c r="C13" s="49"/>
      <c r="D13" s="50"/>
      <c r="E13" s="19" t="s">
        <v>10</v>
      </c>
      <c r="F13" s="19">
        <v>106.17</v>
      </c>
      <c r="G13" s="51"/>
      <c r="H13" s="19">
        <v>104.58</v>
      </c>
      <c r="I13" s="51"/>
    </row>
    <row r="14" spans="3:9" ht="21" customHeight="1" x14ac:dyDescent="0.15">
      <c r="C14" s="49"/>
      <c r="D14" s="54" t="s">
        <v>31</v>
      </c>
      <c r="E14" s="18" t="s">
        <v>9</v>
      </c>
      <c r="F14" s="21">
        <v>103.82</v>
      </c>
      <c r="G14" s="52">
        <v>-2.59</v>
      </c>
      <c r="H14" s="18">
        <v>103.72</v>
      </c>
      <c r="I14" s="52">
        <v>-1</v>
      </c>
    </row>
    <row r="15" spans="3:9" ht="19.5" x14ac:dyDescent="0.15">
      <c r="C15" s="49"/>
      <c r="D15" s="54"/>
      <c r="E15" s="18" t="s">
        <v>10</v>
      </c>
      <c r="F15" s="21">
        <v>106.41</v>
      </c>
      <c r="G15" s="52"/>
      <c r="H15" s="18">
        <v>104.72</v>
      </c>
      <c r="I15" s="52"/>
    </row>
    <row r="16" spans="3:9" ht="21" customHeight="1" x14ac:dyDescent="0.15">
      <c r="C16" s="49" t="s">
        <v>21</v>
      </c>
      <c r="D16" s="50">
        <v>8.8000000000000007</v>
      </c>
      <c r="E16" s="19" t="s">
        <v>9</v>
      </c>
      <c r="F16" s="20">
        <v>101.84</v>
      </c>
      <c r="G16" s="51">
        <f>F16-F17</f>
        <v>-2.6199999999999903</v>
      </c>
      <c r="H16" s="20">
        <v>102.26</v>
      </c>
      <c r="I16" s="51">
        <f>H16-H17</f>
        <v>-1</v>
      </c>
    </row>
    <row r="17" spans="3:9" ht="19.5" x14ac:dyDescent="0.15">
      <c r="C17" s="49"/>
      <c r="D17" s="50"/>
      <c r="E17" s="19" t="s">
        <v>10</v>
      </c>
      <c r="F17" s="19">
        <v>104.46</v>
      </c>
      <c r="G17" s="51"/>
      <c r="H17" s="19">
        <v>103.26</v>
      </c>
      <c r="I17" s="51"/>
    </row>
    <row r="18" spans="3:9" ht="19.5" x14ac:dyDescent="0.15">
      <c r="C18" s="49"/>
      <c r="D18" s="54">
        <v>7.7</v>
      </c>
      <c r="E18" s="18" t="s">
        <v>9</v>
      </c>
      <c r="F18" s="18">
        <v>101.85</v>
      </c>
      <c r="G18" s="52">
        <v>-2.7100000000000102</v>
      </c>
      <c r="H18" s="18">
        <v>102.2</v>
      </c>
      <c r="I18" s="52">
        <v>-1.03999999999999</v>
      </c>
    </row>
    <row r="19" spans="3:9" ht="19.5" x14ac:dyDescent="0.15">
      <c r="C19" s="49"/>
      <c r="D19" s="54"/>
      <c r="E19" s="18" t="s">
        <v>10</v>
      </c>
      <c r="F19" s="21">
        <v>104.56</v>
      </c>
      <c r="G19" s="52"/>
      <c r="H19" s="18">
        <v>103.24</v>
      </c>
      <c r="I19" s="52"/>
    </row>
    <row r="20" spans="3:9" ht="21" customHeight="1" x14ac:dyDescent="0.15">
      <c r="C20" s="49" t="s">
        <v>14</v>
      </c>
      <c r="D20" s="55" t="s">
        <v>32</v>
      </c>
      <c r="E20" s="19" t="s">
        <v>9</v>
      </c>
      <c r="F20" s="19">
        <v>103.21</v>
      </c>
      <c r="G20" s="51">
        <f>F20-F21</f>
        <v>-1.6300000000000097</v>
      </c>
      <c r="H20" s="19">
        <v>102.83</v>
      </c>
      <c r="I20" s="51">
        <f>H20-H21</f>
        <v>-0.54999999999999716</v>
      </c>
    </row>
    <row r="21" spans="3:9" ht="19.5" x14ac:dyDescent="0.15">
      <c r="C21" s="49"/>
      <c r="D21" s="55"/>
      <c r="E21" s="19" t="s">
        <v>10</v>
      </c>
      <c r="F21" s="19">
        <v>104.84</v>
      </c>
      <c r="G21" s="51"/>
      <c r="H21" s="22">
        <v>103.38</v>
      </c>
      <c r="I21" s="51"/>
    </row>
    <row r="22" spans="3:9" ht="19.5" x14ac:dyDescent="0.15">
      <c r="C22" s="49"/>
      <c r="D22" s="49" t="s">
        <v>30</v>
      </c>
      <c r="E22" s="18" t="s">
        <v>9</v>
      </c>
      <c r="F22" s="18">
        <v>103</v>
      </c>
      <c r="G22" s="52">
        <v>-2.23</v>
      </c>
      <c r="H22" s="18">
        <v>102.7</v>
      </c>
      <c r="I22" s="52">
        <v>-1</v>
      </c>
    </row>
    <row r="23" spans="3:9" ht="19.5" x14ac:dyDescent="0.15">
      <c r="C23" s="49"/>
      <c r="D23" s="49"/>
      <c r="E23" s="18" t="s">
        <v>10</v>
      </c>
      <c r="F23" s="18">
        <v>105.23</v>
      </c>
      <c r="G23" s="52"/>
      <c r="H23" s="18">
        <v>103.7</v>
      </c>
      <c r="I23" s="52"/>
    </row>
  </sheetData>
  <mergeCells count="35">
    <mergeCell ref="I14:I15"/>
    <mergeCell ref="I16:I17"/>
    <mergeCell ref="I18:I19"/>
    <mergeCell ref="I20:I21"/>
    <mergeCell ref="I22:I23"/>
    <mergeCell ref="I4:I5"/>
    <mergeCell ref="I6:I7"/>
    <mergeCell ref="I8:I9"/>
    <mergeCell ref="I10:I11"/>
    <mergeCell ref="I12:I13"/>
    <mergeCell ref="G14:G15"/>
    <mergeCell ref="G16:G17"/>
    <mergeCell ref="G18:G19"/>
    <mergeCell ref="G20:G21"/>
    <mergeCell ref="G22:G23"/>
    <mergeCell ref="G4:G5"/>
    <mergeCell ref="G6:G7"/>
    <mergeCell ref="G8:G9"/>
    <mergeCell ref="G10:G11"/>
    <mergeCell ref="G12:G13"/>
    <mergeCell ref="D14:D15"/>
    <mergeCell ref="D16:D17"/>
    <mergeCell ref="D18:D19"/>
    <mergeCell ref="D20:D21"/>
    <mergeCell ref="D22:D23"/>
    <mergeCell ref="D4:D5"/>
    <mergeCell ref="D6:D7"/>
    <mergeCell ref="D8:D9"/>
    <mergeCell ref="D10:D11"/>
    <mergeCell ref="D12:D13"/>
    <mergeCell ref="C4:C7"/>
    <mergeCell ref="C8:C11"/>
    <mergeCell ref="C12:C15"/>
    <mergeCell ref="C16:C19"/>
    <mergeCell ref="C20:C23"/>
  </mergeCells>
  <phoneticPr fontId="19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C2:J28"/>
  <sheetViews>
    <sheetView workbookViewId="0">
      <selection activeCell="I33" sqref="I33"/>
    </sheetView>
  </sheetViews>
  <sheetFormatPr defaultColWidth="9" defaultRowHeight="13.5" x14ac:dyDescent="0.15"/>
  <cols>
    <col min="5" max="6" width="13.75"/>
    <col min="7" max="8" width="12.625"/>
    <col min="9" max="9" width="13.75"/>
    <col min="10" max="10" width="12.625"/>
  </cols>
  <sheetData>
    <row r="2" spans="3:10" x14ac:dyDescent="0.15">
      <c r="E2" t="s">
        <v>24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3:10" x14ac:dyDescent="0.15">
      <c r="D3" t="s">
        <v>38</v>
      </c>
      <c r="E3">
        <v>103.28</v>
      </c>
      <c r="F3">
        <v>103.8</v>
      </c>
      <c r="G3">
        <v>103.81</v>
      </c>
      <c r="H3">
        <v>104.99</v>
      </c>
      <c r="I3">
        <v>105.2</v>
      </c>
      <c r="J3">
        <v>105.4</v>
      </c>
    </row>
    <row r="4" spans="3:10" x14ac:dyDescent="0.15">
      <c r="C4" t="s">
        <v>8</v>
      </c>
      <c r="D4" t="s">
        <v>39</v>
      </c>
      <c r="E4">
        <v>103.9</v>
      </c>
      <c r="F4">
        <v>103.7</v>
      </c>
      <c r="G4">
        <v>102.4</v>
      </c>
      <c r="H4">
        <v>103.7</v>
      </c>
      <c r="I4">
        <v>104.8</v>
      </c>
      <c r="J4">
        <v>104.7</v>
      </c>
    </row>
    <row r="5" spans="3:10" x14ac:dyDescent="0.15">
      <c r="D5" t="s">
        <v>40</v>
      </c>
      <c r="E5">
        <f t="shared" ref="E5:J5" si="0">E3-E4</f>
        <v>-0.62000000000000455</v>
      </c>
      <c r="F5">
        <f t="shared" si="0"/>
        <v>9.9999999999994316E-2</v>
      </c>
      <c r="G5">
        <f t="shared" si="0"/>
        <v>1.4099999999999966</v>
      </c>
      <c r="H5">
        <f t="shared" si="0"/>
        <v>1.289999999999992</v>
      </c>
      <c r="I5">
        <f t="shared" si="0"/>
        <v>0.40000000000000568</v>
      </c>
      <c r="J5">
        <f t="shared" si="0"/>
        <v>0.70000000000000284</v>
      </c>
    </row>
    <row r="7" spans="3:10" x14ac:dyDescent="0.15">
      <c r="C7" t="s">
        <v>11</v>
      </c>
      <c r="D7" t="s">
        <v>38</v>
      </c>
      <c r="E7">
        <v>102.47</v>
      </c>
      <c r="F7">
        <v>102.47</v>
      </c>
      <c r="G7">
        <v>103.18</v>
      </c>
      <c r="H7">
        <v>104.26</v>
      </c>
      <c r="I7">
        <v>105.39</v>
      </c>
      <c r="J7">
        <v>105.54</v>
      </c>
    </row>
    <row r="8" spans="3:10" x14ac:dyDescent="0.15">
      <c r="D8" t="s">
        <v>39</v>
      </c>
      <c r="E8">
        <v>103.43</v>
      </c>
      <c r="F8">
        <v>103.72</v>
      </c>
      <c r="G8">
        <v>104.16</v>
      </c>
      <c r="H8">
        <v>104.27</v>
      </c>
      <c r="I8">
        <v>104.91</v>
      </c>
      <c r="J8">
        <v>105.08</v>
      </c>
    </row>
    <row r="9" spans="3:10" x14ac:dyDescent="0.15">
      <c r="D9" t="s">
        <v>40</v>
      </c>
      <c r="E9">
        <f t="shared" ref="E9:J9" si="1">E7-E8</f>
        <v>-0.96000000000000796</v>
      </c>
      <c r="F9">
        <f t="shared" si="1"/>
        <v>-1.25</v>
      </c>
      <c r="G9">
        <f t="shared" si="1"/>
        <v>-0.97999999999998977</v>
      </c>
      <c r="H9">
        <f t="shared" si="1"/>
        <v>-9.9999999999909051E-3</v>
      </c>
      <c r="I9">
        <f t="shared" si="1"/>
        <v>0.48000000000000398</v>
      </c>
      <c r="J9">
        <f t="shared" si="1"/>
        <v>0.46000000000000796</v>
      </c>
    </row>
    <row r="11" spans="3:10" x14ac:dyDescent="0.2">
      <c r="D11" t="s">
        <v>38</v>
      </c>
      <c r="E11" s="16">
        <v>104.35628207967601</v>
      </c>
      <c r="F11" s="16">
        <v>105.198927914484</v>
      </c>
      <c r="G11" s="16">
        <v>105.198644480231</v>
      </c>
      <c r="H11" s="16">
        <v>105.769824751584</v>
      </c>
      <c r="I11" s="16">
        <v>106.58146401812201</v>
      </c>
      <c r="J11" s="16">
        <v>107.120035584829</v>
      </c>
    </row>
    <row r="12" spans="3:10" x14ac:dyDescent="0.2">
      <c r="C12" t="s">
        <v>12</v>
      </c>
      <c r="D12" t="s">
        <v>39</v>
      </c>
      <c r="E12" s="16">
        <v>105.88234137159699</v>
      </c>
      <c r="F12" s="16">
        <v>106.053446656486</v>
      </c>
      <c r="G12" s="16">
        <v>104.147953952682</v>
      </c>
      <c r="H12" s="16">
        <v>105.09723065481499</v>
      </c>
      <c r="I12" s="16">
        <v>107.124046259671</v>
      </c>
      <c r="J12" s="16">
        <v>106.907358260888</v>
      </c>
    </row>
    <row r="13" spans="3:10" x14ac:dyDescent="0.15">
      <c r="D13" t="s">
        <v>40</v>
      </c>
      <c r="E13" s="6">
        <f t="shared" ref="E13:J13" si="2">E11-E12</f>
        <v>-1.526059291920987</v>
      </c>
      <c r="F13" s="6">
        <f t="shared" si="2"/>
        <v>-0.85451874200199995</v>
      </c>
      <c r="G13" s="6">
        <f t="shared" si="2"/>
        <v>1.0506905275489942</v>
      </c>
      <c r="H13" s="6">
        <f t="shared" si="2"/>
        <v>0.67259409676900361</v>
      </c>
      <c r="I13" s="6">
        <f t="shared" si="2"/>
        <v>-0.54258224154899892</v>
      </c>
      <c r="J13" s="6">
        <f t="shared" si="2"/>
        <v>0.21267732394099426</v>
      </c>
    </row>
    <row r="15" spans="3:10" x14ac:dyDescent="0.15">
      <c r="D15" t="s">
        <v>38</v>
      </c>
      <c r="E15">
        <v>101.84</v>
      </c>
      <c r="F15">
        <v>103.26</v>
      </c>
      <c r="G15">
        <v>104.22</v>
      </c>
      <c r="H15">
        <v>104.57</v>
      </c>
      <c r="I15">
        <v>105.26</v>
      </c>
      <c r="J15">
        <v>106.45</v>
      </c>
    </row>
    <row r="16" spans="3:10" x14ac:dyDescent="0.15">
      <c r="C16" t="s">
        <v>21</v>
      </c>
      <c r="D16" t="s">
        <v>39</v>
      </c>
      <c r="E16">
        <v>104.46</v>
      </c>
      <c r="F16">
        <v>104.65</v>
      </c>
      <c r="G16">
        <v>103.21</v>
      </c>
      <c r="H16">
        <v>104.17</v>
      </c>
      <c r="I16">
        <v>106.06</v>
      </c>
      <c r="J16">
        <v>106.1</v>
      </c>
    </row>
    <row r="17" spans="3:10" x14ac:dyDescent="0.15">
      <c r="D17" t="s">
        <v>40</v>
      </c>
      <c r="E17" s="6">
        <f t="shared" ref="E17:J17" si="3">E15-E16</f>
        <v>-2.6199999999999903</v>
      </c>
      <c r="F17" s="6">
        <f t="shared" si="3"/>
        <v>-1.3900000000000006</v>
      </c>
      <c r="G17" s="6">
        <f t="shared" si="3"/>
        <v>1.0100000000000051</v>
      </c>
      <c r="H17" s="6">
        <f t="shared" si="3"/>
        <v>0.39999999999999147</v>
      </c>
      <c r="I17" s="6">
        <f t="shared" si="3"/>
        <v>-0.79999999999999716</v>
      </c>
      <c r="J17" s="6">
        <f t="shared" si="3"/>
        <v>0.35000000000000853</v>
      </c>
    </row>
    <row r="19" spans="3:10" x14ac:dyDescent="0.15">
      <c r="C19" t="s">
        <v>14</v>
      </c>
      <c r="D19" t="s">
        <v>38</v>
      </c>
      <c r="E19">
        <v>102.54</v>
      </c>
      <c r="F19">
        <v>103.06</v>
      </c>
      <c r="G19">
        <v>103.42</v>
      </c>
      <c r="H19">
        <v>104.94</v>
      </c>
      <c r="I19">
        <v>107.09</v>
      </c>
      <c r="J19">
        <v>108.24</v>
      </c>
    </row>
    <row r="20" spans="3:10" x14ac:dyDescent="0.15">
      <c r="D20" t="s">
        <v>39</v>
      </c>
      <c r="E20">
        <v>104.97</v>
      </c>
      <c r="F20">
        <v>104.72</v>
      </c>
      <c r="G20">
        <v>103.92</v>
      </c>
      <c r="H20">
        <v>104.04</v>
      </c>
      <c r="I20">
        <v>105.78</v>
      </c>
      <c r="J20">
        <v>105.45</v>
      </c>
    </row>
    <row r="21" spans="3:10" x14ac:dyDescent="0.15">
      <c r="D21" t="s">
        <v>40</v>
      </c>
      <c r="E21" s="6">
        <f t="shared" ref="E21:J21" si="4">E19-E20</f>
        <v>-2.4299999999999926</v>
      </c>
      <c r="F21" s="6">
        <f t="shared" si="4"/>
        <v>-1.6599999999999966</v>
      </c>
      <c r="G21" s="6">
        <f t="shared" si="4"/>
        <v>-0.5</v>
      </c>
      <c r="H21" s="6">
        <f t="shared" si="4"/>
        <v>0.89999999999999147</v>
      </c>
      <c r="I21" s="6">
        <f t="shared" si="4"/>
        <v>1.3100000000000023</v>
      </c>
      <c r="J21" s="6">
        <f t="shared" si="4"/>
        <v>2.789999999999992</v>
      </c>
    </row>
    <row r="23" spans="3:10" x14ac:dyDescent="0.15">
      <c r="E23" t="s">
        <v>24</v>
      </c>
      <c r="F23" t="s">
        <v>33</v>
      </c>
      <c r="G23" t="s">
        <v>34</v>
      </c>
      <c r="H23" t="s">
        <v>35</v>
      </c>
      <c r="I23" t="s">
        <v>36</v>
      </c>
      <c r="J23" t="s">
        <v>37</v>
      </c>
    </row>
    <row r="24" spans="3:10" x14ac:dyDescent="0.15">
      <c r="D24" t="s">
        <v>8</v>
      </c>
      <c r="E24">
        <v>-0.62000000000000499</v>
      </c>
      <c r="F24">
        <v>9.9999999999994302E-2</v>
      </c>
      <c r="G24">
        <v>1.41</v>
      </c>
      <c r="H24">
        <v>1.28999999999999</v>
      </c>
      <c r="I24">
        <v>0.40000000000000602</v>
      </c>
      <c r="J24">
        <v>0.70000000000000295</v>
      </c>
    </row>
    <row r="25" spans="3:10" x14ac:dyDescent="0.15">
      <c r="D25" t="s">
        <v>11</v>
      </c>
      <c r="E25">
        <v>-0.96000000000000796</v>
      </c>
      <c r="F25">
        <v>-1.25</v>
      </c>
      <c r="G25">
        <v>-0.97999999999998999</v>
      </c>
      <c r="H25">
        <v>-9.9999999999909103E-3</v>
      </c>
      <c r="I25">
        <v>0.48000000000000398</v>
      </c>
      <c r="J25">
        <v>0.46000000000000801</v>
      </c>
    </row>
    <row r="26" spans="3:10" x14ac:dyDescent="0.15">
      <c r="D26" t="s">
        <v>12</v>
      </c>
      <c r="E26">
        <v>-1.5260592919213101</v>
      </c>
      <c r="F26">
        <v>-0.85451874200148803</v>
      </c>
      <c r="G26">
        <v>1.0506905275487699</v>
      </c>
      <c r="H26">
        <v>0.67259409676900395</v>
      </c>
      <c r="I26">
        <v>-0.54258224154908397</v>
      </c>
      <c r="J26">
        <v>0.21267732394105099</v>
      </c>
    </row>
    <row r="27" spans="3:10" x14ac:dyDescent="0.15">
      <c r="D27" t="s">
        <v>21</v>
      </c>
      <c r="E27">
        <v>-2.6199999999999899</v>
      </c>
      <c r="F27">
        <v>-1.39</v>
      </c>
      <c r="G27">
        <v>1.01000000000001</v>
      </c>
      <c r="H27">
        <v>0.39999999999999097</v>
      </c>
      <c r="I27">
        <v>-0.79999999999999705</v>
      </c>
      <c r="J27">
        <v>0.35000000000000903</v>
      </c>
    </row>
    <row r="28" spans="3:10" x14ac:dyDescent="0.15">
      <c r="D28" t="s">
        <v>14</v>
      </c>
      <c r="E28">
        <v>-2.4299999999999899</v>
      </c>
      <c r="F28">
        <v>-1.66</v>
      </c>
      <c r="G28">
        <v>-0.5</v>
      </c>
      <c r="H28">
        <v>0.89999999999999103</v>
      </c>
      <c r="I28">
        <v>1.31</v>
      </c>
      <c r="J28">
        <v>2.7899999999999898</v>
      </c>
    </row>
  </sheetData>
  <phoneticPr fontId="19" type="noConversion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2:I28"/>
  <sheetViews>
    <sheetView workbookViewId="0">
      <selection activeCell="E31" sqref="E31"/>
    </sheetView>
  </sheetViews>
  <sheetFormatPr defaultColWidth="9" defaultRowHeight="13.5" x14ac:dyDescent="0.15"/>
  <cols>
    <col min="4" max="5" width="13.75"/>
    <col min="6" max="7" width="12.625"/>
    <col min="8" max="8" width="13.75"/>
    <col min="9" max="9" width="12.625"/>
  </cols>
  <sheetData>
    <row r="2" spans="2:9" x14ac:dyDescent="0.15">
      <c r="B2" s="3"/>
      <c r="C2" s="3"/>
      <c r="D2" s="3" t="s">
        <v>24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</row>
    <row r="3" spans="2:9" x14ac:dyDescent="0.15">
      <c r="B3" s="4"/>
      <c r="C3" s="4" t="s">
        <v>38</v>
      </c>
      <c r="D3" s="4">
        <v>103.3</v>
      </c>
      <c r="E3" s="4">
        <v>103.8</v>
      </c>
      <c r="F3" s="4">
        <v>103.8</v>
      </c>
      <c r="G3" s="4">
        <v>105</v>
      </c>
      <c r="H3" s="4">
        <v>105.4</v>
      </c>
      <c r="I3" s="4">
        <v>105.7</v>
      </c>
    </row>
    <row r="4" spans="2:9" x14ac:dyDescent="0.15">
      <c r="B4" s="4" t="s">
        <v>8</v>
      </c>
      <c r="C4" s="4" t="s">
        <v>39</v>
      </c>
      <c r="D4" s="4">
        <v>103.6</v>
      </c>
      <c r="E4" s="4">
        <v>103.6</v>
      </c>
      <c r="F4" s="4">
        <v>102.6</v>
      </c>
      <c r="G4" s="4">
        <v>103.5</v>
      </c>
      <c r="H4" s="4">
        <v>104.6</v>
      </c>
      <c r="I4" s="4">
        <v>104.6</v>
      </c>
    </row>
    <row r="5" spans="2:9" x14ac:dyDescent="0.15">
      <c r="B5" s="4"/>
      <c r="C5" s="4" t="s">
        <v>40</v>
      </c>
      <c r="D5" s="4">
        <f t="shared" ref="D5:I5" si="0">D3-D4</f>
        <v>-0.29999999999999716</v>
      </c>
      <c r="E5" s="4">
        <f t="shared" si="0"/>
        <v>0.20000000000000284</v>
      </c>
      <c r="F5" s="4">
        <f t="shared" si="0"/>
        <v>1.2000000000000028</v>
      </c>
      <c r="G5" s="4">
        <f t="shared" si="0"/>
        <v>1.5</v>
      </c>
      <c r="H5" s="4">
        <f t="shared" si="0"/>
        <v>0.80000000000001137</v>
      </c>
      <c r="I5" s="4">
        <f t="shared" si="0"/>
        <v>1.1000000000000085</v>
      </c>
    </row>
    <row r="6" spans="2:9" x14ac:dyDescent="0.15">
      <c r="B6" s="4"/>
      <c r="C6" s="4"/>
      <c r="D6" s="4"/>
      <c r="E6" s="4"/>
      <c r="F6" s="4"/>
      <c r="G6" s="4"/>
      <c r="H6" s="4"/>
      <c r="I6" s="4"/>
    </row>
    <row r="7" spans="2:9" x14ac:dyDescent="0.15">
      <c r="B7" s="4" t="s">
        <v>11</v>
      </c>
      <c r="C7" s="4" t="s">
        <v>38</v>
      </c>
      <c r="D7" s="4">
        <v>102.48</v>
      </c>
      <c r="E7" s="4">
        <v>103.03</v>
      </c>
      <c r="F7" s="4">
        <v>103.38</v>
      </c>
      <c r="G7" s="4">
        <v>104.27</v>
      </c>
      <c r="H7" s="4">
        <v>105.1</v>
      </c>
      <c r="I7" s="4">
        <v>105.38</v>
      </c>
    </row>
    <row r="8" spans="2:9" x14ac:dyDescent="0.15">
      <c r="B8" s="4"/>
      <c r="C8" s="4" t="s">
        <v>39</v>
      </c>
      <c r="D8" s="4">
        <v>103.25</v>
      </c>
      <c r="E8" s="4">
        <v>103.64</v>
      </c>
      <c r="F8" s="4">
        <v>104</v>
      </c>
      <c r="G8" s="4">
        <v>104.07</v>
      </c>
      <c r="H8" s="4">
        <v>104.59</v>
      </c>
      <c r="I8" s="4">
        <v>104.77</v>
      </c>
    </row>
    <row r="9" spans="2:9" x14ac:dyDescent="0.15">
      <c r="B9" s="4"/>
      <c r="C9" s="4" t="s">
        <v>40</v>
      </c>
      <c r="D9" s="4">
        <f t="shared" ref="D9:I9" si="1">D7-D8</f>
        <v>-0.76999999999999602</v>
      </c>
      <c r="E9" s="4">
        <f t="shared" si="1"/>
        <v>-0.60999999999999943</v>
      </c>
      <c r="F9" s="4">
        <f t="shared" si="1"/>
        <v>-0.62000000000000455</v>
      </c>
      <c r="G9" s="4">
        <f t="shared" si="1"/>
        <v>0.20000000000000284</v>
      </c>
      <c r="H9" s="4">
        <f t="shared" si="1"/>
        <v>0.50999999999999091</v>
      </c>
      <c r="I9" s="4">
        <f t="shared" si="1"/>
        <v>0.60999999999999943</v>
      </c>
    </row>
    <row r="10" spans="2:9" x14ac:dyDescent="0.15">
      <c r="B10" s="4"/>
      <c r="C10" s="4"/>
      <c r="D10" s="4"/>
      <c r="E10" s="4"/>
      <c r="F10" s="4"/>
      <c r="G10" s="4"/>
      <c r="H10" s="4"/>
      <c r="I10" s="4"/>
    </row>
    <row r="11" spans="2:9" x14ac:dyDescent="0.15">
      <c r="B11" s="4"/>
      <c r="C11" s="4" t="s">
        <v>38</v>
      </c>
      <c r="D11" s="5">
        <v>104.35628207967601</v>
      </c>
      <c r="E11" s="5">
        <v>105.198927914484</v>
      </c>
      <c r="F11" s="5">
        <v>105.198644480231</v>
      </c>
      <c r="G11" s="5">
        <v>105.769824751584</v>
      </c>
      <c r="H11" s="5">
        <v>106.58146401812201</v>
      </c>
      <c r="I11" s="5">
        <v>107.120035584829</v>
      </c>
    </row>
    <row r="12" spans="2:9" x14ac:dyDescent="0.15">
      <c r="B12" s="4" t="s">
        <v>41</v>
      </c>
      <c r="C12" s="4" t="s">
        <v>39</v>
      </c>
      <c r="D12" s="5">
        <v>105.88234137159699</v>
      </c>
      <c r="E12" s="5">
        <v>106.053446656486</v>
      </c>
      <c r="F12" s="5">
        <v>104.147953952682</v>
      </c>
      <c r="G12" s="5">
        <v>105.09723065481499</v>
      </c>
      <c r="H12" s="5">
        <v>107.124046259671</v>
      </c>
      <c r="I12" s="5">
        <v>106.907358260888</v>
      </c>
    </row>
    <row r="13" spans="2:9" x14ac:dyDescent="0.15">
      <c r="B13" s="4"/>
      <c r="C13" s="4" t="s">
        <v>40</v>
      </c>
      <c r="D13" s="5">
        <f t="shared" ref="D13:I13" si="2">D11-D12</f>
        <v>-1.526059291920987</v>
      </c>
      <c r="E13" s="5">
        <f t="shared" si="2"/>
        <v>-0.85451874200199995</v>
      </c>
      <c r="F13" s="5">
        <f t="shared" si="2"/>
        <v>1.0506905275489942</v>
      </c>
      <c r="G13" s="5">
        <f t="shared" si="2"/>
        <v>0.67259409676900361</v>
      </c>
      <c r="H13" s="5">
        <f t="shared" si="2"/>
        <v>-0.54258224154899892</v>
      </c>
      <c r="I13" s="5">
        <f t="shared" si="2"/>
        <v>0.21267732394099426</v>
      </c>
    </row>
    <row r="14" spans="2:9" x14ac:dyDescent="0.15">
      <c r="B14" s="4"/>
      <c r="C14" s="4"/>
      <c r="D14" s="4"/>
      <c r="E14" s="4"/>
      <c r="F14" s="4"/>
      <c r="G14" s="4"/>
      <c r="H14" s="4"/>
      <c r="I14" s="4"/>
    </row>
    <row r="15" spans="2:9" x14ac:dyDescent="0.15">
      <c r="B15" s="4"/>
      <c r="C15" s="4" t="s">
        <v>38</v>
      </c>
      <c r="D15" s="5">
        <v>101.930251638678</v>
      </c>
      <c r="E15" s="5">
        <v>102.789055488675</v>
      </c>
      <c r="F15" s="5">
        <v>103.614847826304</v>
      </c>
      <c r="G15" s="5">
        <v>103.920953899247</v>
      </c>
      <c r="H15" s="5">
        <v>104.79918219813101</v>
      </c>
      <c r="I15" s="5">
        <v>106.292652216638</v>
      </c>
    </row>
    <row r="16" spans="2:9" x14ac:dyDescent="0.15">
      <c r="B16" s="4" t="s">
        <v>21</v>
      </c>
      <c r="C16" s="4" t="s">
        <v>39</v>
      </c>
      <c r="D16" s="5">
        <v>104.72799999999999</v>
      </c>
      <c r="E16" s="5">
        <v>104.602</v>
      </c>
      <c r="F16" s="5">
        <v>103.184</v>
      </c>
      <c r="G16" s="5">
        <v>104.21299999999999</v>
      </c>
      <c r="H16" s="5">
        <v>106.154</v>
      </c>
      <c r="I16" s="5">
        <v>106.27500000000001</v>
      </c>
    </row>
    <row r="17" spans="2:9" x14ac:dyDescent="0.15">
      <c r="B17" s="4"/>
      <c r="C17" s="4" t="s">
        <v>40</v>
      </c>
      <c r="D17" s="5">
        <f t="shared" ref="D17:I17" si="3">D15-D16</f>
        <v>-2.7977483613219931</v>
      </c>
      <c r="E17" s="5">
        <f t="shared" si="3"/>
        <v>-1.812944511325</v>
      </c>
      <c r="F17" s="5">
        <f t="shared" si="3"/>
        <v>0.43084782630400298</v>
      </c>
      <c r="G17" s="5">
        <f t="shared" si="3"/>
        <v>-0.29204610075299797</v>
      </c>
      <c r="H17" s="5">
        <f t="shared" si="3"/>
        <v>-1.3548178018689896</v>
      </c>
      <c r="I17" s="5">
        <f t="shared" si="3"/>
        <v>1.7652216637998208E-2</v>
      </c>
    </row>
    <row r="18" spans="2:9" x14ac:dyDescent="0.15">
      <c r="B18" s="4"/>
      <c r="C18" s="4"/>
      <c r="D18" s="4"/>
      <c r="E18" s="4"/>
      <c r="F18" s="4"/>
      <c r="G18" s="4"/>
      <c r="H18" s="4"/>
      <c r="I18" s="4"/>
    </row>
    <row r="19" spans="2:9" x14ac:dyDescent="0.15">
      <c r="B19" s="4" t="s">
        <v>14</v>
      </c>
      <c r="C19" s="4" t="s">
        <v>38</v>
      </c>
      <c r="D19" s="4">
        <v>102.23</v>
      </c>
      <c r="E19" s="4">
        <v>103.09</v>
      </c>
      <c r="F19" s="4">
        <v>103.46</v>
      </c>
      <c r="G19" s="4">
        <v>105.06</v>
      </c>
      <c r="H19" s="4">
        <v>107.36</v>
      </c>
      <c r="I19" s="4">
        <v>108.59</v>
      </c>
    </row>
    <row r="20" spans="2:9" x14ac:dyDescent="0.15">
      <c r="B20" s="4"/>
      <c r="C20" s="4" t="s">
        <v>39</v>
      </c>
      <c r="D20" s="4">
        <v>104.45</v>
      </c>
      <c r="E20" s="4">
        <v>104.51</v>
      </c>
      <c r="F20" s="4">
        <v>103.54</v>
      </c>
      <c r="G20" s="4">
        <v>103.58</v>
      </c>
      <c r="H20" s="4">
        <v>105.35</v>
      </c>
      <c r="I20" s="4">
        <v>105.09</v>
      </c>
    </row>
    <row r="21" spans="2:9" x14ac:dyDescent="0.15">
      <c r="B21" s="4"/>
      <c r="C21" s="4" t="s">
        <v>40</v>
      </c>
      <c r="D21" s="5">
        <f t="shared" ref="D21:I21" si="4">D19-D20</f>
        <v>-2.2199999999999989</v>
      </c>
      <c r="E21" s="5">
        <f t="shared" si="4"/>
        <v>-1.4200000000000017</v>
      </c>
      <c r="F21" s="5">
        <f t="shared" si="4"/>
        <v>-8.0000000000012506E-2</v>
      </c>
      <c r="G21" s="5">
        <f t="shared" si="4"/>
        <v>1.480000000000004</v>
      </c>
      <c r="H21" s="5">
        <f t="shared" si="4"/>
        <v>2.0100000000000051</v>
      </c>
      <c r="I21" s="5">
        <f t="shared" si="4"/>
        <v>3.5</v>
      </c>
    </row>
    <row r="22" spans="2:9" x14ac:dyDescent="0.15">
      <c r="B22" s="4"/>
      <c r="C22" s="4"/>
      <c r="D22" s="4"/>
      <c r="E22" s="4"/>
      <c r="F22" s="4"/>
      <c r="G22" s="4"/>
      <c r="H22" s="4"/>
      <c r="I22" s="4"/>
    </row>
    <row r="23" spans="2:9" x14ac:dyDescent="0.15">
      <c r="B23" s="3"/>
      <c r="C23" s="3"/>
      <c r="D23" s="3" t="s">
        <v>24</v>
      </c>
      <c r="E23" s="3" t="s">
        <v>33</v>
      </c>
      <c r="F23" s="3" t="s">
        <v>34</v>
      </c>
      <c r="G23" s="3" t="s">
        <v>35</v>
      </c>
      <c r="H23" s="3" t="s">
        <v>36</v>
      </c>
      <c r="I23" s="3" t="s">
        <v>37</v>
      </c>
    </row>
    <row r="24" spans="2:9" x14ac:dyDescent="0.15">
      <c r="B24" s="4"/>
      <c r="C24" s="4" t="s">
        <v>8</v>
      </c>
      <c r="D24" s="5">
        <f t="shared" ref="D24:I24" si="5">D5</f>
        <v>-0.29999999999999716</v>
      </c>
      <c r="E24" s="5">
        <f t="shared" si="5"/>
        <v>0.20000000000000284</v>
      </c>
      <c r="F24" s="5">
        <f t="shared" si="5"/>
        <v>1.2000000000000028</v>
      </c>
      <c r="G24" s="5">
        <f t="shared" si="5"/>
        <v>1.5</v>
      </c>
      <c r="H24" s="5">
        <f t="shared" si="5"/>
        <v>0.80000000000001137</v>
      </c>
      <c r="I24" s="5">
        <f t="shared" si="5"/>
        <v>1.1000000000000085</v>
      </c>
    </row>
    <row r="25" spans="2:9" x14ac:dyDescent="0.15">
      <c r="B25" s="4"/>
      <c r="C25" s="4" t="s">
        <v>11</v>
      </c>
      <c r="D25" s="5">
        <f t="shared" ref="D25:I25" si="6">D9</f>
        <v>-0.76999999999999602</v>
      </c>
      <c r="E25" s="5">
        <f t="shared" si="6"/>
        <v>-0.60999999999999943</v>
      </c>
      <c r="F25" s="5">
        <f t="shared" si="6"/>
        <v>-0.62000000000000455</v>
      </c>
      <c r="G25" s="5">
        <f t="shared" si="6"/>
        <v>0.20000000000000284</v>
      </c>
      <c r="H25" s="5">
        <f t="shared" si="6"/>
        <v>0.50999999999999091</v>
      </c>
      <c r="I25" s="5">
        <f t="shared" si="6"/>
        <v>0.60999999999999943</v>
      </c>
    </row>
    <row r="26" spans="2:9" x14ac:dyDescent="0.15">
      <c r="B26" s="4"/>
      <c r="C26" s="4" t="s">
        <v>41</v>
      </c>
      <c r="D26" s="5">
        <f t="shared" ref="D26:I26" si="7">D13</f>
        <v>-1.526059291920987</v>
      </c>
      <c r="E26" s="5">
        <f t="shared" si="7"/>
        <v>-0.85451874200199995</v>
      </c>
      <c r="F26" s="5">
        <f t="shared" si="7"/>
        <v>1.0506905275489942</v>
      </c>
      <c r="G26" s="5">
        <f t="shared" si="7"/>
        <v>0.67259409676900361</v>
      </c>
      <c r="H26" s="5">
        <f t="shared" si="7"/>
        <v>-0.54258224154899892</v>
      </c>
      <c r="I26" s="5">
        <f t="shared" si="7"/>
        <v>0.21267732394099426</v>
      </c>
    </row>
    <row r="27" spans="2:9" x14ac:dyDescent="0.15">
      <c r="B27" s="4"/>
      <c r="C27" s="4" t="s">
        <v>21</v>
      </c>
      <c r="D27" s="5">
        <f t="shared" ref="D27:I27" si="8">D17</f>
        <v>-2.7977483613219931</v>
      </c>
      <c r="E27" s="5">
        <f t="shared" si="8"/>
        <v>-1.812944511325</v>
      </c>
      <c r="F27" s="5">
        <f t="shared" si="8"/>
        <v>0.43084782630400298</v>
      </c>
      <c r="G27" s="5">
        <f t="shared" si="8"/>
        <v>-0.29204610075299797</v>
      </c>
      <c r="H27" s="5">
        <f t="shared" si="8"/>
        <v>-1.3548178018689896</v>
      </c>
      <c r="I27" s="5">
        <f t="shared" si="8"/>
        <v>1.7652216637998208E-2</v>
      </c>
    </row>
    <row r="28" spans="2:9" x14ac:dyDescent="0.15">
      <c r="B28" s="4"/>
      <c r="C28" s="4" t="s">
        <v>14</v>
      </c>
      <c r="D28" s="5">
        <f t="shared" ref="D28:I28" si="9">D21</f>
        <v>-2.2199999999999989</v>
      </c>
      <c r="E28" s="5">
        <f t="shared" si="9"/>
        <v>-1.4200000000000017</v>
      </c>
      <c r="F28" s="5">
        <f t="shared" si="9"/>
        <v>-8.0000000000012506E-2</v>
      </c>
      <c r="G28" s="5">
        <f t="shared" si="9"/>
        <v>1.480000000000004</v>
      </c>
      <c r="H28" s="5">
        <f t="shared" si="9"/>
        <v>2.0100000000000051</v>
      </c>
      <c r="I28" s="5">
        <f t="shared" si="9"/>
        <v>3.5</v>
      </c>
    </row>
  </sheetData>
  <phoneticPr fontId="19" type="noConversion"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B2:H36"/>
  <sheetViews>
    <sheetView workbookViewId="0">
      <selection activeCell="D39" sqref="D39"/>
    </sheetView>
  </sheetViews>
  <sheetFormatPr defaultColWidth="9" defaultRowHeight="13.5" x14ac:dyDescent="0.15"/>
  <cols>
    <col min="4" max="4" width="13.75"/>
    <col min="5" max="5" width="12.625"/>
    <col min="6" max="8" width="13.75"/>
  </cols>
  <sheetData>
    <row r="2" spans="2:8" x14ac:dyDescent="0.15">
      <c r="B2" s="3"/>
      <c r="C2" s="3"/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spans="2:8" x14ac:dyDescent="0.15">
      <c r="B3" s="4"/>
      <c r="C3" s="4" t="s">
        <v>38</v>
      </c>
      <c r="D3" s="4">
        <v>103.53</v>
      </c>
      <c r="E3" s="4">
        <v>103.85</v>
      </c>
      <c r="F3" s="4">
        <v>104.97</v>
      </c>
      <c r="G3" s="4">
        <v>105.37</v>
      </c>
      <c r="H3" s="4">
        <v>105.65</v>
      </c>
    </row>
    <row r="4" spans="2:8" x14ac:dyDescent="0.15">
      <c r="B4" s="4" t="s">
        <v>8</v>
      </c>
      <c r="C4" s="4" t="s">
        <v>39</v>
      </c>
      <c r="D4" s="4">
        <v>103.52</v>
      </c>
      <c r="E4" s="4">
        <v>102.6</v>
      </c>
      <c r="F4" s="4">
        <v>103.59</v>
      </c>
      <c r="G4" s="4">
        <v>104.63</v>
      </c>
      <c r="H4" s="4">
        <v>104.38</v>
      </c>
    </row>
    <row r="5" spans="2:8" x14ac:dyDescent="0.15">
      <c r="B5" s="4"/>
      <c r="C5" s="4" t="s">
        <v>40</v>
      </c>
      <c r="D5" s="4">
        <f>D3-D4</f>
        <v>1.0000000000005116E-2</v>
      </c>
      <c r="E5" s="4">
        <f>E3-E4</f>
        <v>1.25</v>
      </c>
      <c r="F5" s="4">
        <f>F3-F4</f>
        <v>1.3799999999999955</v>
      </c>
      <c r="G5" s="4">
        <f>G3-G4</f>
        <v>0.74000000000000909</v>
      </c>
      <c r="H5" s="4">
        <f>H3-H4</f>
        <v>1.2700000000000102</v>
      </c>
    </row>
    <row r="6" spans="2:8" x14ac:dyDescent="0.15">
      <c r="B6" s="4"/>
      <c r="C6" s="4"/>
      <c r="D6" s="4"/>
      <c r="E6" s="4"/>
      <c r="F6" s="4"/>
      <c r="G6" s="4"/>
      <c r="H6" s="4"/>
    </row>
    <row r="7" spans="2:8" x14ac:dyDescent="0.15">
      <c r="B7" s="4" t="s">
        <v>11</v>
      </c>
      <c r="C7" s="4" t="s">
        <v>38</v>
      </c>
      <c r="D7" s="4">
        <v>103.36</v>
      </c>
      <c r="E7" s="4">
        <v>103.64</v>
      </c>
      <c r="F7" s="4">
        <v>104.38</v>
      </c>
      <c r="G7" s="4">
        <v>105.13</v>
      </c>
      <c r="H7" s="4">
        <v>105.48</v>
      </c>
    </row>
    <row r="8" spans="2:8" x14ac:dyDescent="0.15">
      <c r="B8" s="4"/>
      <c r="C8" s="4" t="s">
        <v>39</v>
      </c>
      <c r="D8" s="4">
        <v>103.67</v>
      </c>
      <c r="E8" s="4">
        <v>103.92</v>
      </c>
      <c r="F8" s="4">
        <v>104.02</v>
      </c>
      <c r="G8" s="4">
        <v>104.71</v>
      </c>
      <c r="H8" s="4">
        <v>104.8</v>
      </c>
    </row>
    <row r="9" spans="2:8" x14ac:dyDescent="0.15">
      <c r="B9" s="4"/>
      <c r="C9" s="4" t="s">
        <v>40</v>
      </c>
      <c r="D9" s="4">
        <f>D7-D8</f>
        <v>-0.31000000000000227</v>
      </c>
      <c r="E9" s="4">
        <f>E7-E8</f>
        <v>-0.28000000000000114</v>
      </c>
      <c r="F9" s="4">
        <f>F7-F8</f>
        <v>0.35999999999999943</v>
      </c>
      <c r="G9" s="4">
        <f>G7-G8</f>
        <v>0.42000000000000171</v>
      </c>
      <c r="H9" s="4">
        <f>H7-H8</f>
        <v>0.68000000000000682</v>
      </c>
    </row>
    <row r="10" spans="2:8" x14ac:dyDescent="0.15">
      <c r="B10" s="4"/>
      <c r="C10" s="4"/>
      <c r="D10" s="4"/>
      <c r="E10" s="4"/>
      <c r="F10" s="4"/>
      <c r="G10" s="4"/>
      <c r="H10" s="4"/>
    </row>
    <row r="11" spans="2:8" x14ac:dyDescent="0.15">
      <c r="B11" s="4"/>
      <c r="C11" s="4" t="s">
        <v>38</v>
      </c>
      <c r="D11" s="5">
        <v>105.198927914484</v>
      </c>
      <c r="E11" s="5">
        <v>105.198644480231</v>
      </c>
      <c r="F11" s="5">
        <v>105.81</v>
      </c>
      <c r="G11" s="5">
        <v>106.35</v>
      </c>
      <c r="H11" s="5">
        <v>106.8</v>
      </c>
    </row>
    <row r="12" spans="2:8" x14ac:dyDescent="0.15">
      <c r="B12" s="4" t="s">
        <v>41</v>
      </c>
      <c r="C12" s="4" t="s">
        <v>39</v>
      </c>
      <c r="D12" s="5">
        <v>105.87</v>
      </c>
      <c r="E12" s="5">
        <v>104.41</v>
      </c>
      <c r="F12" s="5">
        <v>105.57</v>
      </c>
      <c r="G12" s="5">
        <v>107.28</v>
      </c>
      <c r="H12" s="5">
        <v>106.83</v>
      </c>
    </row>
    <row r="13" spans="2:8" x14ac:dyDescent="0.15">
      <c r="B13" s="4"/>
      <c r="C13" s="4" t="s">
        <v>40</v>
      </c>
      <c r="D13" s="5">
        <f>D11-D12</f>
        <v>-0.67107208551600195</v>
      </c>
      <c r="E13" s="5">
        <f>E11-E12</f>
        <v>0.78864448023099953</v>
      </c>
      <c r="F13" s="5">
        <f>F11-F12</f>
        <v>0.24000000000000909</v>
      </c>
      <c r="G13" s="5">
        <f>G11-G12</f>
        <v>-0.93000000000000682</v>
      </c>
      <c r="H13" s="5">
        <f>H11-H12</f>
        <v>-3.0000000000001137E-2</v>
      </c>
    </row>
    <row r="14" spans="2:8" x14ac:dyDescent="0.15">
      <c r="B14" s="4"/>
      <c r="C14" s="4"/>
      <c r="D14" s="4"/>
      <c r="E14" s="4"/>
      <c r="F14" s="4"/>
      <c r="G14" s="4"/>
      <c r="H14" s="4"/>
    </row>
    <row r="15" spans="2:8" x14ac:dyDescent="0.15">
      <c r="B15" s="4"/>
      <c r="C15" s="4" t="s">
        <v>38</v>
      </c>
      <c r="D15" s="5">
        <v>103.39</v>
      </c>
      <c r="E15" s="5">
        <v>103.98</v>
      </c>
      <c r="F15" s="5">
        <v>104.23</v>
      </c>
      <c r="G15" s="5">
        <v>105.12</v>
      </c>
      <c r="H15" s="5">
        <v>106.64</v>
      </c>
    </row>
    <row r="16" spans="2:8" x14ac:dyDescent="0.15">
      <c r="B16" s="4" t="s">
        <v>21</v>
      </c>
      <c r="C16" s="4" t="s">
        <v>39</v>
      </c>
      <c r="D16" s="5">
        <v>104.48</v>
      </c>
      <c r="E16" s="5">
        <v>103.31</v>
      </c>
      <c r="F16" s="5">
        <v>104.21</v>
      </c>
      <c r="G16" s="5">
        <v>106.2</v>
      </c>
      <c r="H16" s="5">
        <v>106.14</v>
      </c>
    </row>
    <row r="17" spans="2:8" x14ac:dyDescent="0.15">
      <c r="B17" s="4"/>
      <c r="C17" s="4" t="s">
        <v>40</v>
      </c>
      <c r="D17" s="5">
        <f>D15-D16</f>
        <v>-1.0900000000000034</v>
      </c>
      <c r="E17" s="5">
        <f>E15-E16</f>
        <v>0.67000000000000171</v>
      </c>
      <c r="F17" s="5">
        <f>F15-F16</f>
        <v>2.0000000000010232E-2</v>
      </c>
      <c r="G17" s="5">
        <f>G15-G16</f>
        <v>-1.0799999999999983</v>
      </c>
      <c r="H17" s="5">
        <f>H15-H16</f>
        <v>0.5</v>
      </c>
    </row>
    <row r="18" spans="2:8" x14ac:dyDescent="0.15">
      <c r="B18" s="4"/>
      <c r="C18" s="4"/>
      <c r="D18" s="4"/>
      <c r="E18" s="4"/>
      <c r="F18" s="4"/>
      <c r="G18" s="4"/>
      <c r="H18" s="4"/>
    </row>
    <row r="19" spans="2:8" x14ac:dyDescent="0.15">
      <c r="B19" s="4" t="s">
        <v>14</v>
      </c>
      <c r="C19" s="4" t="s">
        <v>38</v>
      </c>
      <c r="D19" s="4">
        <v>102.81</v>
      </c>
      <c r="E19" s="4">
        <v>103.57</v>
      </c>
      <c r="F19" s="4">
        <v>104.88</v>
      </c>
      <c r="G19" s="4">
        <v>106.84</v>
      </c>
      <c r="H19" s="4">
        <v>107.79</v>
      </c>
    </row>
    <row r="20" spans="2:8" x14ac:dyDescent="0.15">
      <c r="B20" s="4"/>
      <c r="C20" s="4" t="s">
        <v>39</v>
      </c>
      <c r="D20" s="4">
        <v>104.26</v>
      </c>
      <c r="E20" s="4">
        <v>103.5</v>
      </c>
      <c r="F20" s="4">
        <v>103.72</v>
      </c>
      <c r="G20" s="4">
        <v>105.43</v>
      </c>
      <c r="H20" s="4">
        <v>105.15</v>
      </c>
    </row>
    <row r="21" spans="2:8" x14ac:dyDescent="0.15">
      <c r="B21" s="4"/>
      <c r="C21" s="4" t="s">
        <v>40</v>
      </c>
      <c r="D21" s="5">
        <f>D19-D20</f>
        <v>-1.4500000000000028</v>
      </c>
      <c r="E21" s="5">
        <f>E19-E20</f>
        <v>6.9999999999993179E-2</v>
      </c>
      <c r="F21" s="5">
        <f>F19-F20</f>
        <v>1.1599999999999966</v>
      </c>
      <c r="G21" s="5">
        <f>G19-G20</f>
        <v>1.4099999999999966</v>
      </c>
      <c r="H21" s="5">
        <f>H19-H20</f>
        <v>2.6400000000000006</v>
      </c>
    </row>
    <row r="22" spans="2:8" x14ac:dyDescent="0.15">
      <c r="B22" s="4"/>
      <c r="C22" s="4"/>
      <c r="D22" s="4"/>
      <c r="E22" s="4"/>
      <c r="F22" s="4"/>
      <c r="G22" s="4"/>
      <c r="H22" s="4"/>
    </row>
    <row r="23" spans="2:8" x14ac:dyDescent="0.15">
      <c r="B23" s="3"/>
      <c r="C23" s="3"/>
      <c r="D23" s="3" t="s">
        <v>33</v>
      </c>
      <c r="E23" s="3" t="s">
        <v>34</v>
      </c>
      <c r="F23" s="3" t="s">
        <v>35</v>
      </c>
      <c r="G23" s="3" t="s">
        <v>36</v>
      </c>
      <c r="H23" s="3" t="s">
        <v>37</v>
      </c>
    </row>
    <row r="24" spans="2:8" x14ac:dyDescent="0.15">
      <c r="B24" s="4"/>
      <c r="C24" s="4" t="s">
        <v>8</v>
      </c>
      <c r="D24" s="5">
        <f>D5</f>
        <v>1.0000000000005116E-2</v>
      </c>
      <c r="E24" s="5">
        <f>E5</f>
        <v>1.25</v>
      </c>
      <c r="F24" s="5">
        <f>F5</f>
        <v>1.3799999999999955</v>
      </c>
      <c r="G24" s="5">
        <f>G5</f>
        <v>0.74000000000000909</v>
      </c>
      <c r="H24" s="5">
        <f>H5</f>
        <v>1.2700000000000102</v>
      </c>
    </row>
    <row r="25" spans="2:8" x14ac:dyDescent="0.15">
      <c r="B25" s="4"/>
      <c r="C25" s="4" t="s">
        <v>11</v>
      </c>
      <c r="D25" s="5">
        <f>D9</f>
        <v>-0.31000000000000227</v>
      </c>
      <c r="E25" s="5">
        <f>E9</f>
        <v>-0.28000000000000114</v>
      </c>
      <c r="F25" s="5">
        <f>F9</f>
        <v>0.35999999999999943</v>
      </c>
      <c r="G25" s="5">
        <f>G9</f>
        <v>0.42000000000000171</v>
      </c>
      <c r="H25" s="5">
        <f>H9</f>
        <v>0.68000000000000682</v>
      </c>
    </row>
    <row r="26" spans="2:8" x14ac:dyDescent="0.15">
      <c r="B26" s="4"/>
      <c r="C26" s="4" t="s">
        <v>41</v>
      </c>
      <c r="D26" s="5">
        <f>D13</f>
        <v>-0.67107208551600195</v>
      </c>
      <c r="E26" s="5">
        <f>E13</f>
        <v>0.78864448023099953</v>
      </c>
      <c r="F26" s="5">
        <f>F13</f>
        <v>0.24000000000000909</v>
      </c>
      <c r="G26" s="5">
        <f>G13</f>
        <v>-0.93000000000000682</v>
      </c>
      <c r="H26" s="5">
        <f>H13</f>
        <v>-3.0000000000001137E-2</v>
      </c>
    </row>
    <row r="27" spans="2:8" x14ac:dyDescent="0.15">
      <c r="B27" s="4"/>
      <c r="C27" s="4" t="s">
        <v>21</v>
      </c>
      <c r="D27" s="5">
        <f>D17</f>
        <v>-1.0900000000000034</v>
      </c>
      <c r="E27" s="5">
        <f>E17</f>
        <v>0.67000000000000171</v>
      </c>
      <c r="F27" s="5">
        <f>F17</f>
        <v>2.0000000000010232E-2</v>
      </c>
      <c r="G27" s="5">
        <f>G17</f>
        <v>-1.0799999999999983</v>
      </c>
      <c r="H27" s="5">
        <f>H17</f>
        <v>0.5</v>
      </c>
    </row>
    <row r="28" spans="2:8" x14ac:dyDescent="0.15">
      <c r="B28" s="4"/>
      <c r="C28" s="4" t="s">
        <v>14</v>
      </c>
      <c r="D28" s="5">
        <f>D21</f>
        <v>-1.4500000000000028</v>
      </c>
      <c r="E28" s="5">
        <f>E21</f>
        <v>6.9999999999993179E-2</v>
      </c>
      <c r="F28" s="5">
        <f>F21</f>
        <v>1.1599999999999966</v>
      </c>
      <c r="G28" s="5">
        <f>G21</f>
        <v>1.4099999999999966</v>
      </c>
      <c r="H28" s="5">
        <f>H21</f>
        <v>2.6400000000000006</v>
      </c>
    </row>
    <row r="31" spans="2:8" x14ac:dyDescent="0.15">
      <c r="B31" s="35" t="s">
        <v>42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</row>
    <row r="32" spans="2:8" x14ac:dyDescent="0.15">
      <c r="B32" s="35"/>
      <c r="C32" t="s">
        <v>8</v>
      </c>
      <c r="D32" s="6">
        <f>D24-'202411'!E24</f>
        <v>-0.18999999999999773</v>
      </c>
      <c r="E32" s="6">
        <f>E24-'202411'!F24</f>
        <v>4.9999999999997158E-2</v>
      </c>
      <c r="F32" s="6">
        <f>F24-'202411'!G24</f>
        <v>-0.12000000000000455</v>
      </c>
      <c r="G32" s="6">
        <f>G24-'202411'!H24</f>
        <v>-6.0000000000002274E-2</v>
      </c>
      <c r="H32" s="6">
        <f>H24-'202411'!I24</f>
        <v>0.17000000000000171</v>
      </c>
    </row>
    <row r="33" spans="2:8" x14ac:dyDescent="0.15">
      <c r="B33" s="35"/>
      <c r="C33" t="s">
        <v>11</v>
      </c>
      <c r="D33" s="6">
        <f>D25-'202411'!E25</f>
        <v>0.29999999999999716</v>
      </c>
      <c r="E33" s="6">
        <f>E25-'202411'!F25</f>
        <v>0.34000000000000341</v>
      </c>
      <c r="F33" s="6">
        <f>F25-'202411'!G25</f>
        <v>0.15999999999999659</v>
      </c>
      <c r="G33" s="6">
        <f>G25-'202411'!H25</f>
        <v>-8.99999999999892E-2</v>
      </c>
      <c r="H33" s="6">
        <f>H25-'202411'!I25</f>
        <v>7.000000000000739E-2</v>
      </c>
    </row>
    <row r="34" spans="2:8" x14ac:dyDescent="0.15">
      <c r="B34" s="35"/>
      <c r="C34" s="4" t="s">
        <v>41</v>
      </c>
      <c r="D34" s="6">
        <f>D26-'202411'!E26</f>
        <v>0.18344665648599801</v>
      </c>
      <c r="E34" s="6">
        <f>E26-'202411'!F26</f>
        <v>-0.26204604731799463</v>
      </c>
      <c r="F34" s="6">
        <f>F26-'202411'!G26</f>
        <v>-0.43259409676899452</v>
      </c>
      <c r="G34" s="6">
        <f>G26-'202411'!H26</f>
        <v>-0.3874177584510079</v>
      </c>
      <c r="H34" s="6">
        <f>H26-'202411'!I26</f>
        <v>-0.24267732394099539</v>
      </c>
    </row>
    <row r="35" spans="2:8" x14ac:dyDescent="0.15">
      <c r="B35" s="35"/>
      <c r="C35" t="s">
        <v>21</v>
      </c>
      <c r="D35" s="6">
        <f>D27-'202411'!E27</f>
        <v>0.7229445113249966</v>
      </c>
      <c r="E35" s="6">
        <f>E27-'202411'!F27</f>
        <v>0.23915217369599873</v>
      </c>
      <c r="F35" s="6">
        <f>F27-'202411'!G27</f>
        <v>0.3120461007530082</v>
      </c>
      <c r="G35" s="6">
        <f>G27-'202411'!H27</f>
        <v>0.2748178018689913</v>
      </c>
      <c r="H35" s="6">
        <f>H27-'202411'!I27</f>
        <v>0.48234778336200179</v>
      </c>
    </row>
    <row r="36" spans="2:8" x14ac:dyDescent="0.15">
      <c r="B36" s="35"/>
      <c r="C36" t="s">
        <v>14</v>
      </c>
      <c r="D36" s="6">
        <f>D28-'202411'!E28</f>
        <v>-3.0000000000001137E-2</v>
      </c>
      <c r="E36" s="6">
        <f>E28-'202411'!F28</f>
        <v>0.15000000000000568</v>
      </c>
      <c r="F36" s="6">
        <f>F28-'202411'!G28</f>
        <v>-0.32000000000000739</v>
      </c>
      <c r="G36" s="6">
        <f>G28-'202411'!H28</f>
        <v>-0.60000000000000853</v>
      </c>
      <c r="H36" s="6">
        <f>H28-'202411'!I28</f>
        <v>-0.85999999999999943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B2:G36"/>
  <sheetViews>
    <sheetView workbookViewId="0">
      <selection activeCell="G28" sqref="G28"/>
    </sheetView>
  </sheetViews>
  <sheetFormatPr defaultColWidth="9" defaultRowHeight="13.5" x14ac:dyDescent="0.15"/>
  <cols>
    <col min="4" max="4" width="12.625"/>
    <col min="5" max="7" width="13.75"/>
  </cols>
  <sheetData>
    <row r="2" spans="2:7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</row>
    <row r="3" spans="2:7" x14ac:dyDescent="0.15">
      <c r="B3" s="4"/>
      <c r="C3" s="4" t="s">
        <v>38</v>
      </c>
      <c r="D3" s="4">
        <v>103.6</v>
      </c>
      <c r="E3" s="4">
        <v>104.8</v>
      </c>
      <c r="F3" s="4">
        <v>105.3</v>
      </c>
      <c r="G3" s="4">
        <v>105.6</v>
      </c>
    </row>
    <row r="4" spans="2:7" x14ac:dyDescent="0.15">
      <c r="B4" s="4" t="s">
        <v>8</v>
      </c>
      <c r="C4" s="4" t="s">
        <v>39</v>
      </c>
      <c r="D4" s="4">
        <v>102.6</v>
      </c>
      <c r="E4" s="4">
        <v>103.6</v>
      </c>
      <c r="F4" s="4">
        <v>104.63</v>
      </c>
      <c r="G4" s="4">
        <v>104.6</v>
      </c>
    </row>
    <row r="5" spans="2:7" x14ac:dyDescent="0.15">
      <c r="B5" s="4"/>
      <c r="C5" s="4" t="s">
        <v>40</v>
      </c>
      <c r="D5" s="4">
        <f>D3-D4</f>
        <v>1</v>
      </c>
      <c r="E5" s="4">
        <f>E3-E4</f>
        <v>1.2000000000000028</v>
      </c>
      <c r="F5" s="4">
        <f>F3-F4</f>
        <v>0.67000000000000171</v>
      </c>
      <c r="G5" s="4">
        <f>G3-G4</f>
        <v>1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4">
        <v>103.14</v>
      </c>
      <c r="E7" s="4">
        <v>103.91</v>
      </c>
      <c r="F7" s="4">
        <v>104.7</v>
      </c>
      <c r="G7" s="4">
        <v>105.19</v>
      </c>
    </row>
    <row r="8" spans="2:7" x14ac:dyDescent="0.15">
      <c r="B8" s="4"/>
      <c r="C8" s="4" t="s">
        <v>39</v>
      </c>
      <c r="D8" s="4">
        <v>103.87</v>
      </c>
      <c r="E8" s="4">
        <v>103.96</v>
      </c>
      <c r="F8" s="4">
        <v>104.68</v>
      </c>
      <c r="G8" s="4">
        <v>104.81</v>
      </c>
    </row>
    <row r="9" spans="2:7" x14ac:dyDescent="0.15">
      <c r="B9" s="4"/>
      <c r="C9" s="4" t="s">
        <v>40</v>
      </c>
      <c r="D9" s="4">
        <f>D7-D8</f>
        <v>-0.73000000000000398</v>
      </c>
      <c r="E9" s="4">
        <f>E7-E8</f>
        <v>-4.9999999999997158E-2</v>
      </c>
      <c r="F9" s="4">
        <f>F7-F8</f>
        <v>1.9999999999996021E-2</v>
      </c>
      <c r="G9" s="4">
        <f>G7-G8</f>
        <v>0.37999999999999545</v>
      </c>
    </row>
    <row r="10" spans="2:7" x14ac:dyDescent="0.15">
      <c r="B10" s="4"/>
      <c r="C10" s="4"/>
      <c r="D10" s="4"/>
      <c r="E10" s="4"/>
      <c r="F10" s="4"/>
      <c r="G10" s="4"/>
    </row>
    <row r="11" spans="2:7" x14ac:dyDescent="0.15">
      <c r="B11" s="4"/>
      <c r="C11" s="4" t="s">
        <v>38</v>
      </c>
      <c r="D11" s="5">
        <v>105.198644480231</v>
      </c>
      <c r="E11" s="5">
        <v>105.81</v>
      </c>
      <c r="F11" s="5">
        <v>106.35</v>
      </c>
      <c r="G11" s="5">
        <v>106.8</v>
      </c>
    </row>
    <row r="12" spans="2:7" x14ac:dyDescent="0.15">
      <c r="B12" s="4" t="s">
        <v>41</v>
      </c>
      <c r="C12" s="4" t="s">
        <v>39</v>
      </c>
      <c r="D12" s="5">
        <v>104.24</v>
      </c>
      <c r="E12" s="5">
        <v>105.3</v>
      </c>
      <c r="F12" s="5">
        <v>107.09</v>
      </c>
      <c r="G12" s="5">
        <v>106.81</v>
      </c>
    </row>
    <row r="13" spans="2:7" x14ac:dyDescent="0.15">
      <c r="B13" s="4"/>
      <c r="C13" s="4" t="s">
        <v>40</v>
      </c>
      <c r="D13" s="5">
        <f>D11-D12</f>
        <v>0.95864448023100124</v>
      </c>
      <c r="E13" s="5">
        <f>E11-E12</f>
        <v>0.51000000000000512</v>
      </c>
      <c r="F13" s="5">
        <f>F11-F12</f>
        <v>-0.74000000000000909</v>
      </c>
      <c r="G13" s="5">
        <f>G11-G12</f>
        <v>-1.0000000000005116E-2</v>
      </c>
    </row>
    <row r="14" spans="2:7" x14ac:dyDescent="0.15">
      <c r="B14" s="4"/>
      <c r="C14" s="4"/>
      <c r="D14" s="4"/>
      <c r="E14" s="4"/>
      <c r="F14" s="4"/>
      <c r="G14" s="4"/>
    </row>
    <row r="15" spans="2:7" x14ac:dyDescent="0.15">
      <c r="B15" s="4"/>
      <c r="C15" s="4" t="s">
        <v>38</v>
      </c>
      <c r="D15" s="5">
        <v>103.98</v>
      </c>
      <c r="E15" s="5">
        <v>104.23</v>
      </c>
      <c r="F15" s="5">
        <v>105.12</v>
      </c>
      <c r="G15" s="5">
        <v>106.64</v>
      </c>
    </row>
    <row r="16" spans="2:7" x14ac:dyDescent="0.15">
      <c r="B16" s="4" t="s">
        <v>21</v>
      </c>
      <c r="C16" s="4" t="s">
        <v>39</v>
      </c>
      <c r="D16" s="5">
        <v>103.03</v>
      </c>
      <c r="E16" s="5">
        <v>103.92</v>
      </c>
      <c r="F16" s="5">
        <v>105.91</v>
      </c>
      <c r="G16" s="5">
        <v>105.79</v>
      </c>
    </row>
    <row r="17" spans="2:7" x14ac:dyDescent="0.15">
      <c r="B17" s="4"/>
      <c r="C17" s="4" t="s">
        <v>40</v>
      </c>
      <c r="D17" s="5">
        <f>D15-D16</f>
        <v>0.95000000000000284</v>
      </c>
      <c r="E17" s="5">
        <f>E15-E16</f>
        <v>0.31000000000000227</v>
      </c>
      <c r="F17" s="5">
        <f>F15-F16</f>
        <v>-0.78999999999999204</v>
      </c>
      <c r="G17" s="5">
        <f>G15-G16</f>
        <v>0.84999999999999432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4">
        <v>103.09</v>
      </c>
      <c r="E19" s="4">
        <v>104.22</v>
      </c>
      <c r="F19" s="4">
        <v>106.09</v>
      </c>
      <c r="G19" s="4">
        <v>106.94</v>
      </c>
    </row>
    <row r="20" spans="2:7" x14ac:dyDescent="0.15">
      <c r="B20" s="4"/>
      <c r="C20" s="4" t="s">
        <v>39</v>
      </c>
      <c r="D20" s="4">
        <v>103.52</v>
      </c>
      <c r="E20" s="4">
        <v>103.82</v>
      </c>
      <c r="F20" s="4">
        <v>105.55</v>
      </c>
      <c r="G20" s="4">
        <v>105.17</v>
      </c>
    </row>
    <row r="21" spans="2:7" x14ac:dyDescent="0.15">
      <c r="B21" s="4"/>
      <c r="C21" s="4" t="s">
        <v>40</v>
      </c>
      <c r="D21" s="5">
        <f>D19-D20</f>
        <v>-0.42999999999999261</v>
      </c>
      <c r="E21" s="5">
        <f>E19-E20</f>
        <v>0.40000000000000568</v>
      </c>
      <c r="F21" s="5">
        <f>F19-F20</f>
        <v>0.54000000000000625</v>
      </c>
      <c r="G21" s="5">
        <f>G19-G20</f>
        <v>1.769999999999996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>D5</f>
        <v>1</v>
      </c>
      <c r="E24" s="5">
        <f>E5</f>
        <v>1.2000000000000028</v>
      </c>
      <c r="F24" s="5">
        <f>F5</f>
        <v>0.67000000000000171</v>
      </c>
      <c r="G24" s="5">
        <f>G5</f>
        <v>1</v>
      </c>
    </row>
    <row r="25" spans="2:7" x14ac:dyDescent="0.15">
      <c r="B25" s="4"/>
      <c r="C25" s="4" t="s">
        <v>11</v>
      </c>
      <c r="D25" s="5">
        <f>D9</f>
        <v>-0.73000000000000398</v>
      </c>
      <c r="E25" s="5">
        <f>E9</f>
        <v>-4.9999999999997158E-2</v>
      </c>
      <c r="F25" s="5">
        <f>F9</f>
        <v>1.9999999999996021E-2</v>
      </c>
      <c r="G25" s="5">
        <f>G9</f>
        <v>0.37999999999999545</v>
      </c>
    </row>
    <row r="26" spans="2:7" x14ac:dyDescent="0.15">
      <c r="B26" s="4"/>
      <c r="C26" s="4" t="s">
        <v>41</v>
      </c>
      <c r="D26" s="5">
        <f>D13</f>
        <v>0.95864448023100124</v>
      </c>
      <c r="E26" s="5">
        <f>E13</f>
        <v>0.51000000000000512</v>
      </c>
      <c r="F26" s="5">
        <f>F13</f>
        <v>-0.74000000000000909</v>
      </c>
      <c r="G26" s="5">
        <f>G13</f>
        <v>-1.0000000000005116E-2</v>
      </c>
    </row>
    <row r="27" spans="2:7" x14ac:dyDescent="0.15">
      <c r="B27" s="4"/>
      <c r="C27" s="4" t="s">
        <v>21</v>
      </c>
      <c r="D27" s="5">
        <f>D17</f>
        <v>0.95000000000000284</v>
      </c>
      <c r="E27" s="5">
        <f>E17</f>
        <v>0.31000000000000227</v>
      </c>
      <c r="F27" s="5">
        <f>F17</f>
        <v>-0.78999999999999204</v>
      </c>
      <c r="G27" s="5">
        <f>G17</f>
        <v>0.84999999999999432</v>
      </c>
    </row>
    <row r="28" spans="2:7" x14ac:dyDescent="0.15">
      <c r="B28" s="4"/>
      <c r="C28" s="4" t="s">
        <v>14</v>
      </c>
      <c r="D28" s="5">
        <f>D21</f>
        <v>-0.42999999999999261</v>
      </c>
      <c r="E28" s="5">
        <f>E21</f>
        <v>0.40000000000000568</v>
      </c>
      <c r="F28" s="5">
        <f>F21</f>
        <v>0.54000000000000625</v>
      </c>
      <c r="G28" s="5">
        <f>G21</f>
        <v>1.769999999999996</v>
      </c>
    </row>
    <row r="31" spans="2:7" x14ac:dyDescent="0.15">
      <c r="B31" s="35" t="s">
        <v>42</v>
      </c>
      <c r="D31" t="s">
        <v>34</v>
      </c>
      <c r="E31" t="s">
        <v>35</v>
      </c>
      <c r="F31" t="s">
        <v>36</v>
      </c>
      <c r="G31" t="s">
        <v>37</v>
      </c>
    </row>
    <row r="32" spans="2:7" x14ac:dyDescent="0.15">
      <c r="B32" s="35"/>
      <c r="C32" s="4" t="s">
        <v>8</v>
      </c>
      <c r="D32" s="6">
        <f>D24-'202412'!E24</f>
        <v>-0.25</v>
      </c>
      <c r="E32" s="6">
        <f>E24-'202412'!F24</f>
        <v>-0.17999999999999261</v>
      </c>
      <c r="F32" s="6">
        <f>F24-'202412'!G24</f>
        <v>-7.000000000000739E-2</v>
      </c>
      <c r="G32" s="6">
        <f>G24-'202412'!H24</f>
        <v>-0.27000000000001023</v>
      </c>
    </row>
    <row r="33" spans="2:7" x14ac:dyDescent="0.15">
      <c r="B33" s="35"/>
      <c r="C33" s="4" t="s">
        <v>11</v>
      </c>
      <c r="D33" s="6">
        <f>D25-'202412'!E25</f>
        <v>-0.45000000000000284</v>
      </c>
      <c r="E33" s="6">
        <f>E25-'202412'!F25</f>
        <v>-0.40999999999999659</v>
      </c>
      <c r="F33" s="6">
        <f>F25-'202412'!G25</f>
        <v>-0.40000000000000568</v>
      </c>
      <c r="G33" s="6">
        <f>G25-'202412'!H25</f>
        <v>-0.30000000000001137</v>
      </c>
    </row>
    <row r="34" spans="2:7" x14ac:dyDescent="0.15">
      <c r="B34" s="35"/>
      <c r="C34" s="4" t="s">
        <v>41</v>
      </c>
      <c r="D34" s="6">
        <f>D26-'202412'!E26</f>
        <v>0.17000000000000171</v>
      </c>
      <c r="E34" s="6">
        <f>E26-'202412'!F26</f>
        <v>0.26999999999999602</v>
      </c>
      <c r="F34" s="6">
        <f>F26-'202412'!G26</f>
        <v>0.18999999999999773</v>
      </c>
      <c r="G34" s="6">
        <f>G26-'202412'!H26</f>
        <v>1.9999999999996021E-2</v>
      </c>
    </row>
    <row r="35" spans="2:7" x14ac:dyDescent="0.15">
      <c r="B35" s="35"/>
      <c r="C35" s="4" t="s">
        <v>21</v>
      </c>
      <c r="D35" s="6">
        <f>D27-'202412'!E27</f>
        <v>0.28000000000000114</v>
      </c>
      <c r="E35" s="6">
        <f>E27-'202412'!F27</f>
        <v>0.28999999999999204</v>
      </c>
      <c r="F35" s="6">
        <f>F27-'202412'!G27</f>
        <v>0.29000000000000625</v>
      </c>
      <c r="G35" s="6">
        <f>G27-'202412'!H27</f>
        <v>0.34999999999999432</v>
      </c>
    </row>
    <row r="36" spans="2:7" x14ac:dyDescent="0.15">
      <c r="B36" s="35"/>
      <c r="C36" s="4" t="s">
        <v>14</v>
      </c>
      <c r="D36" s="6">
        <f>D28-'202412'!E28</f>
        <v>-0.49999999999998579</v>
      </c>
      <c r="E36" s="6">
        <f>E28-'202412'!F28</f>
        <v>-0.75999999999999091</v>
      </c>
      <c r="F36" s="6">
        <f>F28-'202412'!G28</f>
        <v>-0.86999999999999034</v>
      </c>
      <c r="G36" s="6">
        <f>G28-'202412'!H28</f>
        <v>-0.87000000000000455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B2:G36"/>
  <sheetViews>
    <sheetView workbookViewId="0">
      <selection activeCell="D16" sqref="D16"/>
    </sheetView>
  </sheetViews>
  <sheetFormatPr defaultColWidth="9" defaultRowHeight="13.5" x14ac:dyDescent="0.15"/>
  <cols>
    <col min="4" max="4" width="12.625"/>
    <col min="5" max="7" width="13.75"/>
  </cols>
  <sheetData>
    <row r="2" spans="2:7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</row>
    <row r="3" spans="2:7" x14ac:dyDescent="0.15">
      <c r="B3" s="4"/>
      <c r="C3" s="4" t="s">
        <v>38</v>
      </c>
      <c r="D3" s="4">
        <v>103.3</v>
      </c>
      <c r="E3" s="4">
        <v>104.6</v>
      </c>
      <c r="F3" s="4">
        <v>105.2</v>
      </c>
      <c r="G3" s="4">
        <v>105.6</v>
      </c>
    </row>
    <row r="4" spans="2:7" x14ac:dyDescent="0.15">
      <c r="B4" s="4" t="s">
        <v>8</v>
      </c>
      <c r="C4" s="4" t="s">
        <v>39</v>
      </c>
      <c r="D4" s="4">
        <v>102.7</v>
      </c>
      <c r="E4" s="4">
        <v>103.7</v>
      </c>
      <c r="F4" s="4">
        <v>104.7</v>
      </c>
      <c r="G4" s="4">
        <v>104.7</v>
      </c>
    </row>
    <row r="5" spans="2:7" x14ac:dyDescent="0.15">
      <c r="B5" s="4"/>
      <c r="C5" s="4" t="s">
        <v>40</v>
      </c>
      <c r="D5" s="4">
        <f t="shared" ref="D5:G5" si="0">D3-D4</f>
        <v>0.59999999999999432</v>
      </c>
      <c r="E5" s="4">
        <f t="shared" si="0"/>
        <v>0.89999999999999147</v>
      </c>
      <c r="F5" s="4">
        <f t="shared" si="0"/>
        <v>0.5</v>
      </c>
      <c r="G5" s="4">
        <f t="shared" si="0"/>
        <v>0.89999999999999147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4">
        <v>103.16</v>
      </c>
      <c r="E7" s="4">
        <v>104</v>
      </c>
      <c r="F7" s="4">
        <v>104.88</v>
      </c>
      <c r="G7" s="4">
        <v>105.36</v>
      </c>
    </row>
    <row r="8" spans="2:7" x14ac:dyDescent="0.15">
      <c r="B8" s="4"/>
      <c r="C8" s="4" t="s">
        <v>39</v>
      </c>
      <c r="D8" s="4">
        <v>103.71</v>
      </c>
      <c r="E8" s="4">
        <v>103.74</v>
      </c>
      <c r="F8" s="4">
        <v>104.44</v>
      </c>
      <c r="G8" s="4">
        <v>104.53</v>
      </c>
    </row>
    <row r="9" spans="2:7" x14ac:dyDescent="0.15">
      <c r="B9" s="4"/>
      <c r="C9" s="4" t="s">
        <v>40</v>
      </c>
      <c r="D9" s="4">
        <f t="shared" ref="D9:G9" si="1">D7-D8</f>
        <v>-0.54999999999999716</v>
      </c>
      <c r="E9" s="4">
        <f t="shared" si="1"/>
        <v>0.26000000000000512</v>
      </c>
      <c r="F9" s="4">
        <f t="shared" si="1"/>
        <v>0.43999999999999773</v>
      </c>
      <c r="G9" s="4">
        <f t="shared" si="1"/>
        <v>0.82999999999999829</v>
      </c>
    </row>
    <row r="10" spans="2:7" x14ac:dyDescent="0.15">
      <c r="B10" s="4"/>
      <c r="C10" s="4"/>
      <c r="D10" s="4"/>
      <c r="E10" s="4"/>
      <c r="F10" s="4"/>
      <c r="G10" s="4"/>
    </row>
    <row r="11" spans="2:7" x14ac:dyDescent="0.15">
      <c r="B11" s="4"/>
      <c r="C11" s="4" t="s">
        <v>38</v>
      </c>
      <c r="D11" s="5">
        <v>105.281361211038</v>
      </c>
      <c r="E11" s="5">
        <v>105.765608278608</v>
      </c>
      <c r="F11" s="5">
        <v>106.27935153251801</v>
      </c>
      <c r="G11" s="5">
        <v>106.757189306174</v>
      </c>
    </row>
    <row r="12" spans="2:7" x14ac:dyDescent="0.15">
      <c r="B12" s="4" t="s">
        <v>41</v>
      </c>
      <c r="C12" s="4" t="s">
        <v>39</v>
      </c>
      <c r="D12" s="5">
        <v>104.485588395538</v>
      </c>
      <c r="E12" s="5">
        <v>105.48427286390201</v>
      </c>
      <c r="F12" s="5">
        <v>107.297743634106</v>
      </c>
      <c r="G12" s="5">
        <v>107.076688094994</v>
      </c>
    </row>
    <row r="13" spans="2:7" x14ac:dyDescent="0.15">
      <c r="B13" s="4"/>
      <c r="C13" s="4" t="s">
        <v>40</v>
      </c>
      <c r="D13" s="5">
        <f t="shared" ref="D13:G13" si="2">D11-D12</f>
        <v>0.79577281550000123</v>
      </c>
      <c r="E13" s="5">
        <f t="shared" si="2"/>
        <v>0.28133541470599255</v>
      </c>
      <c r="F13" s="5">
        <f t="shared" si="2"/>
        <v>-1.0183921015879918</v>
      </c>
      <c r="G13" s="5">
        <f t="shared" si="2"/>
        <v>-0.31949878881999894</v>
      </c>
    </row>
    <row r="14" spans="2:7" x14ac:dyDescent="0.15">
      <c r="B14" s="4"/>
      <c r="C14" s="4"/>
      <c r="D14" s="4"/>
      <c r="E14" s="4"/>
      <c r="F14" s="4"/>
      <c r="G14" s="4"/>
    </row>
    <row r="15" spans="2:7" x14ac:dyDescent="0.15">
      <c r="B15" s="4"/>
      <c r="C15" s="4" t="s">
        <v>38</v>
      </c>
      <c r="D15" s="5">
        <v>103.88</v>
      </c>
      <c r="E15" s="5">
        <v>104.24</v>
      </c>
      <c r="F15" s="5">
        <v>105.12</v>
      </c>
      <c r="G15" s="5">
        <v>106.53</v>
      </c>
    </row>
    <row r="16" spans="2:7" x14ac:dyDescent="0.15">
      <c r="B16" s="4" t="s">
        <v>21</v>
      </c>
      <c r="C16" s="4" t="s">
        <v>39</v>
      </c>
      <c r="D16" s="5">
        <v>102.81</v>
      </c>
      <c r="E16" s="5">
        <v>103.79</v>
      </c>
      <c r="F16" s="5">
        <v>105.67</v>
      </c>
      <c r="G16" s="5">
        <v>105.51</v>
      </c>
    </row>
    <row r="17" spans="2:7" x14ac:dyDescent="0.15">
      <c r="B17" s="4"/>
      <c r="C17" s="4" t="s">
        <v>40</v>
      </c>
      <c r="D17" s="5">
        <f t="shared" ref="D17:G17" si="3">D15-D16</f>
        <v>1.0699999999999932</v>
      </c>
      <c r="E17" s="5">
        <f t="shared" si="3"/>
        <v>0.44999999999998863</v>
      </c>
      <c r="F17" s="5">
        <f t="shared" si="3"/>
        <v>-0.54999999999999716</v>
      </c>
      <c r="G17" s="5">
        <f t="shared" si="3"/>
        <v>1.019999999999996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4">
        <v>103.13</v>
      </c>
      <c r="E19" s="4">
        <v>104.18</v>
      </c>
      <c r="F19" s="4">
        <v>106.11</v>
      </c>
      <c r="G19" s="4">
        <v>107.04</v>
      </c>
    </row>
    <row r="20" spans="2:7" x14ac:dyDescent="0.15">
      <c r="B20" s="4"/>
      <c r="C20" s="4" t="s">
        <v>39</v>
      </c>
      <c r="D20" s="4">
        <v>103.79</v>
      </c>
      <c r="E20" s="4">
        <v>103.61</v>
      </c>
      <c r="F20" s="4">
        <v>105.17</v>
      </c>
      <c r="G20" s="4">
        <v>105.21</v>
      </c>
    </row>
    <row r="21" spans="2:7" x14ac:dyDescent="0.15">
      <c r="B21" s="4"/>
      <c r="C21" s="4" t="s">
        <v>40</v>
      </c>
      <c r="D21" s="5">
        <f t="shared" ref="D21:G21" si="4">D19-D20</f>
        <v>-0.6600000000000108</v>
      </c>
      <c r="E21" s="5">
        <f t="shared" si="4"/>
        <v>0.57000000000000739</v>
      </c>
      <c r="F21" s="5">
        <f t="shared" si="4"/>
        <v>0.93999999999999773</v>
      </c>
      <c r="G21" s="5">
        <f t="shared" si="4"/>
        <v>1.8300000000000125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 t="shared" ref="D24:G24" si="5">D5</f>
        <v>0.59999999999999432</v>
      </c>
      <c r="E24" s="5">
        <f t="shared" si="5"/>
        <v>0.89999999999999147</v>
      </c>
      <c r="F24" s="5">
        <f t="shared" si="5"/>
        <v>0.5</v>
      </c>
      <c r="G24" s="5">
        <f t="shared" si="5"/>
        <v>0.89999999999999147</v>
      </c>
    </row>
    <row r="25" spans="2:7" x14ac:dyDescent="0.15">
      <c r="B25" s="4"/>
      <c r="C25" s="4" t="s">
        <v>11</v>
      </c>
      <c r="D25" s="5">
        <f t="shared" ref="D25:G25" si="6">D9</f>
        <v>-0.54999999999999716</v>
      </c>
      <c r="E25" s="5">
        <f t="shared" si="6"/>
        <v>0.26000000000000512</v>
      </c>
      <c r="F25" s="5">
        <f t="shared" si="6"/>
        <v>0.43999999999999773</v>
      </c>
      <c r="G25" s="5">
        <f t="shared" si="6"/>
        <v>0.82999999999999829</v>
      </c>
    </row>
    <row r="26" spans="2:7" x14ac:dyDescent="0.15">
      <c r="B26" s="4"/>
      <c r="C26" s="4" t="s">
        <v>41</v>
      </c>
      <c r="D26" s="5">
        <f t="shared" ref="D26:G26" si="7">D13</f>
        <v>0.79577281550000123</v>
      </c>
      <c r="E26" s="5">
        <f t="shared" si="7"/>
        <v>0.28133541470599255</v>
      </c>
      <c r="F26" s="5">
        <f t="shared" si="7"/>
        <v>-1.0183921015879918</v>
      </c>
      <c r="G26" s="5">
        <f t="shared" si="7"/>
        <v>-0.31949878881999894</v>
      </c>
    </row>
    <row r="27" spans="2:7" x14ac:dyDescent="0.15">
      <c r="B27" s="4"/>
      <c r="C27" s="4" t="s">
        <v>21</v>
      </c>
      <c r="D27" s="5">
        <f t="shared" ref="D27:G27" si="8">D17</f>
        <v>1.0699999999999932</v>
      </c>
      <c r="E27" s="5">
        <f t="shared" si="8"/>
        <v>0.44999999999998863</v>
      </c>
      <c r="F27" s="5">
        <f t="shared" si="8"/>
        <v>-0.54999999999999716</v>
      </c>
      <c r="G27" s="5">
        <f t="shared" si="8"/>
        <v>1.019999999999996</v>
      </c>
    </row>
    <row r="28" spans="2:7" x14ac:dyDescent="0.15">
      <c r="B28" s="4"/>
      <c r="C28" s="4" t="s">
        <v>14</v>
      </c>
      <c r="D28" s="5">
        <f t="shared" ref="D28:G28" si="9">D21</f>
        <v>-0.6600000000000108</v>
      </c>
      <c r="E28" s="5">
        <f t="shared" si="9"/>
        <v>0.57000000000000739</v>
      </c>
      <c r="F28" s="5">
        <f t="shared" si="9"/>
        <v>0.93999999999999773</v>
      </c>
      <c r="G28" s="5">
        <f t="shared" si="9"/>
        <v>1.8300000000000125</v>
      </c>
    </row>
    <row r="31" spans="2:7" x14ac:dyDescent="0.15">
      <c r="B31" s="35" t="s">
        <v>42</v>
      </c>
      <c r="D31" t="s">
        <v>34</v>
      </c>
      <c r="E31" t="s">
        <v>35</v>
      </c>
      <c r="F31" t="s">
        <v>36</v>
      </c>
      <c r="G31" t="s">
        <v>37</v>
      </c>
    </row>
    <row r="32" spans="2:7" x14ac:dyDescent="0.15">
      <c r="B32" s="35"/>
      <c r="C32" s="4" t="s">
        <v>8</v>
      </c>
      <c r="D32" s="6">
        <f>D24-'202501'!D24</f>
        <v>-0.40000000000000568</v>
      </c>
      <c r="E32" s="6">
        <f>E24-'202501'!E24</f>
        <v>-0.30000000000001137</v>
      </c>
      <c r="F32" s="6">
        <f>F24-'202501'!F24</f>
        <v>-0.17000000000000171</v>
      </c>
      <c r="G32" s="6">
        <f>G24-'202501'!G24</f>
        <v>-0.10000000000000853</v>
      </c>
    </row>
    <row r="33" spans="2:7" x14ac:dyDescent="0.15">
      <c r="B33" s="35"/>
      <c r="C33" s="4" t="s">
        <v>11</v>
      </c>
      <c r="D33" s="6">
        <f>D25-'202501'!D25</f>
        <v>0.18000000000000682</v>
      </c>
      <c r="E33" s="6">
        <f>E25-'202501'!E25</f>
        <v>0.31000000000000227</v>
      </c>
      <c r="F33" s="6">
        <f>F25-'202501'!F25</f>
        <v>0.42000000000000171</v>
      </c>
      <c r="G33" s="6">
        <f>G25-'202501'!G25</f>
        <v>0.45000000000000284</v>
      </c>
    </row>
    <row r="34" spans="2:7" x14ac:dyDescent="0.15">
      <c r="B34" s="35"/>
      <c r="C34" s="4" t="s">
        <v>41</v>
      </c>
      <c r="D34" s="6">
        <f>D26-'202501'!D26</f>
        <v>-0.16287166473100001</v>
      </c>
      <c r="E34" s="6">
        <f>E26-'202501'!E26</f>
        <v>-0.22866458529401257</v>
      </c>
      <c r="F34" s="6">
        <f>F26-'202501'!F26</f>
        <v>-0.27839210158798267</v>
      </c>
      <c r="G34" s="6">
        <f>G26-'202501'!G26</f>
        <v>-0.30949878881999382</v>
      </c>
    </row>
    <row r="35" spans="2:7" x14ac:dyDescent="0.15">
      <c r="B35" s="35"/>
      <c r="C35" s="4" t="s">
        <v>21</v>
      </c>
      <c r="D35" s="6">
        <f>D27-'202501'!D27</f>
        <v>0.11999999999999034</v>
      </c>
      <c r="E35" s="6">
        <f>E27-'202501'!E27</f>
        <v>0.13999999999998636</v>
      </c>
      <c r="F35" s="6">
        <f>F27-'202501'!F27</f>
        <v>0.23999999999999488</v>
      </c>
      <c r="G35" s="6">
        <f>G27-'202501'!G27</f>
        <v>0.17000000000000171</v>
      </c>
    </row>
    <row r="36" spans="2:7" x14ac:dyDescent="0.15">
      <c r="B36" s="35"/>
      <c r="C36" s="4" t="s">
        <v>14</v>
      </c>
      <c r="D36" s="6">
        <f>D28-'202501'!D28</f>
        <v>-0.23000000000001819</v>
      </c>
      <c r="E36" s="6">
        <f>E28-'202501'!E28</f>
        <v>0.17000000000000171</v>
      </c>
      <c r="F36" s="6">
        <f>F28-'202501'!F28</f>
        <v>0.39999999999999147</v>
      </c>
      <c r="G36" s="6">
        <f>G28-'202501'!G28</f>
        <v>6.0000000000016485E-2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B2:G36"/>
  <sheetViews>
    <sheetView workbookViewId="0">
      <selection activeCell="G12" sqref="G12"/>
    </sheetView>
  </sheetViews>
  <sheetFormatPr defaultColWidth="9" defaultRowHeight="13.5" x14ac:dyDescent="0.15"/>
  <cols>
    <col min="4" max="4" width="12.625"/>
    <col min="5" max="7" width="13.75"/>
  </cols>
  <sheetData>
    <row r="2" spans="2:7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</row>
    <row r="3" spans="2:7" x14ac:dyDescent="0.15">
      <c r="B3" s="4"/>
      <c r="C3" s="4" t="s">
        <v>38</v>
      </c>
      <c r="D3" s="4">
        <v>103.1</v>
      </c>
      <c r="E3" s="4">
        <v>104.3</v>
      </c>
      <c r="F3" s="4">
        <v>105</v>
      </c>
      <c r="G3" s="4">
        <v>105.5</v>
      </c>
    </row>
    <row r="4" spans="2:7" x14ac:dyDescent="0.15">
      <c r="B4" s="4" t="s">
        <v>8</v>
      </c>
      <c r="C4" s="4" t="s">
        <v>39</v>
      </c>
      <c r="D4" s="4">
        <v>102.7</v>
      </c>
      <c r="E4" s="4">
        <v>103.8</v>
      </c>
      <c r="F4" s="4">
        <v>104.9</v>
      </c>
      <c r="G4" s="4">
        <v>104.6</v>
      </c>
    </row>
    <row r="5" spans="2:7" x14ac:dyDescent="0.15">
      <c r="B5" s="4"/>
      <c r="C5" s="4" t="s">
        <v>40</v>
      </c>
      <c r="D5" s="4">
        <f t="shared" ref="D5:G5" si="0">D3-D4</f>
        <v>0.39999999999999147</v>
      </c>
      <c r="E5" s="4">
        <f t="shared" si="0"/>
        <v>0.5</v>
      </c>
      <c r="F5" s="4">
        <f t="shared" si="0"/>
        <v>9.9999999999994316E-2</v>
      </c>
      <c r="G5" s="4">
        <f t="shared" si="0"/>
        <v>0.90000000000000568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4">
        <v>103.31</v>
      </c>
      <c r="E7" s="4">
        <v>104.23</v>
      </c>
      <c r="F7" s="4">
        <v>105.14</v>
      </c>
      <c r="G7" s="4">
        <v>105.56</v>
      </c>
    </row>
    <row r="8" spans="2:7" x14ac:dyDescent="0.15">
      <c r="B8" s="4"/>
      <c r="C8" s="4" t="s">
        <v>39</v>
      </c>
      <c r="D8" s="4">
        <v>103.88</v>
      </c>
      <c r="E8" s="4">
        <v>103.76</v>
      </c>
      <c r="F8" s="4">
        <v>104.47</v>
      </c>
      <c r="G8" s="4">
        <v>104.47</v>
      </c>
    </row>
    <row r="9" spans="2:7" x14ac:dyDescent="0.15">
      <c r="B9" s="4"/>
      <c r="C9" s="4" t="s">
        <v>40</v>
      </c>
      <c r="D9" s="4">
        <f t="shared" ref="D9:G9" si="1">D7-D8</f>
        <v>-0.56999999999999318</v>
      </c>
      <c r="E9" s="4">
        <f t="shared" si="1"/>
        <v>0.46999999999999886</v>
      </c>
      <c r="F9" s="4">
        <f t="shared" si="1"/>
        <v>0.67000000000000171</v>
      </c>
      <c r="G9" s="4">
        <f t="shared" si="1"/>
        <v>1.0900000000000034</v>
      </c>
    </row>
    <row r="10" spans="2:7" x14ac:dyDescent="0.15">
      <c r="B10" s="4"/>
      <c r="C10" s="4"/>
      <c r="D10" s="4"/>
      <c r="E10" s="4"/>
      <c r="F10" s="4"/>
      <c r="G10" s="4"/>
    </row>
    <row r="11" spans="2:7" x14ac:dyDescent="0.15">
      <c r="B11" s="4"/>
      <c r="C11" s="4" t="s">
        <v>38</v>
      </c>
      <c r="D11" s="5">
        <v>105</v>
      </c>
      <c r="E11" s="5">
        <v>105.6</v>
      </c>
      <c r="F11" s="5">
        <v>105.6</v>
      </c>
      <c r="G11" s="5">
        <v>106.2</v>
      </c>
    </row>
    <row r="12" spans="2:7" x14ac:dyDescent="0.15">
      <c r="B12" s="4" t="s">
        <v>41</v>
      </c>
      <c r="C12" s="4" t="s">
        <v>39</v>
      </c>
      <c r="D12" s="5">
        <v>104.7</v>
      </c>
      <c r="E12" s="5">
        <v>105.6</v>
      </c>
      <c r="F12" s="5">
        <v>107.3</v>
      </c>
      <c r="G12" s="5">
        <v>107</v>
      </c>
    </row>
    <row r="13" spans="2:7" x14ac:dyDescent="0.15">
      <c r="B13" s="4"/>
      <c r="C13" s="4" t="s">
        <v>40</v>
      </c>
      <c r="D13" s="5">
        <f t="shared" ref="D13:G13" si="2">D11-D12</f>
        <v>0.29999999999999716</v>
      </c>
      <c r="E13" s="5">
        <f t="shared" si="2"/>
        <v>0</v>
      </c>
      <c r="F13" s="5">
        <f t="shared" si="2"/>
        <v>-1.7000000000000028</v>
      </c>
      <c r="G13" s="5">
        <f t="shared" si="2"/>
        <v>-0.79999999999999716</v>
      </c>
    </row>
    <row r="14" spans="2:7" x14ac:dyDescent="0.15">
      <c r="B14" s="4"/>
      <c r="C14" s="4"/>
      <c r="D14" s="4"/>
      <c r="E14" s="4"/>
      <c r="F14" s="4"/>
      <c r="G14" s="4"/>
    </row>
    <row r="15" spans="2:7" x14ac:dyDescent="0.15">
      <c r="B15" s="4"/>
      <c r="C15" s="4" t="s">
        <v>38</v>
      </c>
      <c r="D15" s="5">
        <v>103.9</v>
      </c>
      <c r="E15" s="5">
        <v>104.37</v>
      </c>
      <c r="F15" s="5">
        <v>105.23</v>
      </c>
      <c r="G15" s="5">
        <v>106.58</v>
      </c>
    </row>
    <row r="16" spans="2:7" x14ac:dyDescent="0.15">
      <c r="B16" s="4" t="s">
        <v>21</v>
      </c>
      <c r="C16" s="4" t="s">
        <v>39</v>
      </c>
      <c r="D16" s="5">
        <v>103.05</v>
      </c>
      <c r="E16" s="5">
        <v>103.96</v>
      </c>
      <c r="F16" s="5">
        <v>105.76</v>
      </c>
      <c r="G16" s="5">
        <v>105.58</v>
      </c>
    </row>
    <row r="17" spans="2:7" x14ac:dyDescent="0.15">
      <c r="B17" s="4"/>
      <c r="C17" s="4" t="s">
        <v>40</v>
      </c>
      <c r="D17" s="5">
        <f t="shared" ref="D17:G17" si="3">D15-D16</f>
        <v>0.85000000000000853</v>
      </c>
      <c r="E17" s="5">
        <f t="shared" si="3"/>
        <v>0.4100000000000108</v>
      </c>
      <c r="F17" s="5">
        <f t="shared" si="3"/>
        <v>-0.53000000000000114</v>
      </c>
      <c r="G17" s="5">
        <f t="shared" si="3"/>
        <v>1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4">
        <v>103.03</v>
      </c>
      <c r="E19" s="4">
        <v>103.98</v>
      </c>
      <c r="F19" s="4">
        <v>105.7</v>
      </c>
      <c r="G19" s="4">
        <v>106.93</v>
      </c>
    </row>
    <row r="20" spans="2:7" x14ac:dyDescent="0.15">
      <c r="B20" s="4"/>
      <c r="C20" s="4" t="s">
        <v>39</v>
      </c>
      <c r="D20" s="4">
        <v>103.84</v>
      </c>
      <c r="E20" s="4">
        <v>103.6</v>
      </c>
      <c r="F20" s="4">
        <v>105.27</v>
      </c>
      <c r="G20" s="4">
        <v>105.12</v>
      </c>
    </row>
    <row r="21" spans="2:7" x14ac:dyDescent="0.15">
      <c r="B21" s="4"/>
      <c r="C21" s="4" t="s">
        <v>40</v>
      </c>
      <c r="D21" s="5">
        <f t="shared" ref="D21:G21" si="4">D19-D20</f>
        <v>-0.81000000000000227</v>
      </c>
      <c r="E21" s="5">
        <f t="shared" si="4"/>
        <v>0.38000000000000966</v>
      </c>
      <c r="F21" s="5">
        <f t="shared" si="4"/>
        <v>0.43000000000000682</v>
      </c>
      <c r="G21" s="5">
        <f t="shared" si="4"/>
        <v>1.8100000000000023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 t="shared" ref="D24:G24" si="5">D5</f>
        <v>0.39999999999999147</v>
      </c>
      <c r="E24" s="5">
        <f t="shared" si="5"/>
        <v>0.5</v>
      </c>
      <c r="F24" s="5">
        <f t="shared" si="5"/>
        <v>9.9999999999994316E-2</v>
      </c>
      <c r="G24" s="5">
        <f t="shared" si="5"/>
        <v>0.90000000000000568</v>
      </c>
    </row>
    <row r="25" spans="2:7" x14ac:dyDescent="0.15">
      <c r="B25" s="4"/>
      <c r="C25" s="4" t="s">
        <v>11</v>
      </c>
      <c r="D25" s="5">
        <f t="shared" ref="D25:G25" si="6">D9</f>
        <v>-0.56999999999999318</v>
      </c>
      <c r="E25" s="5">
        <f t="shared" si="6"/>
        <v>0.46999999999999886</v>
      </c>
      <c r="F25" s="5">
        <f t="shared" si="6"/>
        <v>0.67000000000000171</v>
      </c>
      <c r="G25" s="5">
        <f t="shared" si="6"/>
        <v>1.0900000000000034</v>
      </c>
    </row>
    <row r="26" spans="2:7" x14ac:dyDescent="0.15">
      <c r="B26" s="4"/>
      <c r="C26" s="4" t="s">
        <v>41</v>
      </c>
      <c r="D26" s="5">
        <f t="shared" ref="D26:G26" si="7">D13</f>
        <v>0.29999999999999716</v>
      </c>
      <c r="E26" s="5">
        <f t="shared" si="7"/>
        <v>0</v>
      </c>
      <c r="F26" s="5">
        <f t="shared" si="7"/>
        <v>-1.7000000000000028</v>
      </c>
      <c r="G26" s="5">
        <f t="shared" si="7"/>
        <v>-0.79999999999999716</v>
      </c>
    </row>
    <row r="27" spans="2:7" x14ac:dyDescent="0.15">
      <c r="B27" s="4"/>
      <c r="C27" s="4" t="s">
        <v>21</v>
      </c>
      <c r="D27" s="5">
        <f t="shared" ref="D27:G27" si="8">D17</f>
        <v>0.85000000000000853</v>
      </c>
      <c r="E27" s="5">
        <f t="shared" si="8"/>
        <v>0.4100000000000108</v>
      </c>
      <c r="F27" s="5">
        <f t="shared" si="8"/>
        <v>-0.53000000000000114</v>
      </c>
      <c r="G27" s="5">
        <f t="shared" si="8"/>
        <v>1</v>
      </c>
    </row>
    <row r="28" spans="2:7" x14ac:dyDescent="0.15">
      <c r="B28" s="4"/>
      <c r="C28" s="4" t="s">
        <v>14</v>
      </c>
      <c r="D28" s="5">
        <f t="shared" ref="D28:G28" si="9">D21</f>
        <v>-0.81000000000000227</v>
      </c>
      <c r="E28" s="5">
        <f t="shared" si="9"/>
        <v>0.38000000000000966</v>
      </c>
      <c r="F28" s="5">
        <f t="shared" si="9"/>
        <v>0.43000000000000682</v>
      </c>
      <c r="G28" s="5">
        <f t="shared" si="9"/>
        <v>1.8100000000000023</v>
      </c>
    </row>
    <row r="31" spans="2:7" x14ac:dyDescent="0.15">
      <c r="B31" s="35" t="s">
        <v>42</v>
      </c>
      <c r="D31" t="s">
        <v>34</v>
      </c>
      <c r="E31" t="s">
        <v>35</v>
      </c>
      <c r="F31" t="s">
        <v>36</v>
      </c>
      <c r="G31" t="s">
        <v>37</v>
      </c>
    </row>
    <row r="32" spans="2:7" x14ac:dyDescent="0.15">
      <c r="B32" s="35"/>
      <c r="C32" s="4" t="s">
        <v>8</v>
      </c>
      <c r="D32" s="6">
        <f>D24-'202502'!D24</f>
        <v>-0.20000000000000284</v>
      </c>
      <c r="E32" s="6">
        <f>E24-'202502'!E24</f>
        <v>-0.39999999999999147</v>
      </c>
      <c r="F32" s="6">
        <f>F24-'202502'!F24</f>
        <v>-0.40000000000000568</v>
      </c>
      <c r="G32" s="6">
        <f>G24-'202502'!G24</f>
        <v>1.4210854715202004E-14</v>
      </c>
    </row>
    <row r="33" spans="2:7" x14ac:dyDescent="0.15">
      <c r="B33" s="35"/>
      <c r="C33" s="4" t="s">
        <v>11</v>
      </c>
      <c r="D33" s="6">
        <f>D25-'202502'!D25</f>
        <v>-1.9999999999996021E-2</v>
      </c>
      <c r="E33" s="6">
        <f>E25-'202502'!E25</f>
        <v>0.20999999999999375</v>
      </c>
      <c r="F33" s="6">
        <f>F25-'202502'!F25</f>
        <v>0.23000000000000398</v>
      </c>
      <c r="G33" s="6">
        <f>G25-'202502'!G25</f>
        <v>0.26000000000000512</v>
      </c>
    </row>
    <row r="34" spans="2:7" x14ac:dyDescent="0.15">
      <c r="B34" s="35"/>
      <c r="C34" s="4" t="s">
        <v>41</v>
      </c>
      <c r="D34" s="6">
        <f>D26-'202502'!D26</f>
        <v>-0.49577281550000407</v>
      </c>
      <c r="E34" s="6">
        <f>E26-'202502'!E26</f>
        <v>-0.28133541470599255</v>
      </c>
      <c r="F34" s="6">
        <f>F26-'202502'!F26</f>
        <v>-0.68160789841201108</v>
      </c>
      <c r="G34" s="6">
        <f>G26-'202502'!G26</f>
        <v>-0.48050121117999822</v>
      </c>
    </row>
    <row r="35" spans="2:7" x14ac:dyDescent="0.15">
      <c r="B35" s="35"/>
      <c r="C35" s="4" t="s">
        <v>21</v>
      </c>
      <c r="D35" s="6">
        <f>D27-'202502'!D27</f>
        <v>-0.21999999999998465</v>
      </c>
      <c r="E35" s="6">
        <f>E27-'202502'!E27</f>
        <v>-3.9999999999977831E-2</v>
      </c>
      <c r="F35" s="6">
        <f>F27-'202502'!F27</f>
        <v>1.9999999999996021E-2</v>
      </c>
      <c r="G35" s="6">
        <f>G27-'202502'!G27</f>
        <v>-1.9999999999996021E-2</v>
      </c>
    </row>
    <row r="36" spans="2:7" x14ac:dyDescent="0.15">
      <c r="B36" s="35"/>
      <c r="C36" s="4" t="s">
        <v>14</v>
      </c>
      <c r="D36" s="6">
        <f>D28-'202502'!D28</f>
        <v>-0.14999999999999147</v>
      </c>
      <c r="E36" s="6">
        <f>E28-'202502'!E28</f>
        <v>-0.18999999999999773</v>
      </c>
      <c r="F36" s="6">
        <f>F28-'202502'!F28</f>
        <v>-0.50999999999999091</v>
      </c>
      <c r="G36" s="6">
        <f>G28-'202502'!G28</f>
        <v>-2.0000000000010232E-2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B2:G36"/>
  <sheetViews>
    <sheetView workbookViewId="0">
      <selection activeCell="R22" sqref="R22"/>
    </sheetView>
  </sheetViews>
  <sheetFormatPr defaultColWidth="9" defaultRowHeight="13.5" x14ac:dyDescent="0.15"/>
  <cols>
    <col min="4" max="4" width="12.625"/>
    <col min="5" max="7" width="13.75"/>
  </cols>
  <sheetData>
    <row r="2" spans="2:7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</row>
    <row r="3" spans="2:7" x14ac:dyDescent="0.15">
      <c r="B3" s="4"/>
      <c r="C3" s="4" t="s">
        <v>38</v>
      </c>
      <c r="D3" s="4">
        <v>103.3</v>
      </c>
      <c r="E3" s="4">
        <v>104.2</v>
      </c>
      <c r="F3" s="4">
        <v>104.9</v>
      </c>
      <c r="G3" s="4">
        <v>105.5</v>
      </c>
    </row>
    <row r="4" spans="2:7" x14ac:dyDescent="0.15">
      <c r="B4" s="4" t="s">
        <v>8</v>
      </c>
      <c r="C4" s="4" t="s">
        <v>39</v>
      </c>
      <c r="D4" s="4">
        <v>102.5</v>
      </c>
      <c r="E4" s="4">
        <v>103.8</v>
      </c>
      <c r="F4" s="4">
        <v>104.9</v>
      </c>
      <c r="G4" s="4">
        <v>104.4</v>
      </c>
    </row>
    <row r="5" spans="2:7" x14ac:dyDescent="0.15">
      <c r="B5" s="4"/>
      <c r="C5" s="4" t="s">
        <v>40</v>
      </c>
      <c r="D5" s="4">
        <f t="shared" ref="D5:G5" si="0">D3-D4</f>
        <v>0.79999999999999716</v>
      </c>
      <c r="E5" s="4">
        <f t="shared" si="0"/>
        <v>0.40000000000000568</v>
      </c>
      <c r="F5" s="4">
        <f t="shared" si="0"/>
        <v>0</v>
      </c>
      <c r="G5" s="4">
        <f t="shared" si="0"/>
        <v>1.0999999999999943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4">
        <v>103.4</v>
      </c>
      <c r="E7" s="4">
        <v>103.68</v>
      </c>
      <c r="F7" s="4">
        <v>104.49</v>
      </c>
      <c r="G7" s="4">
        <v>105.59</v>
      </c>
    </row>
    <row r="8" spans="2:7" x14ac:dyDescent="0.15">
      <c r="B8" s="4"/>
      <c r="C8" s="4" t="s">
        <v>39</v>
      </c>
      <c r="D8" s="4">
        <v>103.89</v>
      </c>
      <c r="E8" s="4">
        <v>103.74</v>
      </c>
      <c r="F8" s="4">
        <v>104.47</v>
      </c>
      <c r="G8" s="4">
        <v>104.44</v>
      </c>
    </row>
    <row r="9" spans="2:7" x14ac:dyDescent="0.15">
      <c r="B9" s="4"/>
      <c r="C9" s="4" t="s">
        <v>40</v>
      </c>
      <c r="D9" s="4">
        <f t="shared" ref="D9:G9" si="1">D7-D8</f>
        <v>-0.48999999999999488</v>
      </c>
      <c r="E9" s="4">
        <f t="shared" si="1"/>
        <v>-5.9999999999988063E-2</v>
      </c>
      <c r="F9" s="4">
        <f t="shared" si="1"/>
        <v>1.9999999999996021E-2</v>
      </c>
      <c r="G9" s="4">
        <f t="shared" si="1"/>
        <v>1.1500000000000057</v>
      </c>
    </row>
    <row r="10" spans="2:7" x14ac:dyDescent="0.15">
      <c r="B10" s="4"/>
      <c r="C10" s="4"/>
      <c r="D10" s="4"/>
      <c r="E10" s="4"/>
      <c r="F10" s="4"/>
      <c r="G10" s="4"/>
    </row>
    <row r="11" spans="2:7" x14ac:dyDescent="0.15">
      <c r="B11" s="4"/>
      <c r="C11" s="4" t="s">
        <v>38</v>
      </c>
      <c r="D11" s="5">
        <v>105</v>
      </c>
      <c r="E11" s="5">
        <v>105.7</v>
      </c>
      <c r="F11" s="5">
        <v>106</v>
      </c>
      <c r="G11" s="5">
        <v>106.5</v>
      </c>
    </row>
    <row r="12" spans="2:7" x14ac:dyDescent="0.15">
      <c r="B12" s="4" t="s">
        <v>41</v>
      </c>
      <c r="C12" s="4" t="s">
        <v>39</v>
      </c>
      <c r="D12" s="5">
        <v>104.3</v>
      </c>
      <c r="E12" s="5">
        <v>105.6</v>
      </c>
      <c r="F12" s="5">
        <v>107.4</v>
      </c>
      <c r="G12" s="5">
        <v>107.2</v>
      </c>
    </row>
    <row r="13" spans="2:7" x14ac:dyDescent="0.15">
      <c r="B13" s="4"/>
      <c r="C13" s="4" t="s">
        <v>40</v>
      </c>
      <c r="D13" s="5">
        <f t="shared" ref="D13:G13" si="2">D11-D12</f>
        <v>0.70000000000000284</v>
      </c>
      <c r="E13" s="5">
        <f t="shared" si="2"/>
        <v>0.10000000000000853</v>
      </c>
      <c r="F13" s="5">
        <f t="shared" si="2"/>
        <v>-1.4000000000000057</v>
      </c>
      <c r="G13" s="5">
        <f t="shared" si="2"/>
        <v>-0.70000000000000284</v>
      </c>
    </row>
    <row r="14" spans="2:7" x14ac:dyDescent="0.15">
      <c r="B14" s="4"/>
      <c r="C14" s="4"/>
      <c r="D14" s="4"/>
      <c r="E14" s="4"/>
      <c r="F14" s="4"/>
      <c r="G14" s="4"/>
    </row>
    <row r="15" spans="2:7" x14ac:dyDescent="0.15">
      <c r="B15" s="4"/>
      <c r="C15" s="4" t="s">
        <v>38</v>
      </c>
      <c r="D15" s="5">
        <v>103.64</v>
      </c>
      <c r="E15" s="5">
        <v>104.33</v>
      </c>
      <c r="F15" s="5">
        <v>105.12</v>
      </c>
      <c r="G15" s="5">
        <v>106.4</v>
      </c>
    </row>
    <row r="16" spans="2:7" x14ac:dyDescent="0.15">
      <c r="B16" s="4" t="s">
        <v>21</v>
      </c>
      <c r="C16" s="4" t="s">
        <v>39</v>
      </c>
      <c r="D16" s="5">
        <v>103.24</v>
      </c>
      <c r="E16" s="5">
        <v>104.05</v>
      </c>
      <c r="F16" s="5">
        <v>105.86</v>
      </c>
      <c r="G16" s="5">
        <v>105.7</v>
      </c>
    </row>
    <row r="17" spans="2:7" x14ac:dyDescent="0.15">
      <c r="B17" s="4"/>
      <c r="C17" s="4" t="s">
        <v>40</v>
      </c>
      <c r="D17" s="5">
        <f t="shared" ref="D17:G17" si="3">D15-D16</f>
        <v>0.40000000000000568</v>
      </c>
      <c r="E17" s="5">
        <f t="shared" si="3"/>
        <v>0.28000000000000114</v>
      </c>
      <c r="F17" s="5">
        <f t="shared" si="3"/>
        <v>-0.73999999999999488</v>
      </c>
      <c r="G17" s="5">
        <f t="shared" si="3"/>
        <v>0.70000000000000284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4">
        <v>102.85</v>
      </c>
      <c r="E19" s="4">
        <v>103.61</v>
      </c>
      <c r="F19" s="4">
        <v>105.1</v>
      </c>
      <c r="G19" s="4">
        <v>106.07</v>
      </c>
    </row>
    <row r="20" spans="2:7" x14ac:dyDescent="0.15">
      <c r="B20" s="4"/>
      <c r="C20" s="4" t="s">
        <v>39</v>
      </c>
      <c r="D20" s="4">
        <v>103.88</v>
      </c>
      <c r="E20" s="4">
        <v>103.71</v>
      </c>
      <c r="F20" s="4">
        <v>105.35</v>
      </c>
      <c r="G20" s="4">
        <v>105.3</v>
      </c>
    </row>
    <row r="21" spans="2:7" x14ac:dyDescent="0.15">
      <c r="B21" s="4"/>
      <c r="C21" s="4" t="s">
        <v>40</v>
      </c>
      <c r="D21" s="5">
        <f t="shared" ref="D21:G21" si="4">D19-D20</f>
        <v>-1.0300000000000011</v>
      </c>
      <c r="E21" s="5">
        <f t="shared" si="4"/>
        <v>-9.9999999999994316E-2</v>
      </c>
      <c r="F21" s="5">
        <f t="shared" si="4"/>
        <v>-0.25</v>
      </c>
      <c r="G21" s="5">
        <f t="shared" si="4"/>
        <v>0.76999999999999602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 t="shared" ref="D24:G24" si="5">D5</f>
        <v>0.79999999999999716</v>
      </c>
      <c r="E24" s="5">
        <f t="shared" si="5"/>
        <v>0.40000000000000568</v>
      </c>
      <c r="F24" s="5">
        <f t="shared" si="5"/>
        <v>0</v>
      </c>
      <c r="G24" s="5">
        <f t="shared" si="5"/>
        <v>1.0999999999999943</v>
      </c>
    </row>
    <row r="25" spans="2:7" x14ac:dyDescent="0.15">
      <c r="B25" s="4"/>
      <c r="C25" s="4" t="s">
        <v>11</v>
      </c>
      <c r="D25" s="5">
        <f t="shared" ref="D25:G25" si="6">D9</f>
        <v>-0.48999999999999488</v>
      </c>
      <c r="E25" s="5">
        <f t="shared" si="6"/>
        <v>-5.9999999999988063E-2</v>
      </c>
      <c r="F25" s="5">
        <f t="shared" si="6"/>
        <v>1.9999999999996021E-2</v>
      </c>
      <c r="G25" s="5">
        <f t="shared" si="6"/>
        <v>1.1500000000000057</v>
      </c>
    </row>
    <row r="26" spans="2:7" x14ac:dyDescent="0.15">
      <c r="B26" s="4"/>
      <c r="C26" s="4" t="s">
        <v>41</v>
      </c>
      <c r="D26" s="5">
        <f t="shared" ref="D26:G26" si="7">D13</f>
        <v>0.70000000000000284</v>
      </c>
      <c r="E26" s="5">
        <f t="shared" si="7"/>
        <v>0.10000000000000853</v>
      </c>
      <c r="F26" s="5">
        <f t="shared" si="7"/>
        <v>-1.4000000000000057</v>
      </c>
      <c r="G26" s="5">
        <f t="shared" si="7"/>
        <v>-0.70000000000000284</v>
      </c>
    </row>
    <row r="27" spans="2:7" x14ac:dyDescent="0.15">
      <c r="B27" s="4"/>
      <c r="C27" s="4" t="s">
        <v>21</v>
      </c>
      <c r="D27" s="5">
        <f t="shared" ref="D27:G27" si="8">D17</f>
        <v>0.40000000000000568</v>
      </c>
      <c r="E27" s="5">
        <f t="shared" si="8"/>
        <v>0.28000000000000114</v>
      </c>
      <c r="F27" s="5">
        <f t="shared" si="8"/>
        <v>-0.73999999999999488</v>
      </c>
      <c r="G27" s="5">
        <f t="shared" si="8"/>
        <v>0.70000000000000284</v>
      </c>
    </row>
    <row r="28" spans="2:7" x14ac:dyDescent="0.15">
      <c r="B28" s="4"/>
      <c r="C28" s="4" t="s">
        <v>14</v>
      </c>
      <c r="D28" s="5">
        <f t="shared" ref="D28:G28" si="9">D21</f>
        <v>-1.0300000000000011</v>
      </c>
      <c r="E28" s="5">
        <f t="shared" si="9"/>
        <v>-9.9999999999994316E-2</v>
      </c>
      <c r="F28" s="5">
        <f t="shared" si="9"/>
        <v>-0.25</v>
      </c>
      <c r="G28" s="5">
        <f t="shared" si="9"/>
        <v>0.76999999999999602</v>
      </c>
    </row>
    <row r="31" spans="2:7" x14ac:dyDescent="0.15">
      <c r="B31" s="35" t="s">
        <v>42</v>
      </c>
      <c r="D31" t="s">
        <v>34</v>
      </c>
      <c r="E31" t="s">
        <v>35</v>
      </c>
      <c r="F31" t="s">
        <v>36</v>
      </c>
      <c r="G31" t="s">
        <v>37</v>
      </c>
    </row>
    <row r="32" spans="2:7" x14ac:dyDescent="0.15">
      <c r="B32" s="35"/>
      <c r="C32" s="4" t="s">
        <v>8</v>
      </c>
      <c r="D32" s="6">
        <f>D24-'202503'!D24</f>
        <v>0.40000000000000568</v>
      </c>
      <c r="E32" s="6">
        <f>E24-'202503'!E24</f>
        <v>-9.9999999999994316E-2</v>
      </c>
      <c r="F32" s="6">
        <f>F24-'202503'!F24</f>
        <v>-9.9999999999994316E-2</v>
      </c>
      <c r="G32" s="6">
        <f>G24-'202503'!G24</f>
        <v>0.19999999999998863</v>
      </c>
    </row>
    <row r="33" spans="2:7" x14ac:dyDescent="0.15">
      <c r="B33" s="35"/>
      <c r="C33" s="4" t="s">
        <v>11</v>
      </c>
      <c r="D33" s="6">
        <f>D25-'202503'!D25</f>
        <v>7.9999999999998295E-2</v>
      </c>
      <c r="E33" s="6">
        <f>E25-'202503'!E25</f>
        <v>-0.52999999999998693</v>
      </c>
      <c r="F33" s="6">
        <f>F25-'202503'!F25</f>
        <v>-0.65000000000000568</v>
      </c>
      <c r="G33" s="6">
        <f>G25-'202503'!G25</f>
        <v>6.0000000000002274E-2</v>
      </c>
    </row>
    <row r="34" spans="2:7" x14ac:dyDescent="0.15">
      <c r="B34" s="35"/>
      <c r="C34" s="4" t="s">
        <v>41</v>
      </c>
      <c r="D34" s="6">
        <f>D26-'202503'!D26</f>
        <v>0.40000000000000568</v>
      </c>
      <c r="E34" s="6">
        <f>E26-'202503'!E26</f>
        <v>0.10000000000000853</v>
      </c>
      <c r="F34" s="6">
        <f>F26-'202503'!F26</f>
        <v>0.29999999999999716</v>
      </c>
      <c r="G34" s="6">
        <f>G26-'202503'!G26</f>
        <v>9.9999999999994316E-2</v>
      </c>
    </row>
    <row r="35" spans="2:7" x14ac:dyDescent="0.15">
      <c r="B35" s="35"/>
      <c r="C35" s="4" t="s">
        <v>21</v>
      </c>
      <c r="D35" s="6">
        <f>D27-'202503'!D27</f>
        <v>-0.45000000000000284</v>
      </c>
      <c r="E35" s="6">
        <f>E27-'202503'!E27</f>
        <v>-0.13000000000000966</v>
      </c>
      <c r="F35" s="6">
        <f>F27-'202503'!F27</f>
        <v>-0.20999999999999375</v>
      </c>
      <c r="G35" s="6">
        <f>G27-'202503'!G27</f>
        <v>-0.29999999999999716</v>
      </c>
    </row>
    <row r="36" spans="2:7" x14ac:dyDescent="0.15">
      <c r="B36" s="35"/>
      <c r="C36" s="4" t="s">
        <v>14</v>
      </c>
      <c r="D36" s="6">
        <f>D28-'202503'!D28</f>
        <v>-0.21999999999999886</v>
      </c>
      <c r="E36" s="6">
        <f>E28-'202503'!E28</f>
        <v>-0.48000000000000398</v>
      </c>
      <c r="F36" s="6">
        <f>F28-'202503'!F28</f>
        <v>-0.68000000000000682</v>
      </c>
      <c r="G36" s="6">
        <f>G28-'202503'!G28</f>
        <v>-1.0400000000000063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B2:G36"/>
  <sheetViews>
    <sheetView workbookViewId="0">
      <selection activeCell="D11" sqref="D11:G12"/>
    </sheetView>
  </sheetViews>
  <sheetFormatPr defaultColWidth="9" defaultRowHeight="13.5" x14ac:dyDescent="0.15"/>
  <cols>
    <col min="4" max="4" width="12.625"/>
    <col min="5" max="7" width="13.75"/>
  </cols>
  <sheetData>
    <row r="2" spans="2:7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</row>
    <row r="3" spans="2:7" x14ac:dyDescent="0.15">
      <c r="B3" s="4"/>
      <c r="C3" s="4" t="s">
        <v>38</v>
      </c>
      <c r="D3" s="4">
        <v>103.1</v>
      </c>
      <c r="E3" s="4">
        <v>104</v>
      </c>
      <c r="F3" s="4">
        <v>104.7</v>
      </c>
      <c r="G3" s="4">
        <v>105.1</v>
      </c>
    </row>
    <row r="4" spans="2:7" x14ac:dyDescent="0.15">
      <c r="B4" s="4" t="s">
        <v>8</v>
      </c>
      <c r="C4" s="4" t="s">
        <v>39</v>
      </c>
      <c r="D4" s="4">
        <v>102.4</v>
      </c>
      <c r="E4" s="4">
        <v>103.2</v>
      </c>
      <c r="F4" s="4">
        <v>104.5</v>
      </c>
      <c r="G4" s="4">
        <v>104</v>
      </c>
    </row>
    <row r="5" spans="2:7" x14ac:dyDescent="0.15">
      <c r="B5" s="4"/>
      <c r="C5" s="4" t="s">
        <v>40</v>
      </c>
      <c r="D5" s="4">
        <f t="shared" ref="D5:G5" si="0">D3-D4</f>
        <v>0.69999999999998863</v>
      </c>
      <c r="E5" s="4">
        <f t="shared" si="0"/>
        <v>0.79999999999999716</v>
      </c>
      <c r="F5" s="4">
        <f t="shared" si="0"/>
        <v>0.20000000000000284</v>
      </c>
      <c r="G5" s="4">
        <f t="shared" si="0"/>
        <v>1.0999999999999943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4">
        <v>103.34</v>
      </c>
      <c r="E7" s="4">
        <v>103.73</v>
      </c>
      <c r="F7" s="4">
        <v>104.46</v>
      </c>
      <c r="G7" s="4">
        <v>104.87</v>
      </c>
    </row>
    <row r="8" spans="2:7" x14ac:dyDescent="0.15">
      <c r="B8" s="4"/>
      <c r="C8" s="4" t="s">
        <v>39</v>
      </c>
      <c r="D8" s="4">
        <v>103.53</v>
      </c>
      <c r="E8" s="4">
        <v>103.17</v>
      </c>
      <c r="F8" s="4">
        <v>103.78</v>
      </c>
      <c r="G8" s="4">
        <v>104.09</v>
      </c>
    </row>
    <row r="9" spans="2:7" x14ac:dyDescent="0.15">
      <c r="B9" s="4"/>
      <c r="C9" s="4" t="s">
        <v>40</v>
      </c>
      <c r="D9" s="4">
        <f t="shared" ref="D9:G9" si="1">D7-D8</f>
        <v>-0.18999999999999773</v>
      </c>
      <c r="E9" s="4">
        <f t="shared" si="1"/>
        <v>0.56000000000000227</v>
      </c>
      <c r="F9" s="4">
        <f t="shared" si="1"/>
        <v>0.67999999999999261</v>
      </c>
      <c r="G9" s="4">
        <f t="shared" si="1"/>
        <v>0.78000000000000114</v>
      </c>
    </row>
    <row r="10" spans="2:7" x14ac:dyDescent="0.15">
      <c r="B10" s="4"/>
      <c r="C10" s="4"/>
      <c r="D10" s="4"/>
      <c r="E10" s="4"/>
      <c r="F10" s="4"/>
      <c r="G10" s="4"/>
    </row>
    <row r="11" spans="2:7" x14ac:dyDescent="0.15">
      <c r="B11" s="4"/>
      <c r="C11" s="4" t="s">
        <v>38</v>
      </c>
      <c r="D11" s="5">
        <v>105.04</v>
      </c>
      <c r="E11" s="5">
        <v>106.13</v>
      </c>
      <c r="F11" s="5">
        <v>105.98</v>
      </c>
      <c r="G11" s="5">
        <v>106.42</v>
      </c>
    </row>
    <row r="12" spans="2:7" x14ac:dyDescent="0.15">
      <c r="B12" s="7" t="s">
        <v>41</v>
      </c>
      <c r="C12" s="4" t="s">
        <v>39</v>
      </c>
      <c r="D12" s="5">
        <v>104.27</v>
      </c>
      <c r="E12" s="5">
        <v>104.86</v>
      </c>
      <c r="F12" s="5">
        <v>106.51</v>
      </c>
      <c r="G12" s="5">
        <v>106.38</v>
      </c>
    </row>
    <row r="13" spans="2:7" x14ac:dyDescent="0.15">
      <c r="B13" s="4"/>
      <c r="C13" s="4" t="s">
        <v>40</v>
      </c>
      <c r="D13" s="5">
        <f t="shared" ref="D13:G13" si="2">D11-D12</f>
        <v>0.77000000000001023</v>
      </c>
      <c r="E13" s="5">
        <f t="shared" si="2"/>
        <v>1.269999999999996</v>
      </c>
      <c r="F13" s="5">
        <f t="shared" si="2"/>
        <v>-0.53000000000000114</v>
      </c>
      <c r="G13" s="5">
        <f t="shared" si="2"/>
        <v>4.0000000000006253E-2</v>
      </c>
    </row>
    <row r="14" spans="2:7" x14ac:dyDescent="0.15">
      <c r="B14" s="4"/>
      <c r="C14" s="4"/>
      <c r="D14" s="4"/>
      <c r="E14" s="4"/>
      <c r="F14" s="4"/>
      <c r="G14" s="4"/>
    </row>
    <row r="15" spans="2:7" x14ac:dyDescent="0.15">
      <c r="B15" s="4"/>
      <c r="C15" s="4" t="s">
        <v>38</v>
      </c>
      <c r="D15" s="5">
        <v>103.47</v>
      </c>
      <c r="E15" s="5">
        <v>104.24</v>
      </c>
      <c r="F15" s="5">
        <v>104.85</v>
      </c>
      <c r="G15" s="5">
        <v>106.08</v>
      </c>
    </row>
    <row r="16" spans="2:7" x14ac:dyDescent="0.15">
      <c r="B16" s="4" t="s">
        <v>21</v>
      </c>
      <c r="C16" s="4" t="s">
        <v>39</v>
      </c>
      <c r="D16" s="5">
        <v>103.18</v>
      </c>
      <c r="E16" s="5">
        <v>104.23</v>
      </c>
      <c r="F16" s="5">
        <v>105.84</v>
      </c>
      <c r="G16" s="5">
        <v>105.73</v>
      </c>
    </row>
    <row r="17" spans="2:7" x14ac:dyDescent="0.15">
      <c r="B17" s="4"/>
      <c r="C17" s="4" t="s">
        <v>40</v>
      </c>
      <c r="D17" s="5">
        <f t="shared" ref="D17:G17" si="3">D15-D16</f>
        <v>0.28999999999999204</v>
      </c>
      <c r="E17" s="5">
        <f t="shared" si="3"/>
        <v>9.9999999999909051E-3</v>
      </c>
      <c r="F17" s="5">
        <f t="shared" si="3"/>
        <v>-0.99000000000000909</v>
      </c>
      <c r="G17" s="5">
        <f t="shared" si="3"/>
        <v>0.34999999999999432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4">
        <v>102.86</v>
      </c>
      <c r="E19" s="4">
        <v>103.78</v>
      </c>
      <c r="F19" s="4">
        <v>104.75</v>
      </c>
      <c r="G19" s="4">
        <v>105.47</v>
      </c>
    </row>
    <row r="20" spans="2:7" x14ac:dyDescent="0.15">
      <c r="B20" s="4"/>
      <c r="C20" s="4" t="s">
        <v>39</v>
      </c>
      <c r="D20" s="4">
        <v>103.82</v>
      </c>
      <c r="E20" s="4">
        <v>103.59</v>
      </c>
      <c r="F20" s="4">
        <v>105.23</v>
      </c>
      <c r="G20" s="4">
        <v>105.16</v>
      </c>
    </row>
    <row r="21" spans="2:7" x14ac:dyDescent="0.15">
      <c r="B21" s="4"/>
      <c r="C21" s="4" t="s">
        <v>40</v>
      </c>
      <c r="D21" s="5">
        <f t="shared" ref="D21:G21" si="4">D19-D20</f>
        <v>-0.95999999999999375</v>
      </c>
      <c r="E21" s="5">
        <f t="shared" si="4"/>
        <v>0.18999999999999773</v>
      </c>
      <c r="F21" s="5">
        <f t="shared" si="4"/>
        <v>-0.48000000000000398</v>
      </c>
      <c r="G21" s="5">
        <f t="shared" si="4"/>
        <v>0.31000000000000227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 t="shared" ref="D24:G24" si="5">D5</f>
        <v>0.69999999999998863</v>
      </c>
      <c r="E24" s="5">
        <f t="shared" si="5"/>
        <v>0.79999999999999716</v>
      </c>
      <c r="F24" s="5">
        <f t="shared" si="5"/>
        <v>0.20000000000000284</v>
      </c>
      <c r="G24" s="5">
        <f t="shared" si="5"/>
        <v>1.0999999999999943</v>
      </c>
    </row>
    <row r="25" spans="2:7" x14ac:dyDescent="0.15">
      <c r="B25" s="4"/>
      <c r="C25" s="4" t="s">
        <v>11</v>
      </c>
      <c r="D25" s="5">
        <f t="shared" ref="D25:G25" si="6">D9</f>
        <v>-0.18999999999999773</v>
      </c>
      <c r="E25" s="5">
        <f t="shared" si="6"/>
        <v>0.56000000000000227</v>
      </c>
      <c r="F25" s="5">
        <f t="shared" si="6"/>
        <v>0.67999999999999261</v>
      </c>
      <c r="G25" s="5">
        <f t="shared" si="6"/>
        <v>0.78000000000000114</v>
      </c>
    </row>
    <row r="26" spans="2:7" x14ac:dyDescent="0.15">
      <c r="B26" s="4"/>
      <c r="C26" s="4" t="s">
        <v>41</v>
      </c>
      <c r="D26" s="5">
        <f t="shared" ref="D26:G26" si="7">D13</f>
        <v>0.77000000000001023</v>
      </c>
      <c r="E26" s="5">
        <f t="shared" si="7"/>
        <v>1.269999999999996</v>
      </c>
      <c r="F26" s="5">
        <f t="shared" si="7"/>
        <v>-0.53000000000000114</v>
      </c>
      <c r="G26" s="5">
        <f t="shared" si="7"/>
        <v>4.0000000000006253E-2</v>
      </c>
    </row>
    <row r="27" spans="2:7" x14ac:dyDescent="0.15">
      <c r="B27" s="4"/>
      <c r="C27" s="4" t="s">
        <v>21</v>
      </c>
      <c r="D27" s="5">
        <f t="shared" ref="D27:G27" si="8">D17</f>
        <v>0.28999999999999204</v>
      </c>
      <c r="E27" s="5">
        <f t="shared" si="8"/>
        <v>9.9999999999909051E-3</v>
      </c>
      <c r="F27" s="5">
        <f t="shared" si="8"/>
        <v>-0.99000000000000909</v>
      </c>
      <c r="G27" s="5">
        <f t="shared" si="8"/>
        <v>0.34999999999999432</v>
      </c>
    </row>
    <row r="28" spans="2:7" x14ac:dyDescent="0.15">
      <c r="B28" s="4"/>
      <c r="C28" s="4" t="s">
        <v>14</v>
      </c>
      <c r="D28" s="5">
        <f t="shared" ref="D28:G28" si="9">D21</f>
        <v>-0.95999999999999375</v>
      </c>
      <c r="E28" s="5">
        <f t="shared" si="9"/>
        <v>0.18999999999999773</v>
      </c>
      <c r="F28" s="5">
        <f t="shared" si="9"/>
        <v>-0.48000000000000398</v>
      </c>
      <c r="G28" s="5">
        <f t="shared" si="9"/>
        <v>0.31000000000000227</v>
      </c>
    </row>
    <row r="31" spans="2:7" x14ac:dyDescent="0.15">
      <c r="B31" s="35" t="s">
        <v>42</v>
      </c>
      <c r="D31" t="s">
        <v>34</v>
      </c>
      <c r="E31" t="s">
        <v>35</v>
      </c>
      <c r="F31" t="s">
        <v>36</v>
      </c>
      <c r="G31" t="s">
        <v>37</v>
      </c>
    </row>
    <row r="32" spans="2:7" x14ac:dyDescent="0.15">
      <c r="B32" s="35"/>
      <c r="C32" s="4" t="s">
        <v>8</v>
      </c>
      <c r="D32" s="6">
        <f>D24-'202504'!D24</f>
        <v>-0.10000000000000853</v>
      </c>
      <c r="E32" s="6">
        <f>E24-'202504'!E24</f>
        <v>0.39999999999999147</v>
      </c>
      <c r="F32" s="6">
        <f>F24-'202504'!F24</f>
        <v>0.20000000000000284</v>
      </c>
      <c r="G32" s="6">
        <f>G24-'202504'!G24</f>
        <v>0</v>
      </c>
    </row>
    <row r="33" spans="2:7" x14ac:dyDescent="0.15">
      <c r="B33" s="35"/>
      <c r="C33" s="4" t="s">
        <v>11</v>
      </c>
      <c r="D33" s="6">
        <f>D25-'202504'!D25</f>
        <v>0.29999999999999716</v>
      </c>
      <c r="E33" s="6">
        <f>E25-'202504'!E25</f>
        <v>0.61999999999999034</v>
      </c>
      <c r="F33" s="6">
        <f>F25-'202504'!F25</f>
        <v>0.65999999999999659</v>
      </c>
      <c r="G33" s="6">
        <f>G25-'202504'!G25</f>
        <v>-0.37000000000000455</v>
      </c>
    </row>
    <row r="34" spans="2:7" x14ac:dyDescent="0.15">
      <c r="B34" s="35"/>
      <c r="C34" s="4" t="s">
        <v>41</v>
      </c>
      <c r="D34" s="6">
        <f>D26-'202504'!D26</f>
        <v>7.000000000000739E-2</v>
      </c>
      <c r="E34" s="6">
        <f>E26-'202504'!E26</f>
        <v>1.1699999999999875</v>
      </c>
      <c r="F34" s="6">
        <f>F26-'202504'!F26</f>
        <v>0.87000000000000455</v>
      </c>
      <c r="G34" s="6">
        <f>G26-'202504'!G26</f>
        <v>0.74000000000000909</v>
      </c>
    </row>
    <row r="35" spans="2:7" x14ac:dyDescent="0.15">
      <c r="B35" s="35"/>
      <c r="C35" s="4" t="s">
        <v>21</v>
      </c>
      <c r="D35" s="6">
        <f>D27-'202504'!D27</f>
        <v>-0.11000000000001364</v>
      </c>
      <c r="E35" s="6">
        <f>E27-'202504'!E27</f>
        <v>-0.27000000000001023</v>
      </c>
      <c r="F35" s="6">
        <f>F27-'202504'!F27</f>
        <v>-0.25000000000001421</v>
      </c>
      <c r="G35" s="6">
        <f>G27-'202504'!G27</f>
        <v>-0.35000000000000853</v>
      </c>
    </row>
    <row r="36" spans="2:7" x14ac:dyDescent="0.15">
      <c r="B36" s="35"/>
      <c r="C36" s="4" t="s">
        <v>14</v>
      </c>
      <c r="D36" s="6">
        <f>D28-'202504'!D28</f>
        <v>7.000000000000739E-2</v>
      </c>
      <c r="E36" s="6">
        <f>E28-'202504'!E28</f>
        <v>0.28999999999999204</v>
      </c>
      <c r="F36" s="6">
        <f>F28-'202504'!F28</f>
        <v>-0.23000000000000398</v>
      </c>
      <c r="G36" s="6">
        <f>G28-'202504'!G28</f>
        <v>-0.45999999999999375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B2:H36"/>
  <sheetViews>
    <sheetView workbookViewId="0">
      <selection activeCell="R27" sqref="R27"/>
    </sheetView>
  </sheetViews>
  <sheetFormatPr defaultColWidth="9" defaultRowHeight="13.5" x14ac:dyDescent="0.15"/>
  <cols>
    <col min="4" max="4" width="12.625"/>
    <col min="5" max="7" width="13.75"/>
  </cols>
  <sheetData>
    <row r="2" spans="2:8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8" x14ac:dyDescent="0.15">
      <c r="B3" s="4"/>
      <c r="C3" s="4" t="s">
        <v>38</v>
      </c>
      <c r="D3" s="4">
        <v>103.42</v>
      </c>
      <c r="E3" s="4">
        <v>104.5</v>
      </c>
      <c r="F3" s="4">
        <v>105.11</v>
      </c>
      <c r="G3" s="4">
        <v>105.44</v>
      </c>
      <c r="H3">
        <v>105.17</v>
      </c>
    </row>
    <row r="4" spans="2:8" x14ac:dyDescent="0.15">
      <c r="B4" s="4" t="s">
        <v>8</v>
      </c>
      <c r="C4" s="4" t="s">
        <v>39</v>
      </c>
      <c r="D4" s="4">
        <v>102.5</v>
      </c>
      <c r="E4" s="4">
        <v>103.9</v>
      </c>
      <c r="F4" s="4">
        <v>104.9</v>
      </c>
      <c r="G4" s="4">
        <v>104.3</v>
      </c>
      <c r="H4">
        <v>103.2</v>
      </c>
    </row>
    <row r="5" spans="2:8" x14ac:dyDescent="0.15">
      <c r="B5" s="4"/>
      <c r="C5" s="4" t="s">
        <v>40</v>
      </c>
      <c r="D5" s="4">
        <f t="shared" ref="D5:H5" si="0">D3-D4</f>
        <v>0.92000000000000171</v>
      </c>
      <c r="E5" s="4">
        <f t="shared" si="0"/>
        <v>0.59999999999999432</v>
      </c>
      <c r="F5" s="4">
        <f t="shared" si="0"/>
        <v>0.20999999999999375</v>
      </c>
      <c r="G5" s="4">
        <f t="shared" si="0"/>
        <v>1.1400000000000006</v>
      </c>
      <c r="H5" s="4">
        <f t="shared" si="0"/>
        <v>1.9699999999999989</v>
      </c>
    </row>
    <row r="6" spans="2:8" x14ac:dyDescent="0.15">
      <c r="B6" s="4"/>
      <c r="C6" s="4"/>
      <c r="D6" s="4"/>
      <c r="E6" s="4"/>
      <c r="F6" s="4"/>
      <c r="G6" s="4"/>
    </row>
    <row r="7" spans="2:8" x14ac:dyDescent="0.15">
      <c r="B7" s="4" t="s">
        <v>11</v>
      </c>
      <c r="C7" s="4" t="s">
        <v>38</v>
      </c>
      <c r="D7" s="4">
        <v>103.19</v>
      </c>
      <c r="E7" s="4">
        <v>103.81</v>
      </c>
      <c r="F7" s="4">
        <v>104.42</v>
      </c>
      <c r="G7" s="4">
        <v>105.07</v>
      </c>
      <c r="H7">
        <v>104.79</v>
      </c>
    </row>
    <row r="8" spans="2:8" x14ac:dyDescent="0.15">
      <c r="B8" s="4"/>
      <c r="C8" s="4" t="s">
        <v>39</v>
      </c>
      <c r="D8" s="4">
        <v>103.22</v>
      </c>
      <c r="E8" s="4">
        <v>103.33</v>
      </c>
      <c r="F8" s="4">
        <v>104.01</v>
      </c>
      <c r="G8" s="4">
        <v>104.32</v>
      </c>
      <c r="H8">
        <v>104.18</v>
      </c>
    </row>
    <row r="9" spans="2:8" x14ac:dyDescent="0.15">
      <c r="B9" s="4"/>
      <c r="C9" s="4" t="s">
        <v>40</v>
      </c>
      <c r="D9" s="4">
        <f t="shared" ref="D9:H9" si="1">D7-D8</f>
        <v>-3.0000000000001137E-2</v>
      </c>
      <c r="E9" s="4">
        <f t="shared" si="1"/>
        <v>0.48000000000000398</v>
      </c>
      <c r="F9" s="4">
        <f t="shared" si="1"/>
        <v>0.40999999999999659</v>
      </c>
      <c r="G9" s="4">
        <f t="shared" si="1"/>
        <v>0.75</v>
      </c>
      <c r="H9" s="4">
        <f t="shared" si="1"/>
        <v>0.60999999999999943</v>
      </c>
    </row>
    <row r="10" spans="2:8" x14ac:dyDescent="0.15">
      <c r="B10" s="4"/>
      <c r="C10" s="4"/>
      <c r="D10" s="4"/>
      <c r="E10" s="4"/>
      <c r="F10" s="4"/>
      <c r="G10" s="4"/>
    </row>
    <row r="11" spans="2:8" x14ac:dyDescent="0.15">
      <c r="B11" s="4"/>
      <c r="C11" s="4" t="s">
        <v>38</v>
      </c>
      <c r="D11" s="5">
        <v>104.946283993009</v>
      </c>
      <c r="E11" s="5">
        <v>106.07081569196301</v>
      </c>
      <c r="F11" s="5">
        <v>106.730298359776</v>
      </c>
      <c r="G11" s="5">
        <v>107.747800562446</v>
      </c>
      <c r="H11">
        <v>106.52</v>
      </c>
    </row>
    <row r="12" spans="2:8" x14ac:dyDescent="0.15">
      <c r="B12" s="7" t="s">
        <v>41</v>
      </c>
      <c r="C12" s="4" t="s">
        <v>39</v>
      </c>
      <c r="D12" s="5">
        <v>104.066790204101</v>
      </c>
      <c r="E12" s="5">
        <v>104.931366715431</v>
      </c>
      <c r="F12" s="5">
        <v>106.578491138</v>
      </c>
      <c r="G12" s="5">
        <v>106.383685389387</v>
      </c>
      <c r="H12">
        <v>104.73</v>
      </c>
    </row>
    <row r="13" spans="2:8" x14ac:dyDescent="0.15">
      <c r="B13" s="4"/>
      <c r="C13" s="4" t="s">
        <v>40</v>
      </c>
      <c r="D13" s="5">
        <f t="shared" ref="D13:H13" si="2">D11-D12</f>
        <v>0.87949378890800745</v>
      </c>
      <c r="E13" s="5">
        <f t="shared" si="2"/>
        <v>1.1394489765320088</v>
      </c>
      <c r="F13" s="5">
        <f t="shared" si="2"/>
        <v>0.15180722177599648</v>
      </c>
      <c r="G13" s="5">
        <f t="shared" si="2"/>
        <v>1.3641151730590053</v>
      </c>
      <c r="H13" s="5">
        <f t="shared" si="2"/>
        <v>1.789999999999992</v>
      </c>
    </row>
    <row r="14" spans="2:8" x14ac:dyDescent="0.15">
      <c r="B14" s="4"/>
      <c r="C14" s="4"/>
      <c r="D14" s="4"/>
      <c r="E14" s="4"/>
      <c r="F14" s="4"/>
      <c r="G14" s="4"/>
    </row>
    <row r="15" spans="2:8" x14ac:dyDescent="0.15">
      <c r="B15" s="4"/>
      <c r="C15" s="4" t="s">
        <v>38</v>
      </c>
      <c r="D15" s="5">
        <v>103.4</v>
      </c>
      <c r="E15" s="5">
        <v>104.1</v>
      </c>
      <c r="F15" s="5">
        <v>104.97</v>
      </c>
      <c r="G15" s="5">
        <v>105.7</v>
      </c>
      <c r="H15">
        <v>106.1</v>
      </c>
    </row>
    <row r="16" spans="2:8" x14ac:dyDescent="0.15">
      <c r="B16" s="4" t="s">
        <v>21</v>
      </c>
      <c r="C16" s="4" t="s">
        <v>39</v>
      </c>
      <c r="D16" s="5">
        <v>103.02</v>
      </c>
      <c r="E16" s="5">
        <v>103.73</v>
      </c>
      <c r="F16" s="5">
        <v>105.43</v>
      </c>
      <c r="G16" s="5">
        <v>105.33</v>
      </c>
      <c r="H16">
        <v>103.59</v>
      </c>
    </row>
    <row r="17" spans="2:8" x14ac:dyDescent="0.15">
      <c r="B17" s="4"/>
      <c r="C17" s="4" t="s">
        <v>40</v>
      </c>
      <c r="D17" s="5">
        <f t="shared" ref="D17:H17" si="3">D15-D16</f>
        <v>0.38000000000000966</v>
      </c>
      <c r="E17" s="5">
        <f t="shared" si="3"/>
        <v>0.36999999999999034</v>
      </c>
      <c r="F17" s="5">
        <f t="shared" si="3"/>
        <v>-0.46000000000000796</v>
      </c>
      <c r="G17" s="5">
        <f t="shared" si="3"/>
        <v>0.37000000000000455</v>
      </c>
      <c r="H17" s="5">
        <f t="shared" si="3"/>
        <v>2.5099999999999909</v>
      </c>
    </row>
    <row r="18" spans="2:8" x14ac:dyDescent="0.15">
      <c r="B18" s="4"/>
      <c r="C18" s="4"/>
      <c r="D18" s="4"/>
      <c r="E18" s="4"/>
      <c r="F18" s="4"/>
      <c r="G18" s="4"/>
    </row>
    <row r="19" spans="2:8" x14ac:dyDescent="0.15">
      <c r="B19" s="4" t="s">
        <v>14</v>
      </c>
      <c r="C19" s="4" t="s">
        <v>38</v>
      </c>
      <c r="D19" s="4">
        <v>102.76</v>
      </c>
      <c r="E19" s="4">
        <v>103.83</v>
      </c>
      <c r="F19" s="4">
        <v>105</v>
      </c>
      <c r="G19" s="4">
        <v>105.59</v>
      </c>
      <c r="H19">
        <v>105.27</v>
      </c>
    </row>
    <row r="20" spans="2:8" x14ac:dyDescent="0.15">
      <c r="B20" s="4"/>
      <c r="C20" s="4" t="s">
        <v>39</v>
      </c>
      <c r="D20" s="4">
        <v>103.43</v>
      </c>
      <c r="E20" s="4">
        <v>103.85</v>
      </c>
      <c r="F20" s="4">
        <v>104.89</v>
      </c>
      <c r="G20" s="4">
        <v>104.82</v>
      </c>
      <c r="H20">
        <v>103.97</v>
      </c>
    </row>
    <row r="21" spans="2:8" x14ac:dyDescent="0.15">
      <c r="B21" s="4"/>
      <c r="C21" s="4" t="s">
        <v>40</v>
      </c>
      <c r="D21" s="5">
        <f t="shared" ref="D21:H21" si="4">D19-D20</f>
        <v>-0.67000000000000171</v>
      </c>
      <c r="E21" s="5">
        <f t="shared" si="4"/>
        <v>-1.9999999999996021E-2</v>
      </c>
      <c r="F21" s="5">
        <f t="shared" si="4"/>
        <v>0.10999999999999943</v>
      </c>
      <c r="G21" s="5">
        <f t="shared" si="4"/>
        <v>0.77000000000001023</v>
      </c>
      <c r="H21" s="5">
        <f t="shared" si="4"/>
        <v>1.2999999999999972</v>
      </c>
    </row>
    <row r="22" spans="2:8" x14ac:dyDescent="0.15">
      <c r="B22" s="4"/>
      <c r="C22" s="4"/>
      <c r="D22" s="4"/>
      <c r="E22" s="4"/>
      <c r="F22" s="4"/>
      <c r="G22" s="4"/>
    </row>
    <row r="23" spans="2:8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</row>
    <row r="24" spans="2:8" x14ac:dyDescent="0.15">
      <c r="B24" s="4"/>
      <c r="C24" s="4" t="s">
        <v>8</v>
      </c>
      <c r="D24" s="5">
        <f t="shared" ref="D24:H24" si="5">D5</f>
        <v>0.92000000000000171</v>
      </c>
      <c r="E24" s="5">
        <f t="shared" si="5"/>
        <v>0.59999999999999432</v>
      </c>
      <c r="F24" s="5">
        <f t="shared" si="5"/>
        <v>0.20999999999999375</v>
      </c>
      <c r="G24" s="5">
        <f t="shared" si="5"/>
        <v>1.1400000000000006</v>
      </c>
      <c r="H24" s="5">
        <f t="shared" si="5"/>
        <v>1.9699999999999989</v>
      </c>
    </row>
    <row r="25" spans="2:8" x14ac:dyDescent="0.15">
      <c r="B25" s="4"/>
      <c r="C25" s="4" t="s">
        <v>11</v>
      </c>
      <c r="D25" s="5">
        <f t="shared" ref="D25:H25" si="6">D9</f>
        <v>-3.0000000000001137E-2</v>
      </c>
      <c r="E25" s="5">
        <f t="shared" si="6"/>
        <v>0.48000000000000398</v>
      </c>
      <c r="F25" s="5">
        <f t="shared" si="6"/>
        <v>0.40999999999999659</v>
      </c>
      <c r="G25" s="5">
        <f t="shared" si="6"/>
        <v>0.75</v>
      </c>
      <c r="H25" s="5">
        <f t="shared" si="6"/>
        <v>0.60999999999999943</v>
      </c>
    </row>
    <row r="26" spans="2:8" x14ac:dyDescent="0.15">
      <c r="B26" s="4"/>
      <c r="C26" s="4" t="s">
        <v>41</v>
      </c>
      <c r="D26" s="5">
        <f t="shared" ref="D26:H26" si="7">D13</f>
        <v>0.87949378890800745</v>
      </c>
      <c r="E26" s="5">
        <f t="shared" si="7"/>
        <v>1.1394489765320088</v>
      </c>
      <c r="F26" s="5">
        <f t="shared" si="7"/>
        <v>0.15180722177599648</v>
      </c>
      <c r="G26" s="5">
        <f t="shared" si="7"/>
        <v>1.3641151730590053</v>
      </c>
      <c r="H26" s="5">
        <f t="shared" si="7"/>
        <v>1.789999999999992</v>
      </c>
    </row>
    <row r="27" spans="2:8" x14ac:dyDescent="0.15">
      <c r="B27" s="4"/>
      <c r="C27" s="4" t="s">
        <v>21</v>
      </c>
      <c r="D27" s="5">
        <f t="shared" ref="D27:H27" si="8">D17</f>
        <v>0.38000000000000966</v>
      </c>
      <c r="E27" s="5">
        <f t="shared" si="8"/>
        <v>0.36999999999999034</v>
      </c>
      <c r="F27" s="5">
        <f t="shared" si="8"/>
        <v>-0.46000000000000796</v>
      </c>
      <c r="G27" s="5">
        <f t="shared" si="8"/>
        <v>0.37000000000000455</v>
      </c>
      <c r="H27" s="5">
        <f t="shared" si="8"/>
        <v>2.5099999999999909</v>
      </c>
    </row>
    <row r="28" spans="2:8" x14ac:dyDescent="0.15">
      <c r="B28" s="4"/>
      <c r="C28" s="4" t="s">
        <v>14</v>
      </c>
      <c r="D28" s="5">
        <f t="shared" ref="D28:H28" si="9">D21</f>
        <v>-0.67000000000000171</v>
      </c>
      <c r="E28" s="5">
        <f t="shared" si="9"/>
        <v>-1.9999999999996021E-2</v>
      </c>
      <c r="F28" s="5">
        <f t="shared" si="9"/>
        <v>0.10999999999999943</v>
      </c>
      <c r="G28" s="5">
        <f t="shared" si="9"/>
        <v>0.77000000000001023</v>
      </c>
      <c r="H28" s="5">
        <f t="shared" si="9"/>
        <v>1.2999999999999972</v>
      </c>
    </row>
    <row r="31" spans="2:8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</row>
    <row r="32" spans="2:8" x14ac:dyDescent="0.15">
      <c r="B32" s="35"/>
      <c r="C32" s="4" t="s">
        <v>8</v>
      </c>
      <c r="D32" s="6">
        <f>D24-'202505'!D24</f>
        <v>0.22000000000001307</v>
      </c>
      <c r="E32" s="6">
        <f>E24-'202505'!E24</f>
        <v>-0.20000000000000284</v>
      </c>
      <c r="F32" s="6">
        <f>F24-'202505'!F24</f>
        <v>9.9999999999909051E-3</v>
      </c>
      <c r="G32" s="6">
        <f>G24-'202505'!G24</f>
        <v>4.0000000000006253E-2</v>
      </c>
    </row>
    <row r="33" spans="2:7" x14ac:dyDescent="0.15">
      <c r="B33" s="35"/>
      <c r="C33" s="4" t="s">
        <v>11</v>
      </c>
      <c r="D33" s="6">
        <f>D25-'202505'!D25</f>
        <v>0.15999999999999659</v>
      </c>
      <c r="E33" s="6">
        <f>E25-'202505'!E25</f>
        <v>-7.9999999999998295E-2</v>
      </c>
      <c r="F33" s="6">
        <f>F25-'202505'!F25</f>
        <v>-0.26999999999999602</v>
      </c>
      <c r="G33" s="6">
        <f>G25-'202505'!G25</f>
        <v>-3.0000000000001137E-2</v>
      </c>
    </row>
    <row r="34" spans="2:7" x14ac:dyDescent="0.15">
      <c r="B34" s="35"/>
      <c r="C34" s="4" t="s">
        <v>41</v>
      </c>
      <c r="D34" s="6">
        <f>D26-'202505'!D26</f>
        <v>0.10949378890799721</v>
      </c>
      <c r="E34" s="6">
        <f>E26-'202505'!E26</f>
        <v>-0.13055102346798719</v>
      </c>
      <c r="F34" s="6">
        <f>F26-'202505'!F26</f>
        <v>0.68180722177599762</v>
      </c>
      <c r="G34" s="6">
        <f>G26-'202505'!G26</f>
        <v>1.3241151730589991</v>
      </c>
    </row>
    <row r="35" spans="2:7" x14ac:dyDescent="0.15">
      <c r="B35" s="35"/>
      <c r="C35" s="4" t="s">
        <v>21</v>
      </c>
      <c r="D35" s="6">
        <f>D27-'202505'!D27</f>
        <v>9.0000000000017621E-2</v>
      </c>
      <c r="E35" s="6">
        <f>E27-'202505'!E27</f>
        <v>0.35999999999999943</v>
      </c>
      <c r="F35" s="6">
        <f>F27-'202505'!F27</f>
        <v>0.53000000000000114</v>
      </c>
      <c r="G35" s="6">
        <f>G27-'202505'!G27</f>
        <v>2.0000000000010232E-2</v>
      </c>
    </row>
    <row r="36" spans="2:7" x14ac:dyDescent="0.15">
      <c r="B36" s="35"/>
      <c r="C36" s="4" t="s">
        <v>14</v>
      </c>
      <c r="D36" s="6">
        <f>D28-'202505'!D28</f>
        <v>0.28999999999999204</v>
      </c>
      <c r="E36" s="6">
        <f>E28-'202505'!E28</f>
        <v>-0.20999999999999375</v>
      </c>
      <c r="F36" s="6">
        <f>F28-'202505'!F28</f>
        <v>0.59000000000000341</v>
      </c>
      <c r="G36" s="6">
        <f>G28-'202505'!G28</f>
        <v>0.46000000000000796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B2:T36"/>
  <sheetViews>
    <sheetView workbookViewId="0">
      <selection activeCell="G36" sqref="G36"/>
    </sheetView>
  </sheetViews>
  <sheetFormatPr defaultColWidth="9" defaultRowHeight="13.5" x14ac:dyDescent="0.15"/>
  <cols>
    <col min="4" max="4" width="12.625"/>
    <col min="5" max="7" width="13.75"/>
  </cols>
  <sheetData>
    <row r="2" spans="2:20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20" x14ac:dyDescent="0.15">
      <c r="B3" s="4"/>
      <c r="C3" s="4" t="s">
        <v>38</v>
      </c>
      <c r="D3" s="4">
        <v>103.4</v>
      </c>
      <c r="E3" s="4">
        <v>104.5</v>
      </c>
      <c r="F3" s="4">
        <v>105.1</v>
      </c>
      <c r="G3" s="4">
        <v>105.4</v>
      </c>
      <c r="H3">
        <v>105.2</v>
      </c>
    </row>
    <row r="4" spans="2:20" x14ac:dyDescent="0.15">
      <c r="B4" s="4" t="s">
        <v>8</v>
      </c>
      <c r="C4" s="4" t="s">
        <v>39</v>
      </c>
      <c r="D4" s="4">
        <v>102.4</v>
      </c>
      <c r="E4" s="4">
        <v>103.6</v>
      </c>
      <c r="F4" s="4">
        <v>104.8</v>
      </c>
      <c r="G4" s="4">
        <v>104.3</v>
      </c>
      <c r="H4">
        <v>103.1</v>
      </c>
    </row>
    <row r="5" spans="2:20" x14ac:dyDescent="0.15">
      <c r="B5" s="4"/>
      <c r="C5" s="4" t="s">
        <v>40</v>
      </c>
      <c r="D5" s="4">
        <f t="shared" ref="D5:H5" si="0">D3-D4</f>
        <v>1</v>
      </c>
      <c r="E5" s="4">
        <f t="shared" si="0"/>
        <v>0.90000000000000568</v>
      </c>
      <c r="F5" s="4">
        <f t="shared" si="0"/>
        <v>0.29999999999999716</v>
      </c>
      <c r="G5" s="4">
        <f t="shared" si="0"/>
        <v>1.1000000000000085</v>
      </c>
      <c r="H5" s="4">
        <f t="shared" si="0"/>
        <v>2.1000000000000085</v>
      </c>
    </row>
    <row r="6" spans="2:20" x14ac:dyDescent="0.15">
      <c r="B6" s="4"/>
      <c r="C6" s="4"/>
      <c r="D6" s="4"/>
      <c r="E6" s="4"/>
      <c r="F6" s="4"/>
      <c r="G6" s="4"/>
    </row>
    <row r="7" spans="2:20" x14ac:dyDescent="0.15">
      <c r="B7" s="4" t="s">
        <v>11</v>
      </c>
      <c r="C7" s="4" t="s">
        <v>38</v>
      </c>
      <c r="D7" s="5">
        <v>103.320595856667</v>
      </c>
      <c r="E7" s="5">
        <v>104.26808694</v>
      </c>
      <c r="F7" s="5">
        <v>104.73900217000001</v>
      </c>
      <c r="G7" s="5">
        <v>105.049010576667</v>
      </c>
      <c r="H7" s="5">
        <v>104.59158763000001</v>
      </c>
    </row>
    <row r="8" spans="2:20" x14ac:dyDescent="0.15">
      <c r="B8" s="4"/>
      <c r="C8" s="4" t="s">
        <v>39</v>
      </c>
      <c r="D8" s="5">
        <v>102.16180738</v>
      </c>
      <c r="E8" s="5">
        <v>103.13488671</v>
      </c>
      <c r="F8" s="5">
        <v>104.38078913</v>
      </c>
      <c r="G8" s="5">
        <v>104.43450924</v>
      </c>
      <c r="H8" s="5">
        <v>103.36839664999999</v>
      </c>
    </row>
    <row r="9" spans="2:20" x14ac:dyDescent="0.15">
      <c r="B9" s="4"/>
      <c r="C9" s="4" t="s">
        <v>40</v>
      </c>
      <c r="D9" s="5">
        <f t="shared" ref="D9:H9" si="1">D7-D8</f>
        <v>1.1587884766669987</v>
      </c>
      <c r="E9" s="5">
        <f t="shared" si="1"/>
        <v>1.1332002299999999</v>
      </c>
      <c r="F9" s="5">
        <f t="shared" si="1"/>
        <v>0.35821304000000964</v>
      </c>
      <c r="G9" s="5">
        <f t="shared" si="1"/>
        <v>0.61450133666700424</v>
      </c>
      <c r="H9" s="4">
        <f t="shared" si="1"/>
        <v>1.2231909800000125</v>
      </c>
    </row>
    <row r="10" spans="2:20" x14ac:dyDescent="0.15">
      <c r="B10" s="4"/>
      <c r="C10" s="4"/>
      <c r="D10" s="4"/>
      <c r="E10" s="4"/>
      <c r="F10" s="4"/>
      <c r="G10" s="4"/>
    </row>
    <row r="11" spans="2:20" x14ac:dyDescent="0.15">
      <c r="B11" s="4"/>
      <c r="C11" s="4" t="s">
        <v>38</v>
      </c>
      <c r="D11" s="5">
        <v>104.944221057676</v>
      </c>
      <c r="E11" s="5">
        <v>106.494569754804</v>
      </c>
      <c r="F11" s="5">
        <v>107.445361117609</v>
      </c>
      <c r="G11" s="5">
        <v>108.58896363191199</v>
      </c>
      <c r="H11">
        <v>108.35311868039901</v>
      </c>
      <c r="S11" s="12">
        <v>102.908</v>
      </c>
      <c r="T11" s="12">
        <v>103.442847826304</v>
      </c>
    </row>
    <row r="12" spans="2:20" x14ac:dyDescent="0.15">
      <c r="B12" s="7" t="s">
        <v>41</v>
      </c>
      <c r="C12" s="4" t="s">
        <v>39</v>
      </c>
      <c r="D12" s="5">
        <v>103.94120665396299</v>
      </c>
      <c r="E12" s="5">
        <v>105.029199111061</v>
      </c>
      <c r="F12" s="5">
        <v>107.268431369128</v>
      </c>
      <c r="G12" s="5">
        <v>106.847373747489</v>
      </c>
      <c r="H12">
        <v>104.916855222796</v>
      </c>
      <c r="S12" s="13">
        <v>103.837</v>
      </c>
      <c r="T12" s="13">
        <v>103.909953899247</v>
      </c>
    </row>
    <row r="13" spans="2:20" x14ac:dyDescent="0.15">
      <c r="B13" s="4"/>
      <c r="C13" s="4" t="s">
        <v>40</v>
      </c>
      <c r="D13" s="5">
        <f t="shared" ref="D13:H13" si="2">D11-D12</f>
        <v>1.00301440371301</v>
      </c>
      <c r="E13" s="5">
        <f t="shared" si="2"/>
        <v>1.4653706437430003</v>
      </c>
      <c r="F13" s="5">
        <f t="shared" si="2"/>
        <v>0.17692974848100107</v>
      </c>
      <c r="G13" s="5">
        <f t="shared" si="2"/>
        <v>1.7415898844229929</v>
      </c>
      <c r="H13" s="5">
        <f t="shared" si="2"/>
        <v>3.4362634576030047</v>
      </c>
      <c r="S13" s="13">
        <v>105.754</v>
      </c>
      <c r="T13" s="13">
        <v>105.360182198131</v>
      </c>
    </row>
    <row r="14" spans="2:20" x14ac:dyDescent="0.15">
      <c r="B14" s="4"/>
      <c r="C14" s="4"/>
      <c r="D14" s="4"/>
      <c r="E14" s="4"/>
      <c r="F14" s="4"/>
      <c r="G14" s="4"/>
      <c r="S14" s="14">
        <v>105.227</v>
      </c>
      <c r="T14" s="14">
        <v>106.643652216638</v>
      </c>
    </row>
    <row r="15" spans="2:20" x14ac:dyDescent="0.15">
      <c r="B15" s="4"/>
      <c r="C15" s="4" t="s">
        <v>38</v>
      </c>
      <c r="D15" s="5">
        <v>103.44</v>
      </c>
      <c r="E15" s="5">
        <v>103.91</v>
      </c>
      <c r="F15" s="5">
        <v>105.36</v>
      </c>
      <c r="G15" s="5">
        <v>106.64</v>
      </c>
      <c r="H15">
        <v>106.81</v>
      </c>
      <c r="S15" s="15">
        <v>103.48699999999999</v>
      </c>
      <c r="T15" s="15">
        <v>106.81129133558601</v>
      </c>
    </row>
    <row r="16" spans="2:20" x14ac:dyDescent="0.15">
      <c r="B16" s="4" t="s">
        <v>21</v>
      </c>
      <c r="C16" s="4" t="s">
        <v>39</v>
      </c>
      <c r="D16" s="5">
        <v>102.91</v>
      </c>
      <c r="E16" s="5">
        <v>103.84</v>
      </c>
      <c r="F16" s="5">
        <v>105.75</v>
      </c>
      <c r="G16" s="5">
        <v>105.23</v>
      </c>
      <c r="H16">
        <v>103.49</v>
      </c>
    </row>
    <row r="17" spans="2:8" x14ac:dyDescent="0.15">
      <c r="B17" s="4"/>
      <c r="C17" s="4" t="s">
        <v>40</v>
      </c>
      <c r="D17" s="5">
        <f t="shared" ref="D17:H17" si="3">D15-D16</f>
        <v>0.53000000000000114</v>
      </c>
      <c r="E17" s="5">
        <f t="shared" si="3"/>
        <v>6.9999999999993179E-2</v>
      </c>
      <c r="F17" s="5">
        <f t="shared" si="3"/>
        <v>-0.39000000000000057</v>
      </c>
      <c r="G17" s="5">
        <f t="shared" si="3"/>
        <v>1.4099999999999966</v>
      </c>
      <c r="H17" s="5">
        <f t="shared" si="3"/>
        <v>3.3200000000000074</v>
      </c>
    </row>
    <row r="18" spans="2:8" x14ac:dyDescent="0.15">
      <c r="B18" s="4"/>
      <c r="C18" s="4"/>
      <c r="D18" s="4"/>
      <c r="E18" s="4"/>
      <c r="F18" s="4"/>
      <c r="G18" s="4"/>
    </row>
    <row r="19" spans="2:8" x14ac:dyDescent="0.15">
      <c r="B19" s="4" t="s">
        <v>14</v>
      </c>
      <c r="C19" s="4" t="s">
        <v>38</v>
      </c>
      <c r="D19" s="4">
        <v>102.74</v>
      </c>
      <c r="E19" s="4">
        <v>103.25</v>
      </c>
      <c r="F19" s="4">
        <v>105.24</v>
      </c>
      <c r="G19" s="4">
        <v>106.24</v>
      </c>
      <c r="H19">
        <v>105.84</v>
      </c>
    </row>
    <row r="20" spans="2:8" x14ac:dyDescent="0.15">
      <c r="B20" s="4"/>
      <c r="C20" s="4" t="s">
        <v>39</v>
      </c>
      <c r="D20" s="4">
        <v>103.06</v>
      </c>
      <c r="E20" s="4">
        <v>103.97</v>
      </c>
      <c r="F20" s="4">
        <v>105.32</v>
      </c>
      <c r="G20" s="4">
        <v>104.84</v>
      </c>
      <c r="H20">
        <v>104.47</v>
      </c>
    </row>
    <row r="21" spans="2:8" x14ac:dyDescent="0.15">
      <c r="B21" s="4"/>
      <c r="C21" s="4" t="s">
        <v>40</v>
      </c>
      <c r="D21" s="5">
        <f t="shared" ref="D21:H21" si="4">D19-D20</f>
        <v>-0.32000000000000739</v>
      </c>
      <c r="E21" s="5">
        <f t="shared" si="4"/>
        <v>-0.71999999999999886</v>
      </c>
      <c r="F21" s="5">
        <f t="shared" si="4"/>
        <v>-7.9999999999998295E-2</v>
      </c>
      <c r="G21" s="5">
        <f t="shared" si="4"/>
        <v>1.3999999999999915</v>
      </c>
      <c r="H21" s="5">
        <f t="shared" si="4"/>
        <v>1.3700000000000045</v>
      </c>
    </row>
    <row r="22" spans="2:8" x14ac:dyDescent="0.15">
      <c r="B22" s="4"/>
      <c r="C22" s="4"/>
      <c r="D22" s="4"/>
      <c r="E22" s="4"/>
      <c r="F22" s="4"/>
      <c r="G22" s="4"/>
    </row>
    <row r="23" spans="2:8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</row>
    <row r="24" spans="2:8" x14ac:dyDescent="0.15">
      <c r="B24" s="4"/>
      <c r="C24" s="4" t="s">
        <v>8</v>
      </c>
      <c r="D24" s="5">
        <f t="shared" ref="D24:H24" si="5">D5</f>
        <v>1</v>
      </c>
      <c r="E24" s="5">
        <f t="shared" si="5"/>
        <v>0.90000000000000568</v>
      </c>
      <c r="F24" s="5">
        <f t="shared" si="5"/>
        <v>0.29999999999999716</v>
      </c>
      <c r="G24" s="5">
        <f t="shared" si="5"/>
        <v>1.1000000000000085</v>
      </c>
      <c r="H24" s="5">
        <f t="shared" si="5"/>
        <v>2.1000000000000085</v>
      </c>
    </row>
    <row r="25" spans="2:8" x14ac:dyDescent="0.15">
      <c r="B25" s="4"/>
      <c r="C25" s="4" t="s">
        <v>11</v>
      </c>
      <c r="D25" s="5">
        <f t="shared" ref="D25:H25" si="6">D9</f>
        <v>1.1587884766669987</v>
      </c>
      <c r="E25" s="5">
        <f t="shared" si="6"/>
        <v>1.1332002299999999</v>
      </c>
      <c r="F25" s="5">
        <f t="shared" si="6"/>
        <v>0.35821304000000964</v>
      </c>
      <c r="G25" s="5">
        <f t="shared" si="6"/>
        <v>0.61450133666700424</v>
      </c>
      <c r="H25" s="5">
        <f t="shared" si="6"/>
        <v>1.2231909800000125</v>
      </c>
    </row>
    <row r="26" spans="2:8" x14ac:dyDescent="0.15">
      <c r="B26" s="4"/>
      <c r="C26" s="4" t="s">
        <v>41</v>
      </c>
      <c r="D26" s="5">
        <f t="shared" ref="D26:H26" si="7">D13</f>
        <v>1.00301440371301</v>
      </c>
      <c r="E26" s="5">
        <f t="shared" si="7"/>
        <v>1.4653706437430003</v>
      </c>
      <c r="F26" s="5">
        <f t="shared" si="7"/>
        <v>0.17692974848100107</v>
      </c>
      <c r="G26" s="5">
        <f t="shared" si="7"/>
        <v>1.7415898844229929</v>
      </c>
      <c r="H26" s="5">
        <f t="shared" si="7"/>
        <v>3.4362634576030047</v>
      </c>
    </row>
    <row r="27" spans="2:8" x14ac:dyDescent="0.15">
      <c r="B27" s="4"/>
      <c r="C27" s="4" t="s">
        <v>21</v>
      </c>
      <c r="D27" s="5">
        <f t="shared" ref="D27:H27" si="8">D17</f>
        <v>0.53000000000000114</v>
      </c>
      <c r="E27" s="5">
        <f t="shared" si="8"/>
        <v>6.9999999999993179E-2</v>
      </c>
      <c r="F27" s="5">
        <f t="shared" si="8"/>
        <v>-0.39000000000000057</v>
      </c>
      <c r="G27" s="5">
        <f t="shared" si="8"/>
        <v>1.4099999999999966</v>
      </c>
      <c r="H27" s="5">
        <f t="shared" si="8"/>
        <v>3.3200000000000074</v>
      </c>
    </row>
    <row r="28" spans="2:8" x14ac:dyDescent="0.15">
      <c r="B28" s="4"/>
      <c r="C28" s="4" t="s">
        <v>14</v>
      </c>
      <c r="D28" s="5">
        <f t="shared" ref="D28:H28" si="9">D21</f>
        <v>-0.32000000000000739</v>
      </c>
      <c r="E28" s="5">
        <f t="shared" si="9"/>
        <v>-0.71999999999999886</v>
      </c>
      <c r="F28" s="5">
        <f t="shared" si="9"/>
        <v>-7.9999999999998295E-2</v>
      </c>
      <c r="G28" s="5">
        <f t="shared" si="9"/>
        <v>1.3999999999999915</v>
      </c>
      <c r="H28" s="5">
        <f t="shared" si="9"/>
        <v>1.3700000000000045</v>
      </c>
    </row>
    <row r="31" spans="2:8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</row>
    <row r="32" spans="2:8" x14ac:dyDescent="0.15">
      <c r="B32" s="35"/>
      <c r="C32" s="4" t="s">
        <v>8</v>
      </c>
      <c r="D32" s="6">
        <f>D24-'202506'!D24</f>
        <v>7.9999999999998295E-2</v>
      </c>
      <c r="E32" s="6">
        <f>E24-'202506'!E24</f>
        <v>0.30000000000001137</v>
      </c>
      <c r="F32" s="6">
        <f>F24-'202506'!F24</f>
        <v>9.0000000000003411E-2</v>
      </c>
      <c r="G32" s="6">
        <f>G24-'202506'!G24</f>
        <v>-3.9999999999992042E-2</v>
      </c>
    </row>
    <row r="33" spans="2:7" x14ac:dyDescent="0.15">
      <c r="B33" s="35"/>
      <c r="C33" s="4" t="s">
        <v>11</v>
      </c>
      <c r="D33" s="6">
        <f>D25-'202506'!D25</f>
        <v>1.1887884766669998</v>
      </c>
      <c r="E33" s="6">
        <f>E25-'202506'!E25</f>
        <v>0.65320022999999594</v>
      </c>
      <c r="F33" s="6">
        <f>F25-'202506'!F25</f>
        <v>-5.1786959999986948E-2</v>
      </c>
      <c r="G33" s="6">
        <f>G25-'202506'!G25</f>
        <v>-0.13549866333299576</v>
      </c>
    </row>
    <row r="34" spans="2:7" x14ac:dyDescent="0.15">
      <c r="B34" s="35"/>
      <c r="C34" s="4" t="s">
        <v>41</v>
      </c>
      <c r="D34" s="6">
        <f>D26-'202506'!D26</f>
        <v>0.12352061480500254</v>
      </c>
      <c r="E34" s="6">
        <f>E26-'202506'!E26</f>
        <v>0.32592166721099147</v>
      </c>
      <c r="F34" s="6">
        <f>F26-'202506'!F26</f>
        <v>2.5122526705004589E-2</v>
      </c>
      <c r="G34" s="6">
        <f>G26-'202506'!G26</f>
        <v>0.37747471136398758</v>
      </c>
    </row>
    <row r="35" spans="2:7" x14ac:dyDescent="0.15">
      <c r="B35" s="35"/>
      <c r="C35" s="4" t="s">
        <v>21</v>
      </c>
      <c r="D35" s="6">
        <f>D27-'202506'!D27</f>
        <v>0.14999999999999147</v>
      </c>
      <c r="E35" s="6">
        <f>E27-'202506'!E27</f>
        <v>-0.29999999999999716</v>
      </c>
      <c r="F35" s="6">
        <f>F27-'202506'!F27</f>
        <v>7.000000000000739E-2</v>
      </c>
      <c r="G35" s="6">
        <f>G27-'202506'!G27</f>
        <v>1.039999999999992</v>
      </c>
    </row>
    <row r="36" spans="2:7" x14ac:dyDescent="0.15">
      <c r="B36" s="35"/>
      <c r="C36" s="4" t="s">
        <v>14</v>
      </c>
      <c r="D36" s="6">
        <f>D28-'202506'!D28</f>
        <v>0.34999999999999432</v>
      </c>
      <c r="E36" s="6">
        <f>E28-'202506'!E28</f>
        <v>-0.70000000000000284</v>
      </c>
      <c r="F36" s="6">
        <f>F28-'202506'!F28</f>
        <v>-0.18999999999999773</v>
      </c>
      <c r="G36" s="6">
        <f>G28-'202506'!G28</f>
        <v>0.62999999999998124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B2:H36"/>
  <sheetViews>
    <sheetView workbookViewId="0">
      <selection activeCell="R38" sqref="R38"/>
    </sheetView>
  </sheetViews>
  <sheetFormatPr defaultColWidth="9" defaultRowHeight="13.5" x14ac:dyDescent="0.15"/>
  <cols>
    <col min="4" max="4" width="12.625"/>
    <col min="5" max="7" width="13.75"/>
  </cols>
  <sheetData>
    <row r="2" spans="2:8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8" x14ac:dyDescent="0.15">
      <c r="B3" s="4"/>
      <c r="C3" s="4" t="s">
        <v>38</v>
      </c>
      <c r="D3" s="4">
        <v>103.5</v>
      </c>
      <c r="E3" s="4">
        <v>105</v>
      </c>
      <c r="F3" s="4">
        <v>105.7</v>
      </c>
      <c r="G3" s="4">
        <v>106.3</v>
      </c>
      <c r="H3">
        <v>106.1</v>
      </c>
    </row>
    <row r="4" spans="2:8" x14ac:dyDescent="0.15">
      <c r="B4" s="4" t="s">
        <v>8</v>
      </c>
      <c r="C4" s="4" t="s">
        <v>39</v>
      </c>
      <c r="D4" s="4">
        <v>102.4</v>
      </c>
      <c r="E4" s="4">
        <v>103.4</v>
      </c>
      <c r="F4" s="4">
        <v>104.7</v>
      </c>
      <c r="G4" s="4">
        <v>104.2</v>
      </c>
      <c r="H4">
        <v>102.9</v>
      </c>
    </row>
    <row r="5" spans="2:8" x14ac:dyDescent="0.15">
      <c r="B5" s="4"/>
      <c r="C5" s="4" t="s">
        <v>40</v>
      </c>
      <c r="D5" s="4">
        <f t="shared" ref="D5:H5" si="0">D3-D4</f>
        <v>1.0999999999999943</v>
      </c>
      <c r="E5" s="4">
        <f t="shared" si="0"/>
        <v>1.5999999999999943</v>
      </c>
      <c r="F5" s="4">
        <f t="shared" si="0"/>
        <v>1</v>
      </c>
      <c r="G5" s="4">
        <f t="shared" si="0"/>
        <v>2.0999999999999943</v>
      </c>
      <c r="H5" s="4">
        <f t="shared" si="0"/>
        <v>3.1999999999999886</v>
      </c>
    </row>
    <row r="6" spans="2:8" x14ac:dyDescent="0.15">
      <c r="B6" s="4"/>
      <c r="C6" s="4"/>
      <c r="D6" s="4"/>
      <c r="E6" s="4"/>
      <c r="F6" s="4"/>
      <c r="G6" s="4"/>
    </row>
    <row r="7" spans="2:8" x14ac:dyDescent="0.15">
      <c r="B7" s="4" t="s">
        <v>11</v>
      </c>
      <c r="C7" s="4" t="s">
        <v>38</v>
      </c>
      <c r="D7" s="5">
        <v>103.36020676</v>
      </c>
      <c r="E7" s="5">
        <v>104.45928648</v>
      </c>
      <c r="F7" s="5">
        <v>105.0801878</v>
      </c>
      <c r="G7" s="5">
        <v>105.50615397</v>
      </c>
      <c r="H7" s="5">
        <v>105.153044306667</v>
      </c>
    </row>
    <row r="8" spans="2:8" x14ac:dyDescent="0.15">
      <c r="B8" s="4"/>
      <c r="C8" s="4" t="s">
        <v>39</v>
      </c>
      <c r="D8" s="5">
        <v>102.16180738</v>
      </c>
      <c r="E8" s="5">
        <v>103.13488671</v>
      </c>
      <c r="F8" s="5">
        <v>104.38078913</v>
      </c>
      <c r="G8" s="5">
        <v>104.43450924</v>
      </c>
      <c r="H8" s="5">
        <v>103.38960901666699</v>
      </c>
    </row>
    <row r="9" spans="2:8" x14ac:dyDescent="0.15">
      <c r="B9" s="4"/>
      <c r="C9" s="4" t="s">
        <v>40</v>
      </c>
      <c r="D9" s="5">
        <f t="shared" ref="D9:H9" si="1">D7-D8</f>
        <v>1.1983993799999979</v>
      </c>
      <c r="E9" s="5">
        <f t="shared" si="1"/>
        <v>1.3243997699999994</v>
      </c>
      <c r="F9" s="5">
        <f t="shared" si="1"/>
        <v>0.69939867000000788</v>
      </c>
      <c r="G9" s="5">
        <f t="shared" si="1"/>
        <v>1.0716447300000027</v>
      </c>
      <c r="H9" s="5">
        <f t="shared" si="1"/>
        <v>1.7634352900000039</v>
      </c>
    </row>
    <row r="10" spans="2:8" x14ac:dyDescent="0.15">
      <c r="B10" s="4"/>
      <c r="C10" s="4"/>
      <c r="D10" s="4"/>
      <c r="E10" s="4"/>
      <c r="F10" s="4"/>
      <c r="G10" s="4"/>
      <c r="H10" s="6"/>
    </row>
    <row r="11" spans="2:8" x14ac:dyDescent="0.15">
      <c r="B11" s="4"/>
      <c r="C11" s="4" t="s">
        <v>38</v>
      </c>
      <c r="D11" s="5">
        <v>104.853181474358</v>
      </c>
      <c r="E11" s="5">
        <v>106.40184558617</v>
      </c>
      <c r="F11" s="5">
        <v>107.41757138866301</v>
      </c>
      <c r="G11" s="5">
        <v>108.36846599476399</v>
      </c>
      <c r="H11" s="6">
        <v>108.328793734722</v>
      </c>
    </row>
    <row r="12" spans="2:8" x14ac:dyDescent="0.15">
      <c r="B12" s="7" t="s">
        <v>41</v>
      </c>
      <c r="C12" s="4" t="s">
        <v>39</v>
      </c>
      <c r="D12" s="5">
        <v>104.159086130066</v>
      </c>
      <c r="E12" s="5">
        <v>104.873769992558</v>
      </c>
      <c r="F12" s="5">
        <v>106.72934751947599</v>
      </c>
      <c r="G12" s="5">
        <v>106.51628985900901</v>
      </c>
      <c r="H12" s="6">
        <v>104.79482356704899</v>
      </c>
    </row>
    <row r="13" spans="2:8" x14ac:dyDescent="0.15">
      <c r="B13" s="4"/>
      <c r="C13" s="4" t="s">
        <v>40</v>
      </c>
      <c r="D13" s="5">
        <f t="shared" ref="D13:H13" si="2">D11-D12</f>
        <v>0.69409534429199482</v>
      </c>
      <c r="E13" s="5">
        <f t="shared" si="2"/>
        <v>1.5280755936120016</v>
      </c>
      <c r="F13" s="5">
        <f t="shared" si="2"/>
        <v>0.68822386918701284</v>
      </c>
      <c r="G13" s="5">
        <f t="shared" si="2"/>
        <v>1.8521761357549877</v>
      </c>
      <c r="H13" s="5">
        <f t="shared" si="2"/>
        <v>3.5339701676730044</v>
      </c>
    </row>
    <row r="14" spans="2:8" x14ac:dyDescent="0.15">
      <c r="B14" s="4"/>
      <c r="C14" s="4"/>
      <c r="D14" s="4"/>
      <c r="E14" s="4"/>
      <c r="F14" s="4"/>
      <c r="G14" s="4"/>
      <c r="H14" s="6"/>
    </row>
    <row r="15" spans="2:8" x14ac:dyDescent="0.15">
      <c r="B15" s="4"/>
      <c r="C15" s="4" t="s">
        <v>38</v>
      </c>
      <c r="D15" s="5">
        <v>103.405978974967</v>
      </c>
      <c r="E15" s="5">
        <v>103.768939896803</v>
      </c>
      <c r="F15" s="5">
        <v>105.31894591869499</v>
      </c>
      <c r="G15" s="5">
        <v>106.614520333681</v>
      </c>
      <c r="H15" s="5">
        <v>106.963161027019</v>
      </c>
    </row>
    <row r="16" spans="2:8" x14ac:dyDescent="0.15">
      <c r="B16" s="4" t="s">
        <v>21</v>
      </c>
      <c r="C16" s="4" t="s">
        <v>39</v>
      </c>
      <c r="D16" s="5">
        <v>102.77800000000001</v>
      </c>
      <c r="E16" s="5">
        <v>103.605</v>
      </c>
      <c r="F16" s="5">
        <v>105.77</v>
      </c>
      <c r="G16" s="5">
        <v>105.306</v>
      </c>
      <c r="H16" s="5">
        <v>103.57</v>
      </c>
    </row>
    <row r="17" spans="2:8" x14ac:dyDescent="0.15">
      <c r="B17" s="4"/>
      <c r="C17" s="4" t="s">
        <v>40</v>
      </c>
      <c r="D17" s="5">
        <f t="shared" ref="D17:H17" si="3">D15-D16</f>
        <v>0.62797897496699306</v>
      </c>
      <c r="E17" s="5">
        <f t="shared" si="3"/>
        <v>0.16393989680300081</v>
      </c>
      <c r="F17" s="5">
        <f t="shared" si="3"/>
        <v>-0.4510540813050028</v>
      </c>
      <c r="G17" s="5">
        <f t="shared" si="3"/>
        <v>1.3085203336810025</v>
      </c>
      <c r="H17" s="5">
        <f t="shared" si="3"/>
        <v>3.3931610270190049</v>
      </c>
    </row>
    <row r="18" spans="2:8" x14ac:dyDescent="0.15">
      <c r="B18" s="4"/>
      <c r="C18" s="4"/>
      <c r="D18" s="4"/>
      <c r="E18" s="4"/>
      <c r="F18" s="4"/>
      <c r="G18" s="4"/>
      <c r="H18" s="6"/>
    </row>
    <row r="19" spans="2:8" x14ac:dyDescent="0.15">
      <c r="B19" s="4" t="s">
        <v>14</v>
      </c>
      <c r="C19" s="4" t="s">
        <v>38</v>
      </c>
      <c r="D19" s="5">
        <v>102.533133333333</v>
      </c>
      <c r="E19" s="5">
        <v>103.53423333333301</v>
      </c>
      <c r="F19" s="5">
        <v>105.491</v>
      </c>
      <c r="G19" s="5">
        <v>106.511933333333</v>
      </c>
      <c r="H19" s="6">
        <v>106.167133333333</v>
      </c>
    </row>
    <row r="20" spans="2:8" x14ac:dyDescent="0.15">
      <c r="B20" s="4"/>
      <c r="C20" s="4" t="s">
        <v>39</v>
      </c>
      <c r="D20" s="5">
        <v>103.024333333333</v>
      </c>
      <c r="E20" s="5">
        <v>104.032666666667</v>
      </c>
      <c r="F20" s="5">
        <v>105.80733333333301</v>
      </c>
      <c r="G20" s="5">
        <v>105.583666666667</v>
      </c>
      <c r="H20" s="6">
        <v>104.791</v>
      </c>
    </row>
    <row r="21" spans="2:8" x14ac:dyDescent="0.15">
      <c r="B21" s="4"/>
      <c r="C21" s="4" t="s">
        <v>40</v>
      </c>
      <c r="D21" s="5">
        <f t="shared" ref="D21:H21" si="4">D19-D20</f>
        <v>-0.4912000000000063</v>
      </c>
      <c r="E21" s="5">
        <f t="shared" si="4"/>
        <v>-0.49843333333399187</v>
      </c>
      <c r="F21" s="5">
        <f t="shared" si="4"/>
        <v>-0.31633333333300584</v>
      </c>
      <c r="G21" s="5">
        <f t="shared" si="4"/>
        <v>0.92826666666600488</v>
      </c>
      <c r="H21" s="5">
        <f t="shared" si="4"/>
        <v>1.3761333333330015</v>
      </c>
    </row>
    <row r="22" spans="2:8" x14ac:dyDescent="0.15">
      <c r="B22" s="4"/>
      <c r="C22" s="4"/>
      <c r="D22" s="4"/>
      <c r="E22" s="4"/>
      <c r="F22" s="4"/>
      <c r="G22" s="4"/>
    </row>
    <row r="23" spans="2:8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</row>
    <row r="24" spans="2:8" x14ac:dyDescent="0.15">
      <c r="B24" s="4"/>
      <c r="C24" s="4" t="s">
        <v>8</v>
      </c>
      <c r="D24" s="5">
        <f t="shared" ref="D24:H24" si="5">D5</f>
        <v>1.0999999999999943</v>
      </c>
      <c r="E24" s="5">
        <f t="shared" si="5"/>
        <v>1.5999999999999943</v>
      </c>
      <c r="F24" s="5">
        <f t="shared" si="5"/>
        <v>1</v>
      </c>
      <c r="G24" s="5">
        <f t="shared" si="5"/>
        <v>2.0999999999999943</v>
      </c>
      <c r="H24" s="5">
        <f t="shared" si="5"/>
        <v>3.1999999999999886</v>
      </c>
    </row>
    <row r="25" spans="2:8" x14ac:dyDescent="0.15">
      <c r="B25" s="4"/>
      <c r="C25" s="4" t="s">
        <v>11</v>
      </c>
      <c r="D25" s="5">
        <f t="shared" ref="D25:H25" si="6">D9</f>
        <v>1.1983993799999979</v>
      </c>
      <c r="E25" s="5">
        <f t="shared" si="6"/>
        <v>1.3243997699999994</v>
      </c>
      <c r="F25" s="5">
        <f t="shared" si="6"/>
        <v>0.69939867000000788</v>
      </c>
      <c r="G25" s="5">
        <f t="shared" si="6"/>
        <v>1.0716447300000027</v>
      </c>
      <c r="H25" s="5">
        <f t="shared" si="6"/>
        <v>1.7634352900000039</v>
      </c>
    </row>
    <row r="26" spans="2:8" x14ac:dyDescent="0.15">
      <c r="B26" s="4"/>
      <c r="C26" s="4" t="s">
        <v>41</v>
      </c>
      <c r="D26" s="5">
        <f t="shared" ref="D26:H26" si="7">D13</f>
        <v>0.69409534429199482</v>
      </c>
      <c r="E26" s="5">
        <f t="shared" si="7"/>
        <v>1.5280755936120016</v>
      </c>
      <c r="F26" s="5">
        <f t="shared" si="7"/>
        <v>0.68822386918701284</v>
      </c>
      <c r="G26" s="5">
        <f t="shared" si="7"/>
        <v>1.8521761357549877</v>
      </c>
      <c r="H26" s="5">
        <f t="shared" si="7"/>
        <v>3.5339701676730044</v>
      </c>
    </row>
    <row r="27" spans="2:8" x14ac:dyDescent="0.15">
      <c r="B27" s="4"/>
      <c r="C27" s="4" t="s">
        <v>21</v>
      </c>
      <c r="D27" s="5">
        <f t="shared" ref="D27:H27" si="8">D17</f>
        <v>0.62797897496699306</v>
      </c>
      <c r="E27" s="5">
        <f t="shared" si="8"/>
        <v>0.16393989680300081</v>
      </c>
      <c r="F27" s="5">
        <f t="shared" si="8"/>
        <v>-0.4510540813050028</v>
      </c>
      <c r="G27" s="5">
        <f t="shared" si="8"/>
        <v>1.3085203336810025</v>
      </c>
      <c r="H27" s="5">
        <f t="shared" si="8"/>
        <v>3.3931610270190049</v>
      </c>
    </row>
    <row r="28" spans="2:8" x14ac:dyDescent="0.15">
      <c r="B28" s="4"/>
      <c r="C28" s="4" t="s">
        <v>14</v>
      </c>
      <c r="D28" s="5">
        <f t="shared" ref="D28:H28" si="9">D21</f>
        <v>-0.4912000000000063</v>
      </c>
      <c r="E28" s="5">
        <f t="shared" si="9"/>
        <v>-0.49843333333399187</v>
      </c>
      <c r="F28" s="5">
        <f t="shared" si="9"/>
        <v>-0.31633333333300584</v>
      </c>
      <c r="G28" s="5">
        <f t="shared" si="9"/>
        <v>0.92826666666600488</v>
      </c>
      <c r="H28" s="5">
        <f t="shared" si="9"/>
        <v>1.3761333333330015</v>
      </c>
    </row>
    <row r="31" spans="2:8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</row>
    <row r="32" spans="2:8" x14ac:dyDescent="0.15">
      <c r="B32" s="35"/>
      <c r="C32" s="4" t="s">
        <v>8</v>
      </c>
      <c r="D32" s="6">
        <f>D24-'202507'!D24</f>
        <v>9.9999999999994316E-2</v>
      </c>
      <c r="E32" s="6">
        <f>E24-'202507'!E24</f>
        <v>0.69999999999998863</v>
      </c>
      <c r="F32" s="6">
        <f>F24-'202507'!F24</f>
        <v>0.70000000000000284</v>
      </c>
      <c r="G32" s="6">
        <f>G24-'202507'!G24</f>
        <v>0.99999999999998579</v>
      </c>
    </row>
    <row r="33" spans="2:7" x14ac:dyDescent="0.15">
      <c r="B33" s="35"/>
      <c r="C33" s="4" t="s">
        <v>11</v>
      </c>
      <c r="D33" s="6">
        <f>D25-'202507'!D25</f>
        <v>3.9610903332999214E-2</v>
      </c>
      <c r="E33" s="6">
        <f>E25-'202507'!E25</f>
        <v>0.1911995399999995</v>
      </c>
      <c r="F33" s="6">
        <f>F25-'202507'!F25</f>
        <v>0.34118562999999824</v>
      </c>
      <c r="G33" s="6">
        <f>G25-'202507'!G25</f>
        <v>0.45714339333299847</v>
      </c>
    </row>
    <row r="34" spans="2:7" x14ac:dyDescent="0.15">
      <c r="B34" s="35"/>
      <c r="C34" s="4" t="s">
        <v>41</v>
      </c>
      <c r="D34" s="6">
        <f>D26-'202507'!D26</f>
        <v>-0.30891905942101516</v>
      </c>
      <c r="E34" s="6">
        <f>E26-'202507'!E26</f>
        <v>6.2704949869001325E-2</v>
      </c>
      <c r="F34" s="6">
        <f>F26-'202507'!F26</f>
        <v>0.51129412070601177</v>
      </c>
      <c r="G34" s="6">
        <f>G26-'202507'!G26</f>
        <v>0.11058625133199484</v>
      </c>
    </row>
    <row r="35" spans="2:7" x14ac:dyDescent="0.15">
      <c r="B35" s="35"/>
      <c r="C35" s="4" t="s">
        <v>21</v>
      </c>
      <c r="D35" s="6">
        <f>D27-'202507'!D27</f>
        <v>9.7978974966991927E-2</v>
      </c>
      <c r="E35" s="6">
        <f>E27-'202507'!E27</f>
        <v>9.3939896803007628E-2</v>
      </c>
      <c r="F35" s="6">
        <f>F27-'202507'!F27</f>
        <v>-6.1054081305002228E-2</v>
      </c>
      <c r="G35" s="6">
        <f>G27-'202507'!G27</f>
        <v>-0.10147966631899408</v>
      </c>
    </row>
    <row r="36" spans="2:7" x14ac:dyDescent="0.15">
      <c r="B36" s="35"/>
      <c r="C36" s="4" t="s">
        <v>14</v>
      </c>
      <c r="D36" s="6">
        <f>D28-'202507'!D28</f>
        <v>-0.17119999999999891</v>
      </c>
      <c r="E36" s="6">
        <f>E28-'202507'!E28</f>
        <v>0.221566666666007</v>
      </c>
      <c r="F36" s="6">
        <f>F28-'202507'!F28</f>
        <v>-0.23633333333300754</v>
      </c>
      <c r="G36" s="6">
        <f>G28-'202507'!G28</f>
        <v>-0.47173333333398659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B2:S36"/>
  <sheetViews>
    <sheetView workbookViewId="0">
      <selection activeCell="I17" sqref="I17"/>
    </sheetView>
  </sheetViews>
  <sheetFormatPr defaultColWidth="9" defaultRowHeight="13.5" x14ac:dyDescent="0.15"/>
  <cols>
    <col min="4" max="4" width="12.625"/>
    <col min="5" max="7" width="13.75"/>
  </cols>
  <sheetData>
    <row r="2" spans="2:8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8" x14ac:dyDescent="0.15">
      <c r="B3" s="4"/>
      <c r="C3" s="4" t="s">
        <v>38</v>
      </c>
      <c r="D3" s="4">
        <v>103.5</v>
      </c>
      <c r="E3" s="4">
        <v>105</v>
      </c>
      <c r="F3" s="4">
        <v>106.2</v>
      </c>
      <c r="G3" s="4">
        <v>107.3</v>
      </c>
      <c r="H3">
        <v>107.1</v>
      </c>
    </row>
    <row r="4" spans="2:8" x14ac:dyDescent="0.15">
      <c r="B4" s="4" t="s">
        <v>8</v>
      </c>
      <c r="C4" s="4" t="s">
        <v>39</v>
      </c>
      <c r="D4" s="4">
        <v>102.5</v>
      </c>
      <c r="E4" s="4">
        <v>103.6</v>
      </c>
      <c r="F4" s="4">
        <v>104.6</v>
      </c>
      <c r="G4" s="4">
        <v>104.2</v>
      </c>
      <c r="H4">
        <v>103</v>
      </c>
    </row>
    <row r="5" spans="2:8" x14ac:dyDescent="0.15">
      <c r="B5" s="4"/>
      <c r="C5" s="4" t="s">
        <v>40</v>
      </c>
      <c r="D5" s="4">
        <f t="shared" ref="D5:H5" si="0">D3-D4</f>
        <v>1</v>
      </c>
      <c r="E5" s="4">
        <f t="shared" si="0"/>
        <v>1.4000000000000057</v>
      </c>
      <c r="F5" s="4">
        <f t="shared" si="0"/>
        <v>1.6000000000000085</v>
      </c>
      <c r="G5" s="4">
        <f t="shared" si="0"/>
        <v>3.0999999999999943</v>
      </c>
      <c r="H5" s="4">
        <f t="shared" si="0"/>
        <v>4.0999999999999943</v>
      </c>
    </row>
    <row r="6" spans="2:8" x14ac:dyDescent="0.15">
      <c r="B6" s="4"/>
      <c r="C6" s="4"/>
      <c r="D6" s="4"/>
      <c r="E6" s="4"/>
      <c r="F6" s="4"/>
      <c r="G6" s="4"/>
    </row>
    <row r="7" spans="2:8" x14ac:dyDescent="0.15">
      <c r="B7" s="4" t="s">
        <v>11</v>
      </c>
      <c r="C7" s="4" t="s">
        <v>38</v>
      </c>
      <c r="D7" s="5">
        <v>103.59</v>
      </c>
      <c r="E7" s="5">
        <v>105.06</v>
      </c>
      <c r="F7" s="5">
        <v>106.11</v>
      </c>
      <c r="G7" s="5">
        <v>106.63</v>
      </c>
      <c r="H7" s="5">
        <v>105.77</v>
      </c>
    </row>
    <row r="8" spans="2:8" x14ac:dyDescent="0.15">
      <c r="B8" s="4"/>
      <c r="C8" s="4" t="s">
        <v>39</v>
      </c>
      <c r="D8" s="5">
        <v>102.16180738</v>
      </c>
      <c r="E8" s="5">
        <v>103.71</v>
      </c>
      <c r="F8" s="5">
        <v>104.49</v>
      </c>
      <c r="G8" s="5">
        <v>104.53</v>
      </c>
      <c r="H8" s="5">
        <v>103.51</v>
      </c>
    </row>
    <row r="9" spans="2:8" x14ac:dyDescent="0.15">
      <c r="B9" s="4"/>
      <c r="C9" s="4" t="s">
        <v>40</v>
      </c>
      <c r="D9" s="5">
        <f t="shared" ref="D9:H9" si="1">D7-D8</f>
        <v>1.4281926200000044</v>
      </c>
      <c r="E9" s="5">
        <f t="shared" si="1"/>
        <v>1.3500000000000085</v>
      </c>
      <c r="F9" s="5">
        <f t="shared" si="1"/>
        <v>1.6200000000000045</v>
      </c>
      <c r="G9" s="5">
        <f t="shared" si="1"/>
        <v>2.0999999999999943</v>
      </c>
      <c r="H9" s="5">
        <f t="shared" si="1"/>
        <v>2.2599999999999909</v>
      </c>
    </row>
    <row r="10" spans="2:8" x14ac:dyDescent="0.15">
      <c r="B10" s="4"/>
      <c r="C10" s="4"/>
      <c r="D10" s="4"/>
      <c r="E10" s="4"/>
      <c r="F10" s="4"/>
      <c r="G10" s="4"/>
      <c r="H10" s="6"/>
    </row>
    <row r="11" spans="2:8" x14ac:dyDescent="0.15">
      <c r="B11" s="4"/>
      <c r="C11" s="4" t="s">
        <v>38</v>
      </c>
      <c r="D11" s="5">
        <v>104.872607324122</v>
      </c>
      <c r="E11" s="5">
        <v>106.142965217118</v>
      </c>
      <c r="F11" s="5">
        <v>107.212625842031</v>
      </c>
      <c r="G11" s="5">
        <v>108.35238286263601</v>
      </c>
      <c r="H11" s="6">
        <v>108.044844502228</v>
      </c>
    </row>
    <row r="12" spans="2:8" x14ac:dyDescent="0.15">
      <c r="B12" s="7" t="s">
        <v>41</v>
      </c>
      <c r="C12" s="4" t="s">
        <v>39</v>
      </c>
      <c r="D12" s="5">
        <v>104.339288508766</v>
      </c>
      <c r="E12" s="5">
        <v>105.190184806196</v>
      </c>
      <c r="F12" s="5">
        <v>106.73823326508899</v>
      </c>
      <c r="G12" s="5">
        <v>106.19293454395</v>
      </c>
      <c r="H12" s="6">
        <v>104.79018257823201</v>
      </c>
    </row>
    <row r="13" spans="2:8" x14ac:dyDescent="0.15">
      <c r="B13" s="4"/>
      <c r="C13" s="4" t="s">
        <v>40</v>
      </c>
      <c r="D13" s="5">
        <f t="shared" ref="D13:H13" si="2">D11-D12</f>
        <v>0.53331881535599734</v>
      </c>
      <c r="E13" s="5">
        <f t="shared" si="2"/>
        <v>0.95278041092200283</v>
      </c>
      <c r="F13" s="5">
        <f t="shared" si="2"/>
        <v>0.47439257694200876</v>
      </c>
      <c r="G13" s="5">
        <f t="shared" si="2"/>
        <v>2.1594483186860032</v>
      </c>
      <c r="H13" s="5">
        <f t="shared" si="2"/>
        <v>3.2546619239959966</v>
      </c>
    </row>
    <row r="14" spans="2:8" x14ac:dyDescent="0.15">
      <c r="B14" s="4"/>
      <c r="C14" s="4"/>
      <c r="D14" s="4"/>
      <c r="E14" s="4"/>
      <c r="F14" s="4"/>
      <c r="G14" s="4"/>
      <c r="H14" s="6"/>
    </row>
    <row r="15" spans="2:8" x14ac:dyDescent="0.15">
      <c r="B15" s="4"/>
      <c r="C15" s="4" t="s">
        <v>38</v>
      </c>
      <c r="D15" s="5">
        <v>103.32</v>
      </c>
      <c r="E15" s="5">
        <v>103.75</v>
      </c>
      <c r="F15" s="5">
        <v>105.3</v>
      </c>
      <c r="G15" s="5">
        <v>106.64</v>
      </c>
      <c r="H15" s="5">
        <v>106.94</v>
      </c>
    </row>
    <row r="16" spans="2:8" x14ac:dyDescent="0.15">
      <c r="B16" s="4" t="s">
        <v>21</v>
      </c>
      <c r="C16" s="4" t="s">
        <v>39</v>
      </c>
      <c r="D16" s="5">
        <v>103.02</v>
      </c>
      <c r="E16" s="5">
        <v>103.38</v>
      </c>
      <c r="F16" s="5">
        <v>105.66</v>
      </c>
      <c r="G16" s="5">
        <v>105.42</v>
      </c>
      <c r="H16" s="5">
        <v>103.54</v>
      </c>
    </row>
    <row r="17" spans="2:19" x14ac:dyDescent="0.15">
      <c r="B17" s="4"/>
      <c r="C17" s="4" t="s">
        <v>40</v>
      </c>
      <c r="D17" s="5">
        <f t="shared" ref="D17:H17" si="3">D15-D16</f>
        <v>0.29999999999999716</v>
      </c>
      <c r="E17" s="5">
        <f t="shared" si="3"/>
        <v>0.37000000000000455</v>
      </c>
      <c r="F17" s="5">
        <f t="shared" si="3"/>
        <v>-0.35999999999999943</v>
      </c>
      <c r="G17" s="5">
        <f t="shared" si="3"/>
        <v>1.2199999999999989</v>
      </c>
      <c r="H17" s="5">
        <f t="shared" si="3"/>
        <v>3.3999999999999915</v>
      </c>
    </row>
    <row r="18" spans="2:19" x14ac:dyDescent="0.15">
      <c r="B18" s="4"/>
      <c r="C18" s="4"/>
      <c r="D18" s="4"/>
      <c r="E18" s="4"/>
      <c r="F18" s="4"/>
      <c r="G18" s="4"/>
      <c r="H18" s="6"/>
    </row>
    <row r="19" spans="2:19" x14ac:dyDescent="0.15">
      <c r="B19" s="4" t="s">
        <v>14</v>
      </c>
      <c r="C19" s="4" t="s">
        <v>38</v>
      </c>
      <c r="D19" s="5">
        <v>102.720133333333</v>
      </c>
      <c r="E19" s="5">
        <v>103.731866666667</v>
      </c>
      <c r="F19" s="5">
        <v>105.8511</v>
      </c>
      <c r="G19" s="5">
        <v>107.3693</v>
      </c>
      <c r="H19" s="5">
        <v>106.894033333333</v>
      </c>
    </row>
    <row r="20" spans="2:19" x14ac:dyDescent="0.15">
      <c r="B20" s="4"/>
      <c r="C20" s="4" t="s">
        <v>39</v>
      </c>
      <c r="D20" s="5">
        <v>102.87626666666699</v>
      </c>
      <c r="E20" s="5">
        <v>103.931233333333</v>
      </c>
      <c r="F20" s="5">
        <v>106.172333333333</v>
      </c>
      <c r="G20" s="5">
        <v>105.753633333333</v>
      </c>
      <c r="H20" s="5">
        <v>104.77160000000001</v>
      </c>
    </row>
    <row r="21" spans="2:19" x14ac:dyDescent="0.15">
      <c r="B21" s="4"/>
      <c r="C21" s="4" t="s">
        <v>40</v>
      </c>
      <c r="D21" s="5">
        <f t="shared" ref="D21:H21" si="4">D19-D20</f>
        <v>-0.15613333333399737</v>
      </c>
      <c r="E21" s="5">
        <f t="shared" si="4"/>
        <v>-0.19936666666599479</v>
      </c>
      <c r="F21" s="5">
        <f t="shared" si="4"/>
        <v>-0.32123333333299797</v>
      </c>
      <c r="G21" s="5">
        <f t="shared" si="4"/>
        <v>1.6156666666669963</v>
      </c>
      <c r="H21" s="5">
        <f t="shared" si="4"/>
        <v>2.1224333333329923</v>
      </c>
    </row>
    <row r="22" spans="2:19" x14ac:dyDescent="0.15">
      <c r="B22" s="4"/>
      <c r="C22" s="4"/>
      <c r="D22" s="4"/>
      <c r="E22" s="4"/>
      <c r="F22" s="4"/>
      <c r="G22" s="4"/>
    </row>
    <row r="23" spans="2:19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  <c r="R23" s="11"/>
      <c r="S23" s="11"/>
    </row>
    <row r="24" spans="2:19" x14ac:dyDescent="0.15">
      <c r="B24" s="4"/>
      <c r="C24" s="4" t="s">
        <v>8</v>
      </c>
      <c r="D24" s="5">
        <f t="shared" ref="D24:H24" si="5">D5</f>
        <v>1</v>
      </c>
      <c r="E24" s="5">
        <f t="shared" si="5"/>
        <v>1.4000000000000057</v>
      </c>
      <c r="F24" s="5">
        <f t="shared" si="5"/>
        <v>1.6000000000000085</v>
      </c>
      <c r="G24" s="5">
        <f t="shared" si="5"/>
        <v>3.0999999999999943</v>
      </c>
      <c r="H24" s="5">
        <f t="shared" si="5"/>
        <v>4.0999999999999943</v>
      </c>
      <c r="R24" s="11"/>
      <c r="S24" s="11"/>
    </row>
    <row r="25" spans="2:19" x14ac:dyDescent="0.15">
      <c r="B25" s="4"/>
      <c r="C25" s="4" t="s">
        <v>11</v>
      </c>
      <c r="D25" s="5">
        <f t="shared" ref="D25:H25" si="6">D9</f>
        <v>1.4281926200000044</v>
      </c>
      <c r="E25" s="5">
        <f t="shared" si="6"/>
        <v>1.3500000000000085</v>
      </c>
      <c r="F25" s="5">
        <f t="shared" si="6"/>
        <v>1.6200000000000045</v>
      </c>
      <c r="G25" s="5">
        <f t="shared" si="6"/>
        <v>2.0999999999999943</v>
      </c>
      <c r="H25" s="5">
        <f t="shared" si="6"/>
        <v>2.2599999999999909</v>
      </c>
      <c r="R25" s="11"/>
      <c r="S25" s="11"/>
    </row>
    <row r="26" spans="2:19" x14ac:dyDescent="0.15">
      <c r="B26" s="4"/>
      <c r="C26" s="4" t="s">
        <v>41</v>
      </c>
      <c r="D26" s="5">
        <f t="shared" ref="D26:H26" si="7">D13</f>
        <v>0.53331881535599734</v>
      </c>
      <c r="E26" s="5">
        <f t="shared" si="7"/>
        <v>0.95278041092200283</v>
      </c>
      <c r="F26" s="5">
        <f t="shared" si="7"/>
        <v>0.47439257694200876</v>
      </c>
      <c r="G26" s="5">
        <f t="shared" si="7"/>
        <v>2.1594483186860032</v>
      </c>
      <c r="H26" s="5">
        <f t="shared" si="7"/>
        <v>3.2546619239959966</v>
      </c>
      <c r="R26" s="11"/>
      <c r="S26" s="11"/>
    </row>
    <row r="27" spans="2:19" x14ac:dyDescent="0.15">
      <c r="B27" s="4"/>
      <c r="C27" s="4" t="s">
        <v>21</v>
      </c>
      <c r="D27" s="5">
        <f t="shared" ref="D27:H27" si="8">D17</f>
        <v>0.29999999999999716</v>
      </c>
      <c r="E27" s="5">
        <f t="shared" si="8"/>
        <v>0.37000000000000455</v>
      </c>
      <c r="F27" s="5">
        <f t="shared" si="8"/>
        <v>-0.35999999999999943</v>
      </c>
      <c r="G27" s="5">
        <f t="shared" si="8"/>
        <v>1.2199999999999989</v>
      </c>
      <c r="H27" s="5">
        <f t="shared" si="8"/>
        <v>3.3999999999999915</v>
      </c>
      <c r="R27" s="11"/>
      <c r="S27" s="11"/>
    </row>
    <row r="28" spans="2:19" x14ac:dyDescent="0.15">
      <c r="B28" s="4"/>
      <c r="C28" s="4" t="s">
        <v>14</v>
      </c>
      <c r="D28" s="5">
        <f t="shared" ref="D28:H28" si="9">D21</f>
        <v>-0.15613333333399737</v>
      </c>
      <c r="E28" s="5">
        <f t="shared" si="9"/>
        <v>-0.19936666666599479</v>
      </c>
      <c r="F28" s="5">
        <f t="shared" si="9"/>
        <v>-0.32123333333299797</v>
      </c>
      <c r="G28" s="5">
        <f t="shared" si="9"/>
        <v>1.6156666666669963</v>
      </c>
      <c r="H28" s="5">
        <f t="shared" si="9"/>
        <v>2.1224333333329923</v>
      </c>
      <c r="R28" s="11"/>
      <c r="S28" s="11"/>
    </row>
    <row r="29" spans="2:19" x14ac:dyDescent="0.15">
      <c r="R29" s="11"/>
      <c r="S29" s="11"/>
    </row>
    <row r="30" spans="2:19" x14ac:dyDescent="0.15">
      <c r="R30" s="11"/>
      <c r="S30" s="11"/>
    </row>
    <row r="31" spans="2:19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  <c r="R31" s="11"/>
      <c r="S31" s="11"/>
    </row>
    <row r="32" spans="2:19" x14ac:dyDescent="0.15">
      <c r="B32" s="35"/>
      <c r="C32" s="4" t="s">
        <v>8</v>
      </c>
      <c r="D32" s="6">
        <f>D24-'202508'!D24</f>
        <v>-9.9999999999994316E-2</v>
      </c>
      <c r="E32" s="6">
        <f>E24-'202508'!E24</f>
        <v>-0.19999999999998863</v>
      </c>
      <c r="F32" s="6">
        <f>F24-'202508'!F24</f>
        <v>0.60000000000000853</v>
      </c>
      <c r="G32" s="6">
        <f>G24-'202508'!G24</f>
        <v>1</v>
      </c>
      <c r="R32" s="11"/>
      <c r="S32" s="11"/>
    </row>
    <row r="33" spans="2:19" x14ac:dyDescent="0.15">
      <c r="B33" s="35"/>
      <c r="C33" s="4" t="s">
        <v>11</v>
      </c>
      <c r="D33" s="6">
        <f>D25-'202508'!D25</f>
        <v>0.22979324000000645</v>
      </c>
      <c r="E33" s="6">
        <f>E25-'202508'!E25</f>
        <v>2.5600230000009105E-2</v>
      </c>
      <c r="F33" s="6">
        <f>F25-'202508'!F25</f>
        <v>0.92060132999999666</v>
      </c>
      <c r="G33" s="6">
        <f>G25-'202508'!G25</f>
        <v>1.0283552699999916</v>
      </c>
      <c r="R33" s="11"/>
      <c r="S33" s="11"/>
    </row>
    <row r="34" spans="2:19" x14ac:dyDescent="0.15">
      <c r="B34" s="35"/>
      <c r="C34" s="4" t="s">
        <v>41</v>
      </c>
      <c r="D34" s="6">
        <f>D26-'202508'!D26</f>
        <v>-0.16077652893599748</v>
      </c>
      <c r="E34" s="6">
        <f>E26-'202508'!E26</f>
        <v>-0.5752951826899988</v>
      </c>
      <c r="F34" s="6">
        <f>F26-'202508'!F26</f>
        <v>-0.21383129224500408</v>
      </c>
      <c r="G34" s="6">
        <f>G26-'202508'!G26</f>
        <v>0.30727218293101544</v>
      </c>
      <c r="R34" s="11"/>
      <c r="S34" s="11"/>
    </row>
    <row r="35" spans="2:19" x14ac:dyDescent="0.15">
      <c r="B35" s="35"/>
      <c r="C35" s="4" t="s">
        <v>21</v>
      </c>
      <c r="D35" s="6">
        <f>D27-'202508'!D27</f>
        <v>-0.32797897496699591</v>
      </c>
      <c r="E35" s="6">
        <f>E27-'202508'!E27</f>
        <v>0.20606010319700374</v>
      </c>
      <c r="F35" s="6">
        <f>F27-'202508'!F27</f>
        <v>9.1054081305003365E-2</v>
      </c>
      <c r="G35" s="6">
        <f>G27-'202508'!G27</f>
        <v>-8.8520333681003649E-2</v>
      </c>
      <c r="R35" s="11"/>
      <c r="S35" s="11"/>
    </row>
    <row r="36" spans="2:19" x14ac:dyDescent="0.15">
      <c r="B36" s="35"/>
      <c r="C36" s="4" t="s">
        <v>14</v>
      </c>
      <c r="D36" s="6">
        <f>D28-'202508'!D28</f>
        <v>0.33506666666600893</v>
      </c>
      <c r="E36" s="6">
        <f>E28-'202508'!E28</f>
        <v>0.29906666666799708</v>
      </c>
      <c r="F36" s="6">
        <f>F28-'202508'!F28</f>
        <v>-4.8999999999921329E-3</v>
      </c>
      <c r="G36" s="6">
        <f>G28-'202508'!G28</f>
        <v>0.68740000000099144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2:S36"/>
  <sheetViews>
    <sheetView workbookViewId="0">
      <selection activeCell="H24" sqref="H24"/>
    </sheetView>
  </sheetViews>
  <sheetFormatPr defaultColWidth="9" defaultRowHeight="13.5" x14ac:dyDescent="0.15"/>
  <cols>
    <col min="4" max="4" width="12.625"/>
    <col min="5" max="7" width="13.75"/>
  </cols>
  <sheetData>
    <row r="2" spans="2:8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8" x14ac:dyDescent="0.15">
      <c r="B3" s="4"/>
      <c r="C3" s="4" t="s">
        <v>38</v>
      </c>
      <c r="D3" s="4">
        <v>103.5</v>
      </c>
      <c r="E3" s="4">
        <v>105.3</v>
      </c>
      <c r="F3" s="4">
        <v>106.9</v>
      </c>
      <c r="G3" s="4">
        <v>107.6</v>
      </c>
      <c r="H3">
        <v>107.4</v>
      </c>
    </row>
    <row r="4" spans="2:8" x14ac:dyDescent="0.15">
      <c r="B4" s="4" t="s">
        <v>8</v>
      </c>
      <c r="C4" s="4" t="s">
        <v>39</v>
      </c>
      <c r="D4" s="4">
        <v>102.5</v>
      </c>
      <c r="E4" s="4">
        <v>103.4</v>
      </c>
      <c r="F4" s="4">
        <v>105</v>
      </c>
      <c r="G4" s="4">
        <v>104.5</v>
      </c>
      <c r="H4">
        <v>103.1</v>
      </c>
    </row>
    <row r="5" spans="2:8" x14ac:dyDescent="0.15">
      <c r="B5" s="4"/>
      <c r="C5" s="4" t="s">
        <v>40</v>
      </c>
      <c r="D5" s="4">
        <f t="shared" ref="D5:H5" si="0">D3-D4</f>
        <v>1</v>
      </c>
      <c r="E5" s="4">
        <f t="shared" si="0"/>
        <v>1.8999999999999915</v>
      </c>
      <c r="F5" s="4">
        <f t="shared" si="0"/>
        <v>1.9000000000000057</v>
      </c>
      <c r="G5" s="4">
        <f t="shared" si="0"/>
        <v>3.0999999999999943</v>
      </c>
      <c r="H5" s="4">
        <f t="shared" si="0"/>
        <v>4.3000000000000114</v>
      </c>
    </row>
    <row r="6" spans="2:8" x14ac:dyDescent="0.15">
      <c r="B6" s="4"/>
      <c r="C6" s="4"/>
      <c r="D6" s="4"/>
      <c r="E6" s="4"/>
      <c r="F6" s="4"/>
      <c r="G6" s="4"/>
    </row>
    <row r="7" spans="2:8" x14ac:dyDescent="0.15">
      <c r="B7" s="4" t="s">
        <v>11</v>
      </c>
      <c r="C7" s="4" t="s">
        <v>38</v>
      </c>
      <c r="D7" s="5">
        <v>103.61</v>
      </c>
      <c r="E7" s="5">
        <v>105.03</v>
      </c>
      <c r="F7" s="5">
        <v>106.62</v>
      </c>
      <c r="G7" s="5">
        <v>106.85</v>
      </c>
      <c r="H7" s="5">
        <v>106.07</v>
      </c>
    </row>
    <row r="8" spans="2:8" x14ac:dyDescent="0.15">
      <c r="B8" s="4"/>
      <c r="C8" s="4" t="s">
        <v>39</v>
      </c>
      <c r="D8" s="5">
        <v>102.21</v>
      </c>
      <c r="E8" s="5">
        <v>103.77</v>
      </c>
      <c r="F8" s="5">
        <v>104.61</v>
      </c>
      <c r="G8" s="5">
        <v>104.64</v>
      </c>
      <c r="H8" s="5">
        <v>103.66</v>
      </c>
    </row>
    <row r="9" spans="2:8" x14ac:dyDescent="0.15">
      <c r="B9" s="4"/>
      <c r="C9" s="4" t="s">
        <v>40</v>
      </c>
      <c r="D9" s="5">
        <f t="shared" ref="D9:H9" si="1">D7-D8</f>
        <v>1.4000000000000057</v>
      </c>
      <c r="E9" s="5">
        <f t="shared" si="1"/>
        <v>1.2600000000000051</v>
      </c>
      <c r="F9" s="5">
        <f t="shared" si="1"/>
        <v>2.0100000000000051</v>
      </c>
      <c r="G9" s="5">
        <f t="shared" si="1"/>
        <v>2.2099999999999937</v>
      </c>
      <c r="H9" s="5">
        <f t="shared" si="1"/>
        <v>2.4099999999999966</v>
      </c>
    </row>
    <row r="10" spans="2:8" x14ac:dyDescent="0.15">
      <c r="B10" s="4"/>
      <c r="C10" s="4"/>
      <c r="D10" s="4"/>
      <c r="E10" s="4"/>
      <c r="F10" s="4"/>
      <c r="G10" s="4"/>
      <c r="H10" s="6"/>
    </row>
    <row r="11" spans="2:8" x14ac:dyDescent="0.15">
      <c r="B11" s="4"/>
      <c r="C11" s="4" t="s">
        <v>38</v>
      </c>
      <c r="D11" s="5">
        <v>104.872607324122</v>
      </c>
      <c r="E11" s="5">
        <v>106.142965217118</v>
      </c>
      <c r="F11" s="5">
        <v>107.212625842031</v>
      </c>
      <c r="G11" s="5">
        <v>108.35238286263601</v>
      </c>
      <c r="H11" s="6">
        <v>108.044844502228</v>
      </c>
    </row>
    <row r="12" spans="2:8" x14ac:dyDescent="0.15">
      <c r="B12" s="7" t="s">
        <v>41</v>
      </c>
      <c r="C12" s="4" t="s">
        <v>39</v>
      </c>
      <c r="D12" s="5">
        <v>104.339288508766</v>
      </c>
      <c r="E12" s="5">
        <v>105.190184806196</v>
      </c>
      <c r="F12" s="5">
        <v>106.73823326508899</v>
      </c>
      <c r="G12" s="5">
        <v>106.19293454395</v>
      </c>
      <c r="H12" s="6">
        <v>104.79018257823201</v>
      </c>
    </row>
    <row r="13" spans="2:8" x14ac:dyDescent="0.15">
      <c r="B13" s="4"/>
      <c r="C13" s="4" t="s">
        <v>40</v>
      </c>
      <c r="D13" s="5">
        <f t="shared" ref="D13:H13" si="2">D11-D12</f>
        <v>0.53331881535599734</v>
      </c>
      <c r="E13" s="5">
        <f t="shared" si="2"/>
        <v>0.95278041092200283</v>
      </c>
      <c r="F13" s="5">
        <f t="shared" si="2"/>
        <v>0.47439257694200876</v>
      </c>
      <c r="G13" s="5">
        <f t="shared" si="2"/>
        <v>2.1594483186860032</v>
      </c>
      <c r="H13" s="5">
        <f t="shared" si="2"/>
        <v>3.2546619239959966</v>
      </c>
    </row>
    <row r="14" spans="2:8" x14ac:dyDescent="0.15">
      <c r="B14" s="4"/>
      <c r="C14" s="4"/>
      <c r="D14" s="4"/>
      <c r="E14" s="4"/>
      <c r="F14" s="4"/>
      <c r="G14" s="4"/>
      <c r="H14" s="6"/>
    </row>
    <row r="15" spans="2:8" x14ac:dyDescent="0.15">
      <c r="B15" s="4"/>
      <c r="C15" s="4" t="s">
        <v>38</v>
      </c>
      <c r="D15" s="5">
        <v>103.358556935115</v>
      </c>
      <c r="E15" s="5">
        <v>104.10554265029999</v>
      </c>
      <c r="F15" s="5">
        <v>105.556316617005</v>
      </c>
      <c r="G15" s="5">
        <v>106.80438183718201</v>
      </c>
      <c r="H15" s="5">
        <v>107.061289073087</v>
      </c>
    </row>
    <row r="16" spans="2:8" x14ac:dyDescent="0.15">
      <c r="B16" s="4" t="s">
        <v>21</v>
      </c>
      <c r="C16" s="4" t="s">
        <v>39</v>
      </c>
      <c r="D16" s="5">
        <v>102.82299999999999</v>
      </c>
      <c r="E16" s="5">
        <v>103.405</v>
      </c>
      <c r="F16" s="5">
        <v>105.43600000000001</v>
      </c>
      <c r="G16" s="5">
        <v>105.39700000000001</v>
      </c>
      <c r="H16" s="5">
        <v>103.43</v>
      </c>
    </row>
    <row r="17" spans="1:19" x14ac:dyDescent="0.15">
      <c r="B17" s="4"/>
      <c r="C17" s="4" t="s">
        <v>40</v>
      </c>
      <c r="D17" s="5">
        <f t="shared" ref="D17:H17" si="3">D15-D16</f>
        <v>0.5355569351150109</v>
      </c>
      <c r="E17" s="5">
        <f t="shared" si="3"/>
        <v>0.70054265029999385</v>
      </c>
      <c r="F17" s="5">
        <f t="shared" si="3"/>
        <v>0.1203166170049883</v>
      </c>
      <c r="G17" s="5">
        <f t="shared" si="3"/>
        <v>1.407381837182001</v>
      </c>
      <c r="H17" s="5">
        <f t="shared" si="3"/>
        <v>3.6312890730869896</v>
      </c>
    </row>
    <row r="18" spans="1:19" x14ac:dyDescent="0.15">
      <c r="B18" s="4"/>
      <c r="C18" s="4"/>
      <c r="D18" s="4"/>
      <c r="E18" s="4"/>
      <c r="F18" s="4"/>
      <c r="G18" s="4"/>
      <c r="H18" s="6"/>
    </row>
    <row r="19" spans="1:19" x14ac:dyDescent="0.15">
      <c r="B19" s="4" t="s">
        <v>14</v>
      </c>
      <c r="C19" s="4" t="s">
        <v>38</v>
      </c>
      <c r="D19" s="5">
        <v>102.562666666667</v>
      </c>
      <c r="E19" s="5">
        <v>103.90033333333299</v>
      </c>
      <c r="F19" s="5">
        <v>106.14133333333299</v>
      </c>
      <c r="G19" s="5">
        <v>107.846</v>
      </c>
      <c r="H19" s="5">
        <v>107.314333333333</v>
      </c>
    </row>
    <row r="20" spans="1:19" x14ac:dyDescent="0.15">
      <c r="B20" s="4"/>
      <c r="C20" s="4" t="s">
        <v>39</v>
      </c>
      <c r="D20" s="5">
        <v>102.70399999999999</v>
      </c>
      <c r="E20" s="5">
        <v>104.091333333333</v>
      </c>
      <c r="F20" s="5">
        <v>105.863666666667</v>
      </c>
      <c r="G20" s="5">
        <v>105.604</v>
      </c>
      <c r="H20" s="5">
        <v>104.63566666666701</v>
      </c>
    </row>
    <row r="21" spans="1:19" x14ac:dyDescent="0.15">
      <c r="B21" s="4"/>
      <c r="C21" s="4" t="s">
        <v>40</v>
      </c>
      <c r="D21" s="5">
        <f t="shared" ref="D21:H21" si="4">D19-D20</f>
        <v>-0.14133333333299447</v>
      </c>
      <c r="E21" s="5">
        <f t="shared" si="4"/>
        <v>-0.1910000000000025</v>
      </c>
      <c r="F21" s="5">
        <f t="shared" si="4"/>
        <v>0.27766666666599349</v>
      </c>
      <c r="G21" s="5">
        <f t="shared" si="4"/>
        <v>2.2420000000000044</v>
      </c>
      <c r="H21" s="5">
        <f t="shared" si="4"/>
        <v>2.6786666666659897</v>
      </c>
    </row>
    <row r="22" spans="1:19" x14ac:dyDescent="0.15">
      <c r="B22" s="4"/>
      <c r="C22" s="4"/>
      <c r="D22" s="4"/>
      <c r="E22" s="4"/>
      <c r="F22" s="4"/>
      <c r="G22" s="4"/>
    </row>
    <row r="23" spans="1:19" x14ac:dyDescent="0.15">
      <c r="A23" s="12"/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  <c r="R23" s="11"/>
      <c r="S23" s="11"/>
    </row>
    <row r="24" spans="1:19" x14ac:dyDescent="0.15">
      <c r="A24" s="13"/>
      <c r="B24" s="4"/>
      <c r="C24" s="4" t="s">
        <v>8</v>
      </c>
      <c r="D24" s="5">
        <f t="shared" ref="D24:H24" si="5">D5</f>
        <v>1</v>
      </c>
      <c r="E24" s="5">
        <f t="shared" si="5"/>
        <v>1.8999999999999915</v>
      </c>
      <c r="F24" s="5">
        <f t="shared" si="5"/>
        <v>1.9000000000000057</v>
      </c>
      <c r="G24" s="5">
        <f t="shared" si="5"/>
        <v>3.0999999999999943</v>
      </c>
      <c r="H24" s="5">
        <f t="shared" si="5"/>
        <v>4.3000000000000114</v>
      </c>
      <c r="R24" s="11"/>
      <c r="S24" s="11"/>
    </row>
    <row r="25" spans="1:19" x14ac:dyDescent="0.15">
      <c r="A25" s="13"/>
      <c r="B25" s="4"/>
      <c r="C25" s="4" t="s">
        <v>11</v>
      </c>
      <c r="D25" s="5">
        <f t="shared" ref="D25:H25" si="6">D9</f>
        <v>1.4000000000000057</v>
      </c>
      <c r="E25" s="5">
        <f t="shared" si="6"/>
        <v>1.2600000000000051</v>
      </c>
      <c r="F25" s="5">
        <f t="shared" si="6"/>
        <v>2.0100000000000051</v>
      </c>
      <c r="G25" s="5">
        <f t="shared" si="6"/>
        <v>2.2099999999999937</v>
      </c>
      <c r="H25" s="5">
        <f t="shared" si="6"/>
        <v>2.4099999999999966</v>
      </c>
      <c r="R25" s="11"/>
      <c r="S25" s="11"/>
    </row>
    <row r="26" spans="1:19" x14ac:dyDescent="0.15">
      <c r="A26" s="14"/>
      <c r="B26" s="4"/>
      <c r="C26" s="4" t="s">
        <v>41</v>
      </c>
      <c r="D26" s="5">
        <f t="shared" ref="D26:H26" si="7">D13</f>
        <v>0.53331881535599734</v>
      </c>
      <c r="E26" s="5">
        <f t="shared" si="7"/>
        <v>0.95278041092200283</v>
      </c>
      <c r="F26" s="5">
        <f t="shared" si="7"/>
        <v>0.47439257694200876</v>
      </c>
      <c r="G26" s="5">
        <f t="shared" si="7"/>
        <v>2.1594483186860032</v>
      </c>
      <c r="H26" s="5">
        <f t="shared" si="7"/>
        <v>3.2546619239959966</v>
      </c>
      <c r="R26" s="11"/>
      <c r="S26" s="11"/>
    </row>
    <row r="27" spans="1:19" x14ac:dyDescent="0.15">
      <c r="A27" s="15"/>
      <c r="B27" s="4"/>
      <c r="C27" s="4" t="s">
        <v>21</v>
      </c>
      <c r="D27" s="5">
        <f t="shared" ref="D27:H27" si="8">D17</f>
        <v>0.5355569351150109</v>
      </c>
      <c r="E27" s="5">
        <f t="shared" si="8"/>
        <v>0.70054265029999385</v>
      </c>
      <c r="F27" s="5">
        <f t="shared" si="8"/>
        <v>0.1203166170049883</v>
      </c>
      <c r="G27" s="5">
        <f t="shared" si="8"/>
        <v>1.407381837182001</v>
      </c>
      <c r="H27" s="5">
        <f t="shared" si="8"/>
        <v>3.6312890730869896</v>
      </c>
      <c r="R27" s="11"/>
      <c r="S27" s="11"/>
    </row>
    <row r="28" spans="1:19" x14ac:dyDescent="0.15">
      <c r="B28" s="4"/>
      <c r="C28" s="4" t="s">
        <v>14</v>
      </c>
      <c r="D28" s="5">
        <f t="shared" ref="D28:H28" si="9">D21</f>
        <v>-0.14133333333299447</v>
      </c>
      <c r="E28" s="5">
        <f t="shared" si="9"/>
        <v>-0.1910000000000025</v>
      </c>
      <c r="F28" s="5">
        <f t="shared" si="9"/>
        <v>0.27766666666599349</v>
      </c>
      <c r="G28" s="5">
        <f t="shared" si="9"/>
        <v>2.2420000000000044</v>
      </c>
      <c r="H28" s="5">
        <f t="shared" si="9"/>
        <v>2.6786666666659897</v>
      </c>
      <c r="R28" s="11"/>
      <c r="S28" s="11"/>
    </row>
    <row r="29" spans="1:19" x14ac:dyDescent="0.15">
      <c r="R29" s="11"/>
      <c r="S29" s="11"/>
    </row>
    <row r="30" spans="1:19" x14ac:dyDescent="0.15">
      <c r="R30" s="11"/>
      <c r="S30" s="11"/>
    </row>
    <row r="31" spans="1:19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  <c r="R31" s="11"/>
      <c r="S31" s="11"/>
    </row>
    <row r="32" spans="1:19" x14ac:dyDescent="0.15">
      <c r="B32" s="35"/>
      <c r="C32" s="4" t="s">
        <v>8</v>
      </c>
      <c r="D32" s="6">
        <f>D24-'202508'!D24</f>
        <v>-9.9999999999994316E-2</v>
      </c>
      <c r="E32" s="6">
        <f>E24-'202508'!E24</f>
        <v>0.29999999999999716</v>
      </c>
      <c r="F32" s="6">
        <f>F24-'202508'!F24</f>
        <v>0.90000000000000568</v>
      </c>
      <c r="G32" s="6">
        <f>G24-'202508'!G24</f>
        <v>1</v>
      </c>
      <c r="R32" s="11"/>
      <c r="S32" s="11"/>
    </row>
    <row r="33" spans="2:19" x14ac:dyDescent="0.15">
      <c r="B33" s="35"/>
      <c r="C33" s="4" t="s">
        <v>11</v>
      </c>
      <c r="D33" s="6">
        <f>D25-'202508'!D25</f>
        <v>0.20160062000000778</v>
      </c>
      <c r="E33" s="6">
        <f>E25-'202508'!E25</f>
        <v>-6.4399769999994305E-2</v>
      </c>
      <c r="F33" s="6">
        <f>F25-'202508'!F25</f>
        <v>1.3106013299999972</v>
      </c>
      <c r="G33" s="6">
        <f>G25-'202508'!G25</f>
        <v>1.138355269999991</v>
      </c>
      <c r="R33" s="11"/>
      <c r="S33" s="11"/>
    </row>
    <row r="34" spans="2:19" x14ac:dyDescent="0.15">
      <c r="B34" s="35"/>
      <c r="C34" s="4" t="s">
        <v>41</v>
      </c>
      <c r="D34" s="6">
        <f>D26-'202508'!D26</f>
        <v>-0.16077652893599748</v>
      </c>
      <c r="E34" s="6">
        <f>E26-'202508'!E26</f>
        <v>-0.5752951826899988</v>
      </c>
      <c r="F34" s="6">
        <f>F26-'202508'!F26</f>
        <v>-0.21383129224500408</v>
      </c>
      <c r="G34" s="6">
        <f>G26-'202508'!G26</f>
        <v>0.30727218293101544</v>
      </c>
      <c r="R34" s="11"/>
      <c r="S34" s="11"/>
    </row>
    <row r="35" spans="2:19" x14ac:dyDescent="0.15">
      <c r="B35" s="35"/>
      <c r="C35" s="4" t="s">
        <v>21</v>
      </c>
      <c r="D35" s="6">
        <f>D27-'202508'!D27</f>
        <v>-9.2422039851982163E-2</v>
      </c>
      <c r="E35" s="6">
        <f>E27-'202508'!E27</f>
        <v>0.53660275349699305</v>
      </c>
      <c r="F35" s="6">
        <f>F27-'202508'!F27</f>
        <v>0.5713706983099911</v>
      </c>
      <c r="G35" s="6">
        <f>G27-'202508'!G27</f>
        <v>9.8861503500998538E-2</v>
      </c>
      <c r="R35" s="11"/>
      <c r="S35" s="11"/>
    </row>
    <row r="36" spans="2:19" x14ac:dyDescent="0.15">
      <c r="B36" s="35"/>
      <c r="C36" s="4" t="s">
        <v>14</v>
      </c>
      <c r="D36" s="6">
        <f>D28-'202508'!D28</f>
        <v>0.34986666666701183</v>
      </c>
      <c r="E36" s="6">
        <f>E28-'202508'!E28</f>
        <v>0.30743333333398937</v>
      </c>
      <c r="F36" s="6">
        <f>F28-'202508'!F28</f>
        <v>0.59399999999899933</v>
      </c>
      <c r="G36" s="6">
        <f>G28-'202508'!G28</f>
        <v>1.3137333333339996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2:S36"/>
  <sheetViews>
    <sheetView workbookViewId="0">
      <selection activeCell="J24" sqref="J24"/>
    </sheetView>
  </sheetViews>
  <sheetFormatPr defaultColWidth="9" defaultRowHeight="13.5" x14ac:dyDescent="0.15"/>
  <cols>
    <col min="4" max="4" width="12.625"/>
    <col min="5" max="7" width="13.75"/>
    <col min="8" max="8" width="13" customWidth="1"/>
    <col min="10" max="10" width="12.625"/>
  </cols>
  <sheetData>
    <row r="2" spans="2:8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</row>
    <row r="3" spans="2:8" x14ac:dyDescent="0.15">
      <c r="B3" s="4"/>
      <c r="C3" s="4" t="s">
        <v>38</v>
      </c>
      <c r="D3" s="4">
        <v>103.6</v>
      </c>
      <c r="E3" s="4">
        <v>105.3</v>
      </c>
      <c r="F3" s="4">
        <v>107.6</v>
      </c>
      <c r="G3" s="4">
        <v>108.1</v>
      </c>
      <c r="H3" s="4">
        <v>107.9</v>
      </c>
    </row>
    <row r="4" spans="2:8" x14ac:dyDescent="0.15">
      <c r="B4" s="4" t="s">
        <v>8</v>
      </c>
      <c r="C4" s="4" t="s">
        <v>39</v>
      </c>
      <c r="D4" s="4">
        <v>102.5</v>
      </c>
      <c r="E4" s="4">
        <v>103.4</v>
      </c>
      <c r="F4" s="4">
        <v>104.8</v>
      </c>
      <c r="G4" s="4">
        <v>104.5</v>
      </c>
      <c r="H4" s="4">
        <v>103.2</v>
      </c>
    </row>
    <row r="5" spans="2:8" x14ac:dyDescent="0.15">
      <c r="B5" s="4"/>
      <c r="C5" s="4" t="s">
        <v>40</v>
      </c>
      <c r="D5" s="4">
        <f t="shared" ref="D5:H5" si="0">D3-D4</f>
        <v>1.0999999999999943</v>
      </c>
      <c r="E5" s="4">
        <f t="shared" si="0"/>
        <v>1.8999999999999915</v>
      </c>
      <c r="F5" s="4">
        <f t="shared" si="0"/>
        <v>2.7999999999999972</v>
      </c>
      <c r="G5" s="4">
        <f t="shared" si="0"/>
        <v>3.5999999999999943</v>
      </c>
      <c r="H5" s="4">
        <f t="shared" si="0"/>
        <v>4.7000000000000028</v>
      </c>
    </row>
    <row r="6" spans="2:8" x14ac:dyDescent="0.15">
      <c r="B6" s="4"/>
      <c r="C6" s="4"/>
      <c r="D6" s="4"/>
      <c r="E6" s="4"/>
      <c r="F6" s="4"/>
      <c r="G6" s="4"/>
      <c r="H6" s="4"/>
    </row>
    <row r="7" spans="2:8" x14ac:dyDescent="0.15">
      <c r="B7" s="4" t="s">
        <v>11</v>
      </c>
      <c r="C7" s="4" t="s">
        <v>38</v>
      </c>
      <c r="D7" s="5">
        <v>103.61</v>
      </c>
      <c r="E7" s="5">
        <v>105.06</v>
      </c>
      <c r="F7" s="5">
        <v>107.44</v>
      </c>
      <c r="G7" s="5">
        <v>107.31</v>
      </c>
      <c r="H7" s="5">
        <v>106.38</v>
      </c>
    </row>
    <row r="8" spans="2:8" x14ac:dyDescent="0.15">
      <c r="B8" s="4"/>
      <c r="C8" s="4" t="s">
        <v>39</v>
      </c>
      <c r="D8" s="5">
        <v>102.36</v>
      </c>
      <c r="E8" s="5">
        <v>104.06</v>
      </c>
      <c r="F8" s="5">
        <v>104.83</v>
      </c>
      <c r="G8" s="5">
        <v>104.72</v>
      </c>
      <c r="H8" s="5">
        <v>103.68</v>
      </c>
    </row>
    <row r="9" spans="2:8" x14ac:dyDescent="0.15">
      <c r="B9" s="4"/>
      <c r="C9" s="4" t="s">
        <v>40</v>
      </c>
      <c r="D9" s="5">
        <f t="shared" ref="D9:H9" si="1">D7-D8</f>
        <v>1.25</v>
      </c>
      <c r="E9" s="5">
        <f t="shared" si="1"/>
        <v>1</v>
      </c>
      <c r="F9" s="5">
        <f t="shared" si="1"/>
        <v>2.6099999999999994</v>
      </c>
      <c r="G9" s="5">
        <f t="shared" si="1"/>
        <v>2.5900000000000034</v>
      </c>
      <c r="H9" s="5">
        <f t="shared" si="1"/>
        <v>2.6999999999999886</v>
      </c>
    </row>
    <row r="10" spans="2:8" x14ac:dyDescent="0.15">
      <c r="B10" s="4"/>
      <c r="C10" s="4"/>
      <c r="D10" s="4"/>
      <c r="E10" s="4"/>
      <c r="F10" s="4"/>
      <c r="G10" s="4"/>
      <c r="H10" s="5"/>
    </row>
    <row r="11" spans="2:8" x14ac:dyDescent="0.15">
      <c r="B11" s="4"/>
      <c r="C11" s="4" t="s">
        <v>38</v>
      </c>
      <c r="D11" s="5">
        <v>104.880487169109</v>
      </c>
      <c r="E11" s="5">
        <v>106.33427517171999</v>
      </c>
      <c r="F11" s="5">
        <v>107.98141814323699</v>
      </c>
      <c r="G11" s="5">
        <v>109.043397553102</v>
      </c>
      <c r="H11" s="5">
        <v>108.236778632248</v>
      </c>
    </row>
    <row r="12" spans="2:8" x14ac:dyDescent="0.15">
      <c r="B12" s="7" t="s">
        <v>41</v>
      </c>
      <c r="C12" s="4" t="s">
        <v>39</v>
      </c>
      <c r="D12" s="5">
        <v>104.36299239988099</v>
      </c>
      <c r="E12" s="5">
        <v>105.708097815754</v>
      </c>
      <c r="F12" s="5">
        <v>107.140658882785</v>
      </c>
      <c r="G12" s="5">
        <v>106.55185521502899</v>
      </c>
      <c r="H12" s="5">
        <v>105.106117486972</v>
      </c>
    </row>
    <row r="13" spans="2:8" x14ac:dyDescent="0.15">
      <c r="B13" s="4"/>
      <c r="C13" s="4" t="s">
        <v>40</v>
      </c>
      <c r="D13" s="5">
        <f t="shared" ref="D13:H13" si="2">D11-D12</f>
        <v>0.51749476922800852</v>
      </c>
      <c r="E13" s="5">
        <f t="shared" si="2"/>
        <v>0.62617735596599289</v>
      </c>
      <c r="F13" s="5">
        <f t="shared" si="2"/>
        <v>0.84075926045198912</v>
      </c>
      <c r="G13" s="5">
        <f t="shared" si="2"/>
        <v>2.4915423380730033</v>
      </c>
      <c r="H13" s="5">
        <f t="shared" si="2"/>
        <v>3.130661145276008</v>
      </c>
    </row>
    <row r="14" spans="2:8" x14ac:dyDescent="0.15">
      <c r="B14" s="4"/>
      <c r="C14" s="4"/>
      <c r="D14" s="4"/>
      <c r="E14" s="4"/>
      <c r="F14" s="4"/>
      <c r="G14" s="4"/>
      <c r="H14" s="5"/>
    </row>
    <row r="15" spans="2:8" x14ac:dyDescent="0.15">
      <c r="B15" s="4"/>
      <c r="C15" s="4" t="s">
        <v>38</v>
      </c>
      <c r="D15" s="5">
        <v>103.415142022591</v>
      </c>
      <c r="E15" s="5">
        <v>104.12630854875999</v>
      </c>
      <c r="F15" s="5">
        <v>105.999628844081</v>
      </c>
      <c r="G15" s="5">
        <v>107.254486916145</v>
      </c>
      <c r="H15" s="5">
        <v>107.90907170038101</v>
      </c>
    </row>
    <row r="16" spans="2:8" x14ac:dyDescent="0.15">
      <c r="B16" s="4" t="s">
        <v>21</v>
      </c>
      <c r="C16" s="4" t="s">
        <v>39</v>
      </c>
      <c r="D16" s="5">
        <v>103.111</v>
      </c>
      <c r="E16" s="5">
        <v>103.8</v>
      </c>
      <c r="F16" s="5">
        <v>105.637</v>
      </c>
      <c r="G16" s="5">
        <v>105.74299999999999</v>
      </c>
      <c r="H16" s="5">
        <v>103.673</v>
      </c>
    </row>
    <row r="17" spans="1:19" x14ac:dyDescent="0.15">
      <c r="B17" s="4"/>
      <c r="C17" s="4" t="s">
        <v>40</v>
      </c>
      <c r="D17" s="5">
        <f t="shared" ref="D17:H17" si="3">D15-D16</f>
        <v>0.30414202259099454</v>
      </c>
      <c r="E17" s="5">
        <f t="shared" si="3"/>
        <v>0.3263085487599966</v>
      </c>
      <c r="F17" s="5">
        <f t="shared" si="3"/>
        <v>0.36262884408100149</v>
      </c>
      <c r="G17" s="5">
        <f t="shared" si="3"/>
        <v>1.5114869161450031</v>
      </c>
      <c r="H17" s="5">
        <f t="shared" si="3"/>
        <v>4.2360717003810038</v>
      </c>
    </row>
    <row r="18" spans="1:19" x14ac:dyDescent="0.15">
      <c r="B18" s="4"/>
      <c r="C18" s="4"/>
      <c r="D18" s="4"/>
      <c r="E18" s="4"/>
      <c r="F18" s="4"/>
      <c r="G18" s="4"/>
      <c r="H18" s="5"/>
    </row>
    <row r="19" spans="1:19" x14ac:dyDescent="0.15">
      <c r="B19" s="4" t="s">
        <v>14</v>
      </c>
      <c r="C19" s="4" t="s">
        <v>38</v>
      </c>
      <c r="D19" s="5">
        <v>102.9223387145</v>
      </c>
      <c r="E19" s="5">
        <v>104.149742571402</v>
      </c>
      <c r="F19" s="5">
        <v>106.761092405071</v>
      </c>
      <c r="G19" s="5">
        <v>108.41657255798501</v>
      </c>
      <c r="H19" s="5">
        <v>107.903189046253</v>
      </c>
      <c r="J19" s="10"/>
    </row>
    <row r="20" spans="1:19" x14ac:dyDescent="0.15">
      <c r="B20" s="4"/>
      <c r="C20" s="4" t="s">
        <v>39</v>
      </c>
      <c r="D20" s="5">
        <v>102.295310195079</v>
      </c>
      <c r="E20" s="5">
        <v>103.965089495238</v>
      </c>
      <c r="F20" s="5">
        <v>105.982307493777</v>
      </c>
      <c r="G20" s="5">
        <v>105.533422990136</v>
      </c>
      <c r="H20" s="5">
        <v>104.79236487333699</v>
      </c>
      <c r="J20" s="10"/>
    </row>
    <row r="21" spans="1:19" x14ac:dyDescent="0.15">
      <c r="B21" s="4"/>
      <c r="C21" s="4" t="s">
        <v>40</v>
      </c>
      <c r="D21" s="5">
        <f t="shared" ref="D21:H21" si="4">D19-D20</f>
        <v>0.62702851942100324</v>
      </c>
      <c r="E21" s="5">
        <f t="shared" si="4"/>
        <v>0.18465307616399684</v>
      </c>
      <c r="F21" s="5">
        <f t="shared" si="4"/>
        <v>0.77878491129399663</v>
      </c>
      <c r="G21" s="5">
        <f t="shared" si="4"/>
        <v>2.8831495678490029</v>
      </c>
      <c r="H21" s="5">
        <f t="shared" si="4"/>
        <v>3.1108241729160113</v>
      </c>
      <c r="J21" s="10"/>
    </row>
    <row r="22" spans="1:19" x14ac:dyDescent="0.15">
      <c r="B22" s="4"/>
      <c r="C22" s="4"/>
      <c r="D22" s="4"/>
      <c r="E22" s="4"/>
      <c r="F22" s="4"/>
      <c r="G22" s="4"/>
      <c r="H22" s="4"/>
      <c r="J22" s="10"/>
    </row>
    <row r="23" spans="1:19" x14ac:dyDescent="0.15">
      <c r="A23" s="12"/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  <c r="J23" s="10"/>
      <c r="R23" s="11"/>
      <c r="S23" s="11"/>
    </row>
    <row r="24" spans="1:19" x14ac:dyDescent="0.15">
      <c r="A24" s="13"/>
      <c r="B24" s="4"/>
      <c r="C24" s="4" t="s">
        <v>8</v>
      </c>
      <c r="D24" s="5">
        <f t="shared" ref="D24:H24" si="5">D5</f>
        <v>1.0999999999999943</v>
      </c>
      <c r="E24" s="5">
        <f t="shared" si="5"/>
        <v>1.8999999999999915</v>
      </c>
      <c r="F24" s="5">
        <f t="shared" si="5"/>
        <v>2.7999999999999972</v>
      </c>
      <c r="G24" s="5">
        <f t="shared" si="5"/>
        <v>3.5999999999999943</v>
      </c>
      <c r="H24" s="5">
        <f t="shared" si="5"/>
        <v>4.7000000000000028</v>
      </c>
      <c r="R24" s="11"/>
      <c r="S24" s="11"/>
    </row>
    <row r="25" spans="1:19" x14ac:dyDescent="0.15">
      <c r="A25" s="13"/>
      <c r="B25" s="4"/>
      <c r="C25" s="4" t="s">
        <v>11</v>
      </c>
      <c r="D25" s="5">
        <f t="shared" ref="D25:H25" si="6">D9</f>
        <v>1.25</v>
      </c>
      <c r="E25" s="5">
        <f t="shared" si="6"/>
        <v>1</v>
      </c>
      <c r="F25" s="5">
        <f t="shared" si="6"/>
        <v>2.6099999999999994</v>
      </c>
      <c r="G25" s="5">
        <f t="shared" si="6"/>
        <v>2.5900000000000034</v>
      </c>
      <c r="H25" s="5">
        <f t="shared" si="6"/>
        <v>2.6999999999999886</v>
      </c>
      <c r="J25" s="6"/>
      <c r="R25" s="11"/>
      <c r="S25" s="11"/>
    </row>
    <row r="26" spans="1:19" x14ac:dyDescent="0.15">
      <c r="A26" s="14"/>
      <c r="B26" s="4"/>
      <c r="C26" s="4" t="s">
        <v>41</v>
      </c>
      <c r="D26" s="5">
        <f t="shared" ref="D26:H26" si="7">D13</f>
        <v>0.51749476922800852</v>
      </c>
      <c r="E26" s="5">
        <f t="shared" si="7"/>
        <v>0.62617735596599289</v>
      </c>
      <c r="F26" s="5">
        <f t="shared" si="7"/>
        <v>0.84075926045198912</v>
      </c>
      <c r="G26" s="5">
        <f t="shared" si="7"/>
        <v>2.4915423380730033</v>
      </c>
      <c r="H26" s="5">
        <f t="shared" si="7"/>
        <v>3.130661145276008</v>
      </c>
      <c r="J26" s="6"/>
      <c r="R26" s="11"/>
      <c r="S26" s="11"/>
    </row>
    <row r="27" spans="1:19" x14ac:dyDescent="0.15">
      <c r="A27" s="15"/>
      <c r="B27" s="4"/>
      <c r="C27" s="4" t="s">
        <v>21</v>
      </c>
      <c r="D27" s="5">
        <f t="shared" ref="D27:H27" si="8">D17</f>
        <v>0.30414202259099454</v>
      </c>
      <c r="E27" s="5">
        <f t="shared" si="8"/>
        <v>0.3263085487599966</v>
      </c>
      <c r="F27" s="5">
        <f t="shared" si="8"/>
        <v>0.36262884408100149</v>
      </c>
      <c r="G27" s="5">
        <f t="shared" si="8"/>
        <v>1.5114869161450031</v>
      </c>
      <c r="H27" s="5">
        <f t="shared" si="8"/>
        <v>4.2360717003810038</v>
      </c>
      <c r="J27" s="6"/>
      <c r="R27" s="11"/>
      <c r="S27" s="11"/>
    </row>
    <row r="28" spans="1:19" x14ac:dyDescent="0.15">
      <c r="B28" s="4"/>
      <c r="C28" s="4" t="s">
        <v>14</v>
      </c>
      <c r="D28" s="5">
        <f t="shared" ref="D28:H28" si="9">D21</f>
        <v>0.62702851942100324</v>
      </c>
      <c r="E28" s="5">
        <f t="shared" si="9"/>
        <v>0.18465307616399684</v>
      </c>
      <c r="F28" s="5">
        <f t="shared" si="9"/>
        <v>0.77878491129399663</v>
      </c>
      <c r="G28" s="5">
        <f t="shared" si="9"/>
        <v>2.8831495678490029</v>
      </c>
      <c r="H28" s="5">
        <f t="shared" si="9"/>
        <v>3.1108241729160113</v>
      </c>
      <c r="J28" s="6"/>
      <c r="R28" s="11"/>
      <c r="S28" s="11"/>
    </row>
    <row r="29" spans="1:19" x14ac:dyDescent="0.15">
      <c r="H29" s="4"/>
      <c r="J29" s="6"/>
      <c r="R29" s="11"/>
      <c r="S29" s="11"/>
    </row>
    <row r="30" spans="1:19" x14ac:dyDescent="0.15">
      <c r="H30" s="4"/>
      <c r="R30" s="11"/>
      <c r="S30" s="11"/>
    </row>
    <row r="31" spans="1:19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  <c r="R31" s="11"/>
      <c r="S31" s="11"/>
    </row>
    <row r="32" spans="1:19" x14ac:dyDescent="0.15">
      <c r="B32" s="35"/>
      <c r="C32" s="4" t="s">
        <v>8</v>
      </c>
      <c r="D32" s="6">
        <f>D24-'202508'!D24</f>
        <v>0</v>
      </c>
      <c r="E32" s="6">
        <f>E24-'202508'!E24</f>
        <v>0.29999999999999716</v>
      </c>
      <c r="F32" s="6">
        <f>F24-'202508'!F24</f>
        <v>1.7999999999999972</v>
      </c>
      <c r="G32" s="6">
        <f>G24-'202508'!G24</f>
        <v>1.5</v>
      </c>
      <c r="H32" s="5">
        <f>H24-'202510'!H24</f>
        <v>0.39999999999999147</v>
      </c>
      <c r="R32" s="11"/>
      <c r="S32" s="11"/>
    </row>
    <row r="33" spans="2:19" x14ac:dyDescent="0.15">
      <c r="B33" s="35"/>
      <c r="C33" s="4" t="s">
        <v>11</v>
      </c>
      <c r="D33" s="6">
        <f>D25-'202508'!D25</f>
        <v>5.1600620000002095E-2</v>
      </c>
      <c r="E33" s="6">
        <f>E25-'202508'!E25</f>
        <v>-0.32439976999999942</v>
      </c>
      <c r="F33" s="6">
        <f>F25-'202508'!F25</f>
        <v>1.9106013299999915</v>
      </c>
      <c r="G33" s="6">
        <f>G25-'202508'!G25</f>
        <v>1.5183552700000007</v>
      </c>
      <c r="H33" s="5">
        <f>H25-'202510'!H25</f>
        <v>0.28999999999999204</v>
      </c>
      <c r="R33" s="11"/>
      <c r="S33" s="11"/>
    </row>
    <row r="34" spans="2:19" x14ac:dyDescent="0.15">
      <c r="B34" s="35"/>
      <c r="C34" s="4" t="s">
        <v>41</v>
      </c>
      <c r="D34" s="6">
        <f>D26-'202508'!D26</f>
        <v>-0.1766005750639863</v>
      </c>
      <c r="E34" s="6">
        <f>E26-'202508'!E26</f>
        <v>-0.90189823764600874</v>
      </c>
      <c r="F34" s="6">
        <f>F26-'202508'!F26</f>
        <v>0.15253539126497628</v>
      </c>
      <c r="G34" s="6">
        <f>G26-'202508'!G26</f>
        <v>0.63936620231801555</v>
      </c>
      <c r="H34" s="5">
        <f>H26-'202510'!H26</f>
        <v>-0.1240007787199886</v>
      </c>
      <c r="R34" s="11"/>
      <c r="S34" s="11"/>
    </row>
    <row r="35" spans="2:19" x14ac:dyDescent="0.15">
      <c r="B35" s="35"/>
      <c r="C35" s="4" t="s">
        <v>21</v>
      </c>
      <c r="D35" s="6">
        <f>D27-'202508'!D27</f>
        <v>-0.32383695237599852</v>
      </c>
      <c r="E35" s="6">
        <f>E27-'202508'!E27</f>
        <v>0.16236865195699579</v>
      </c>
      <c r="F35" s="6">
        <f>F27-'202508'!F27</f>
        <v>0.81368292538600429</v>
      </c>
      <c r="G35" s="6">
        <f>G27-'202508'!G27</f>
        <v>0.20296658246400057</v>
      </c>
      <c r="H35" s="5">
        <f>H27-'202510'!H27</f>
        <v>0.60478262729401422</v>
      </c>
      <c r="R35" s="11"/>
      <c r="S35" s="11"/>
    </row>
    <row r="36" spans="2:19" x14ac:dyDescent="0.15">
      <c r="B36" s="35"/>
      <c r="C36" s="4" t="s">
        <v>14</v>
      </c>
      <c r="D36" s="6">
        <f>D28-'202508'!D28</f>
        <v>1.1182285194210095</v>
      </c>
      <c r="E36" s="6">
        <f>E28-'202508'!E28</f>
        <v>0.68308640949798871</v>
      </c>
      <c r="F36" s="6">
        <f>F28-'202508'!F28</f>
        <v>1.0951182446270025</v>
      </c>
      <c r="G36" s="6">
        <f>G28-'202508'!G28</f>
        <v>1.954882901182998</v>
      </c>
      <c r="H36" s="5">
        <f>H28-'202510'!H28</f>
        <v>0.43215750625002158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2:S36"/>
  <sheetViews>
    <sheetView workbookViewId="0">
      <selection activeCell="J36" sqref="J36"/>
    </sheetView>
  </sheetViews>
  <sheetFormatPr defaultColWidth="9" defaultRowHeight="13.5" x14ac:dyDescent="0.15"/>
  <cols>
    <col min="4" max="4" width="12.625"/>
    <col min="5" max="7" width="13.75"/>
    <col min="8" max="8" width="13" customWidth="1"/>
    <col min="9" max="10" width="12.625"/>
    <col min="11" max="11" width="11.5"/>
  </cols>
  <sheetData>
    <row r="2" spans="2:11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  <c r="I2" s="3" t="s">
        <v>44</v>
      </c>
      <c r="J2" s="3" t="s">
        <v>45</v>
      </c>
      <c r="K2" s="3" t="s">
        <v>46</v>
      </c>
    </row>
    <row r="3" spans="2:11" x14ac:dyDescent="0.15">
      <c r="B3" s="4"/>
      <c r="C3" s="4" t="s">
        <v>38</v>
      </c>
      <c r="D3" s="4">
        <v>103.5</v>
      </c>
      <c r="E3" s="4">
        <v>105.3</v>
      </c>
      <c r="F3" s="4">
        <v>107.9</v>
      </c>
      <c r="G3" s="4">
        <v>108.3</v>
      </c>
      <c r="H3" s="4">
        <v>108.1</v>
      </c>
      <c r="I3">
        <v>108.7</v>
      </c>
      <c r="J3">
        <v>109.2</v>
      </c>
      <c r="K3">
        <v>108.9</v>
      </c>
    </row>
    <row r="4" spans="2:11" x14ac:dyDescent="0.15">
      <c r="B4" s="4" t="s">
        <v>8</v>
      </c>
      <c r="C4" s="4" t="s">
        <v>39</v>
      </c>
      <c r="D4" s="4">
        <v>102.4</v>
      </c>
      <c r="E4" s="4">
        <v>103.3</v>
      </c>
      <c r="F4" s="4">
        <v>105</v>
      </c>
      <c r="G4" s="4">
        <v>104.8</v>
      </c>
      <c r="H4" s="4">
        <v>103.1</v>
      </c>
      <c r="I4">
        <v>104</v>
      </c>
      <c r="J4">
        <v>105.7</v>
      </c>
      <c r="K4">
        <v>105.7</v>
      </c>
    </row>
    <row r="5" spans="2:11" x14ac:dyDescent="0.15">
      <c r="B5" s="4"/>
      <c r="C5" s="4" t="s">
        <v>40</v>
      </c>
      <c r="D5" s="4">
        <f t="shared" ref="D5:K5" si="0">D3-D4</f>
        <v>1.0999999999999943</v>
      </c>
      <c r="E5" s="4">
        <f t="shared" si="0"/>
        <v>2</v>
      </c>
      <c r="F5" s="4">
        <f t="shared" si="0"/>
        <v>2.9000000000000057</v>
      </c>
      <c r="G5" s="4">
        <f t="shared" si="0"/>
        <v>3.5</v>
      </c>
      <c r="H5" s="4">
        <f t="shared" si="0"/>
        <v>5</v>
      </c>
      <c r="I5" s="4">
        <f t="shared" si="0"/>
        <v>4.7000000000000028</v>
      </c>
      <c r="J5" s="4">
        <f t="shared" si="0"/>
        <v>3.5</v>
      </c>
      <c r="K5" s="4">
        <f t="shared" si="0"/>
        <v>3.2000000000000028</v>
      </c>
    </row>
    <row r="6" spans="2:11" x14ac:dyDescent="0.15">
      <c r="B6" s="4"/>
      <c r="C6" s="4"/>
      <c r="D6" s="4"/>
      <c r="E6" s="4"/>
      <c r="F6" s="4"/>
      <c r="G6" s="4"/>
      <c r="H6" s="4"/>
    </row>
    <row r="7" spans="2:11" x14ac:dyDescent="0.15">
      <c r="B7" s="4" t="s">
        <v>11</v>
      </c>
      <c r="C7" s="4" t="s">
        <v>38</v>
      </c>
      <c r="D7" s="5">
        <v>103.60840058333299</v>
      </c>
      <c r="E7" s="5">
        <v>105.139908163333</v>
      </c>
      <c r="F7" s="5">
        <v>107.572688223333</v>
      </c>
      <c r="G7" s="5">
        <v>107.539927146667</v>
      </c>
      <c r="H7" s="5">
        <v>106.488387683333</v>
      </c>
      <c r="I7" s="5">
        <v>107.18803225333301</v>
      </c>
      <c r="J7" s="5">
        <v>107.783311883333</v>
      </c>
      <c r="K7" s="5">
        <v>108.02141818</v>
      </c>
    </row>
    <row r="8" spans="2:11" x14ac:dyDescent="0.15">
      <c r="B8" s="4"/>
      <c r="C8" s="4" t="s">
        <v>39</v>
      </c>
      <c r="D8" s="5">
        <v>102.59681622333299</v>
      </c>
      <c r="E8" s="5">
        <v>104.221373786667</v>
      </c>
      <c r="F8" s="5">
        <v>104.9927718</v>
      </c>
      <c r="G8" s="5">
        <v>104.74833005000001</v>
      </c>
      <c r="H8" s="5">
        <v>103.869881826667</v>
      </c>
      <c r="I8" s="5">
        <v>105.199538933333</v>
      </c>
      <c r="J8" s="5">
        <v>105.996479513333</v>
      </c>
      <c r="K8" s="5">
        <v>105.7308177</v>
      </c>
    </row>
    <row r="9" spans="2:11" x14ac:dyDescent="0.15">
      <c r="B9" s="4"/>
      <c r="C9" s="4" t="s">
        <v>40</v>
      </c>
      <c r="D9" s="5">
        <f t="shared" ref="D9:K9" si="1">D7-D8</f>
        <v>1.0115843600000005</v>
      </c>
      <c r="E9" s="5">
        <f t="shared" si="1"/>
        <v>0.91853437666600257</v>
      </c>
      <c r="F9" s="5">
        <f t="shared" si="1"/>
        <v>2.5799164233330032</v>
      </c>
      <c r="G9" s="5">
        <f t="shared" si="1"/>
        <v>2.7915970966669903</v>
      </c>
      <c r="H9" s="5">
        <f t="shared" si="1"/>
        <v>2.6185058566660047</v>
      </c>
      <c r="I9" s="5">
        <f t="shared" si="1"/>
        <v>1.9884933200000035</v>
      </c>
      <c r="J9" s="5">
        <f t="shared" si="1"/>
        <v>1.7868323699999991</v>
      </c>
      <c r="K9" s="5">
        <f t="shared" si="1"/>
        <v>2.2906004799999948</v>
      </c>
    </row>
    <row r="10" spans="2:11" x14ac:dyDescent="0.15">
      <c r="B10" s="4"/>
      <c r="C10" s="4"/>
      <c r="D10" s="4"/>
      <c r="E10" s="4"/>
      <c r="F10" s="4"/>
      <c r="G10" s="4"/>
      <c r="H10" s="5"/>
    </row>
    <row r="11" spans="2:11" x14ac:dyDescent="0.15">
      <c r="B11" s="4"/>
      <c r="C11" s="4" t="s">
        <v>38</v>
      </c>
      <c r="D11" s="5">
        <v>104.841648383822</v>
      </c>
      <c r="E11" s="5">
        <v>106.166587509918</v>
      </c>
      <c r="F11" s="5">
        <v>108.590047462543</v>
      </c>
      <c r="G11" s="5">
        <v>109.460767748621</v>
      </c>
      <c r="H11" s="5">
        <v>108.66806068984</v>
      </c>
      <c r="I11" s="6">
        <v>108.684351929957</v>
      </c>
      <c r="J11" s="6">
        <v>109.02856957663499</v>
      </c>
      <c r="K11" s="6">
        <v>109.272557794279</v>
      </c>
    </row>
    <row r="12" spans="2:11" x14ac:dyDescent="0.15">
      <c r="B12" s="4" t="s">
        <v>41</v>
      </c>
      <c r="C12" s="4" t="s">
        <v>39</v>
      </c>
      <c r="D12" s="5">
        <v>104.314209173934</v>
      </c>
      <c r="E12" s="5">
        <v>105.70088651464501</v>
      </c>
      <c r="F12" s="5">
        <v>107.319238949004</v>
      </c>
      <c r="G12" s="5">
        <v>106.589138092738</v>
      </c>
      <c r="H12" s="5">
        <v>105.296877363872</v>
      </c>
      <c r="I12" s="6">
        <v>106.395827412635</v>
      </c>
      <c r="J12" s="6">
        <v>108.20080781905401</v>
      </c>
      <c r="K12" s="6">
        <v>107.664549758161</v>
      </c>
    </row>
    <row r="13" spans="2:11" x14ac:dyDescent="0.15">
      <c r="B13" s="4"/>
      <c r="C13" s="4" t="s">
        <v>40</v>
      </c>
      <c r="D13" s="5">
        <f t="shared" ref="D13:K13" si="2">D11-D12</f>
        <v>0.52743920988800141</v>
      </c>
      <c r="E13" s="5">
        <f t="shared" si="2"/>
        <v>0.46570099527299647</v>
      </c>
      <c r="F13" s="5">
        <f t="shared" si="2"/>
        <v>1.270808513538995</v>
      </c>
      <c r="G13" s="5">
        <f t="shared" si="2"/>
        <v>2.8716296558829981</v>
      </c>
      <c r="H13" s="5">
        <f t="shared" si="2"/>
        <v>3.3711833259680049</v>
      </c>
      <c r="I13" s="5">
        <f t="shared" si="2"/>
        <v>2.2885245173220028</v>
      </c>
      <c r="J13" s="5">
        <f t="shared" si="2"/>
        <v>0.82776175758098702</v>
      </c>
      <c r="K13" s="5">
        <f t="shared" si="2"/>
        <v>1.6080080361179938</v>
      </c>
    </row>
    <row r="14" spans="2:11" x14ac:dyDescent="0.15">
      <c r="B14" s="4"/>
      <c r="C14" s="4"/>
      <c r="D14" s="4"/>
      <c r="E14" s="4"/>
      <c r="F14" s="4"/>
      <c r="G14" s="4"/>
      <c r="H14" s="5"/>
    </row>
    <row r="15" spans="2:11" x14ac:dyDescent="0.15">
      <c r="B15" s="4"/>
      <c r="C15" s="4" t="s">
        <v>38</v>
      </c>
      <c r="D15" s="5">
        <v>103.435479614554</v>
      </c>
      <c r="E15" s="5">
        <v>104.19937737316999</v>
      </c>
      <c r="F15" s="5">
        <v>106.629600859793</v>
      </c>
      <c r="G15" s="5">
        <v>107.24993359336401</v>
      </c>
      <c r="H15" s="5">
        <v>107.61919399612999</v>
      </c>
      <c r="I15" s="5">
        <v>107.323822786186</v>
      </c>
      <c r="J15" s="5">
        <v>107.98748319401599</v>
      </c>
      <c r="K15" s="5">
        <v>108.536705370758</v>
      </c>
    </row>
    <row r="16" spans="2:11" x14ac:dyDescent="0.15">
      <c r="B16" s="4" t="s">
        <v>21</v>
      </c>
      <c r="C16" s="4" t="s">
        <v>39</v>
      </c>
      <c r="D16" s="5">
        <v>103.119</v>
      </c>
      <c r="E16" s="5">
        <v>103.916</v>
      </c>
      <c r="F16" s="5">
        <v>105.706</v>
      </c>
      <c r="G16" s="5">
        <v>105.70399999999999</v>
      </c>
      <c r="H16" s="5">
        <v>103.655</v>
      </c>
      <c r="I16" s="5">
        <v>104.70099999999999</v>
      </c>
      <c r="J16" s="5">
        <v>106.634</v>
      </c>
      <c r="K16" s="5">
        <v>106.29900000000001</v>
      </c>
    </row>
    <row r="17" spans="1:19" x14ac:dyDescent="0.15">
      <c r="B17" s="4"/>
      <c r="C17" s="4" t="s">
        <v>40</v>
      </c>
      <c r="D17" s="5">
        <f t="shared" ref="D17:K17" si="3">D15-D16</f>
        <v>0.31647961455399809</v>
      </c>
      <c r="E17" s="5">
        <f t="shared" si="3"/>
        <v>0.28337737316999778</v>
      </c>
      <c r="F17" s="5">
        <f t="shared" si="3"/>
        <v>0.92360085979299811</v>
      </c>
      <c r="G17" s="5">
        <f t="shared" si="3"/>
        <v>1.5459335933640119</v>
      </c>
      <c r="H17" s="5">
        <f t="shared" si="3"/>
        <v>3.9641939961299926</v>
      </c>
      <c r="I17" s="5">
        <f t="shared" si="3"/>
        <v>2.6228227861860063</v>
      </c>
      <c r="J17" s="5">
        <f t="shared" si="3"/>
        <v>1.3534831940159933</v>
      </c>
      <c r="K17" s="5">
        <f t="shared" si="3"/>
        <v>2.2377053707579933</v>
      </c>
    </row>
    <row r="18" spans="1:19" x14ac:dyDescent="0.15">
      <c r="B18" s="4"/>
      <c r="C18" s="4"/>
      <c r="D18" s="4"/>
      <c r="E18" s="4"/>
      <c r="F18" s="4"/>
      <c r="G18" s="4"/>
      <c r="H18" s="5"/>
    </row>
    <row r="19" spans="1:19" x14ac:dyDescent="0.15">
      <c r="B19" s="4" t="s">
        <v>14</v>
      </c>
      <c r="C19" s="4" t="s">
        <v>38</v>
      </c>
      <c r="D19" s="5">
        <v>102.9223387145</v>
      </c>
      <c r="E19" s="5">
        <v>104.149742571402</v>
      </c>
      <c r="F19" s="5">
        <v>106.761092405071</v>
      </c>
      <c r="G19" s="5">
        <v>108.41657255798501</v>
      </c>
      <c r="H19" s="5">
        <v>108.376212744798</v>
      </c>
      <c r="I19" s="5">
        <v>108.18542944289599</v>
      </c>
      <c r="J19" s="5">
        <v>109.340008733353</v>
      </c>
      <c r="K19" s="5">
        <v>109.487278872735</v>
      </c>
    </row>
    <row r="20" spans="1:19" x14ac:dyDescent="0.15">
      <c r="B20" s="4"/>
      <c r="C20" s="4" t="s">
        <v>39</v>
      </c>
      <c r="D20" s="5">
        <v>102.295310195079</v>
      </c>
      <c r="E20" s="5">
        <v>103.965089495238</v>
      </c>
      <c r="F20" s="5">
        <v>105.982307493777</v>
      </c>
      <c r="G20" s="5">
        <v>105.533422990136</v>
      </c>
      <c r="H20" s="5">
        <v>104.750951810128</v>
      </c>
      <c r="I20" s="5">
        <v>104.50740327251501</v>
      </c>
      <c r="J20" s="5">
        <v>106.107038070794</v>
      </c>
      <c r="K20" s="5">
        <v>105.888203560855</v>
      </c>
    </row>
    <row r="21" spans="1:19" x14ac:dyDescent="0.15">
      <c r="B21" s="4"/>
      <c r="C21" s="4" t="s">
        <v>40</v>
      </c>
      <c r="D21" s="5">
        <f t="shared" ref="D21:K21" si="4">D19-D20</f>
        <v>0.62702851942100324</v>
      </c>
      <c r="E21" s="5">
        <f t="shared" si="4"/>
        <v>0.18465307616399684</v>
      </c>
      <c r="F21" s="5">
        <f t="shared" si="4"/>
        <v>0.77878491129399663</v>
      </c>
      <c r="G21" s="5">
        <f t="shared" si="4"/>
        <v>2.8831495678490029</v>
      </c>
      <c r="H21" s="5">
        <f t="shared" si="4"/>
        <v>3.6252609346699955</v>
      </c>
      <c r="I21" s="5">
        <f t="shared" si="4"/>
        <v>3.6780261703809884</v>
      </c>
      <c r="J21" s="5">
        <f t="shared" si="4"/>
        <v>3.2329706625589978</v>
      </c>
      <c r="K21" s="5">
        <f t="shared" si="4"/>
        <v>3.5990753118800001</v>
      </c>
    </row>
    <row r="22" spans="1:19" x14ac:dyDescent="0.15">
      <c r="B22" s="4"/>
      <c r="C22" s="4"/>
      <c r="D22" s="4"/>
      <c r="E22" s="4"/>
      <c r="F22" s="4"/>
      <c r="G22" s="4"/>
      <c r="H22" s="4"/>
      <c r="J22" s="10"/>
    </row>
    <row r="23" spans="1:19" x14ac:dyDescent="0.15">
      <c r="A23" s="12"/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  <c r="I23" s="3" t="s">
        <v>44</v>
      </c>
      <c r="J23" s="3" t="s">
        <v>45</v>
      </c>
      <c r="K23" s="3" t="s">
        <v>46</v>
      </c>
      <c r="R23" s="11"/>
      <c r="S23" s="11"/>
    </row>
    <row r="24" spans="1:19" x14ac:dyDescent="0.15">
      <c r="A24" s="13"/>
      <c r="B24" s="4"/>
      <c r="C24" s="4" t="s">
        <v>8</v>
      </c>
      <c r="D24" s="5">
        <f t="shared" ref="D24:K24" si="5">D5</f>
        <v>1.0999999999999943</v>
      </c>
      <c r="E24" s="5">
        <f t="shared" si="5"/>
        <v>2</v>
      </c>
      <c r="F24" s="5">
        <f t="shared" si="5"/>
        <v>2.9000000000000057</v>
      </c>
      <c r="G24" s="5">
        <f t="shared" si="5"/>
        <v>3.5</v>
      </c>
      <c r="H24" s="5">
        <f t="shared" si="5"/>
        <v>5</v>
      </c>
      <c r="I24" s="5">
        <f t="shared" si="5"/>
        <v>4.7000000000000028</v>
      </c>
      <c r="J24" s="5">
        <f t="shared" si="5"/>
        <v>3.5</v>
      </c>
      <c r="K24" s="5">
        <f t="shared" si="5"/>
        <v>3.2000000000000028</v>
      </c>
      <c r="R24" s="11"/>
      <c r="S24" s="11"/>
    </row>
    <row r="25" spans="1:19" x14ac:dyDescent="0.15">
      <c r="A25" s="13"/>
      <c r="B25" s="4"/>
      <c r="C25" s="4" t="s">
        <v>11</v>
      </c>
      <c r="D25" s="5">
        <f t="shared" ref="D25:K25" si="6">D9</f>
        <v>1.0115843600000005</v>
      </c>
      <c r="E25" s="5">
        <f t="shared" si="6"/>
        <v>0.91853437666600257</v>
      </c>
      <c r="F25" s="5">
        <f t="shared" si="6"/>
        <v>2.5799164233330032</v>
      </c>
      <c r="G25" s="5">
        <f t="shared" si="6"/>
        <v>2.7915970966669903</v>
      </c>
      <c r="H25" s="5">
        <f t="shared" si="6"/>
        <v>2.6185058566660047</v>
      </c>
      <c r="I25" s="5">
        <f t="shared" si="6"/>
        <v>1.9884933200000035</v>
      </c>
      <c r="J25" s="5">
        <f t="shared" si="6"/>
        <v>1.7868323699999991</v>
      </c>
      <c r="K25" s="5">
        <f t="shared" si="6"/>
        <v>2.2906004799999948</v>
      </c>
      <c r="R25" s="11"/>
      <c r="S25" s="11"/>
    </row>
    <row r="26" spans="1:19" x14ac:dyDescent="0.15">
      <c r="A26" s="14"/>
      <c r="B26" s="4"/>
      <c r="C26" s="4" t="s">
        <v>41</v>
      </c>
      <c r="D26" s="5">
        <f t="shared" ref="D26:K26" si="7">D13</f>
        <v>0.52743920988800141</v>
      </c>
      <c r="E26" s="5">
        <f t="shared" si="7"/>
        <v>0.46570099527299647</v>
      </c>
      <c r="F26" s="5">
        <f t="shared" si="7"/>
        <v>1.270808513538995</v>
      </c>
      <c r="G26" s="5">
        <f t="shared" si="7"/>
        <v>2.8716296558829981</v>
      </c>
      <c r="H26" s="5">
        <f t="shared" si="7"/>
        <v>3.3711833259680049</v>
      </c>
      <c r="I26" s="5">
        <f t="shared" si="7"/>
        <v>2.2885245173220028</v>
      </c>
      <c r="J26" s="5">
        <f t="shared" si="7"/>
        <v>0.82776175758098702</v>
      </c>
      <c r="K26" s="5">
        <f t="shared" si="7"/>
        <v>1.6080080361179938</v>
      </c>
      <c r="R26" s="11"/>
      <c r="S26" s="11"/>
    </row>
    <row r="27" spans="1:19" x14ac:dyDescent="0.15">
      <c r="A27" s="15"/>
      <c r="B27" s="4"/>
      <c r="C27" s="4" t="s">
        <v>21</v>
      </c>
      <c r="D27" s="5">
        <f t="shared" ref="D27:K27" si="8">D17</f>
        <v>0.31647961455399809</v>
      </c>
      <c r="E27" s="5">
        <f t="shared" si="8"/>
        <v>0.28337737316999778</v>
      </c>
      <c r="F27" s="5">
        <f t="shared" si="8"/>
        <v>0.92360085979299811</v>
      </c>
      <c r="G27" s="5">
        <f t="shared" si="8"/>
        <v>1.5459335933640119</v>
      </c>
      <c r="H27" s="5">
        <f t="shared" si="8"/>
        <v>3.9641939961299926</v>
      </c>
      <c r="I27" s="5">
        <f t="shared" si="8"/>
        <v>2.6228227861860063</v>
      </c>
      <c r="J27" s="5">
        <f t="shared" si="8"/>
        <v>1.3534831940159933</v>
      </c>
      <c r="K27" s="5">
        <f t="shared" si="8"/>
        <v>2.2377053707579933</v>
      </c>
      <c r="R27" s="11"/>
      <c r="S27" s="11"/>
    </row>
    <row r="28" spans="1:19" x14ac:dyDescent="0.15">
      <c r="B28" s="4"/>
      <c r="C28" s="4" t="s">
        <v>14</v>
      </c>
      <c r="D28" s="5">
        <f t="shared" ref="D28:K28" si="9">D21</f>
        <v>0.62702851942100324</v>
      </c>
      <c r="E28" s="5">
        <f t="shared" si="9"/>
        <v>0.18465307616399684</v>
      </c>
      <c r="F28" s="5">
        <f t="shared" si="9"/>
        <v>0.77878491129399663</v>
      </c>
      <c r="G28" s="5">
        <f t="shared" si="9"/>
        <v>2.8831495678490029</v>
      </c>
      <c r="H28" s="5">
        <f t="shared" si="9"/>
        <v>3.6252609346699955</v>
      </c>
      <c r="I28" s="5">
        <f t="shared" si="9"/>
        <v>3.6780261703809884</v>
      </c>
      <c r="J28" s="5">
        <f t="shared" si="9"/>
        <v>3.2329706625589978</v>
      </c>
      <c r="K28" s="5">
        <f t="shared" si="9"/>
        <v>3.5990753118800001</v>
      </c>
      <c r="R28" s="11"/>
      <c r="S28" s="11"/>
    </row>
    <row r="29" spans="1:19" x14ac:dyDescent="0.15">
      <c r="H29" s="4"/>
      <c r="J29" s="6"/>
      <c r="R29" s="11"/>
      <c r="S29" s="11"/>
    </row>
    <row r="30" spans="1:19" x14ac:dyDescent="0.15">
      <c r="H30" s="4"/>
      <c r="R30" s="11"/>
      <c r="S30" s="11"/>
    </row>
    <row r="31" spans="1:19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  <c r="R31" s="11"/>
      <c r="S31" s="11"/>
    </row>
    <row r="32" spans="1:19" x14ac:dyDescent="0.15">
      <c r="B32" s="35"/>
      <c r="C32" s="4" t="s">
        <v>8</v>
      </c>
      <c r="D32" s="6">
        <f>D24-'202508'!D24</f>
        <v>0</v>
      </c>
      <c r="E32" s="6">
        <f>E24-'202508'!E24</f>
        <v>0.40000000000000568</v>
      </c>
      <c r="F32" s="6">
        <f>F24-'202508'!F24</f>
        <v>1.9000000000000057</v>
      </c>
      <c r="G32" s="6">
        <f>G24-'202508'!G24</f>
        <v>1.4000000000000057</v>
      </c>
      <c r="H32" s="5">
        <f>H24-'202510'!H24</f>
        <v>0.69999999999998863</v>
      </c>
      <c r="R32" s="11"/>
      <c r="S32" s="11"/>
    </row>
    <row r="33" spans="2:19" x14ac:dyDescent="0.15">
      <c r="B33" s="35"/>
      <c r="C33" s="4" t="s">
        <v>11</v>
      </c>
      <c r="D33" s="6">
        <f>D25-'202508'!D25</f>
        <v>-0.18681501999999739</v>
      </c>
      <c r="E33" s="6">
        <f>E25-'202508'!E25</f>
        <v>-0.40586539333399685</v>
      </c>
      <c r="F33" s="6">
        <f>F25-'202508'!F25</f>
        <v>1.8805177533329953</v>
      </c>
      <c r="G33" s="6">
        <f>G25-'202508'!G25</f>
        <v>1.7199523666669876</v>
      </c>
      <c r="H33" s="5">
        <f>H25-'202510'!H25</f>
        <v>0.20850585666600807</v>
      </c>
      <c r="R33" s="11"/>
      <c r="S33" s="11"/>
    </row>
    <row r="34" spans="2:19" x14ac:dyDescent="0.15">
      <c r="B34" s="35"/>
      <c r="C34" s="4" t="s">
        <v>41</v>
      </c>
      <c r="D34" s="6">
        <f>D26-'202508'!D26</f>
        <v>-0.16665613440399341</v>
      </c>
      <c r="E34" s="6">
        <f>E26-'202508'!E26</f>
        <v>-1.0623745983390052</v>
      </c>
      <c r="F34" s="6">
        <f>F26-'202508'!F26</f>
        <v>0.58258464435198221</v>
      </c>
      <c r="G34" s="6">
        <f>G26-'202508'!G26</f>
        <v>1.0194535201280104</v>
      </c>
      <c r="H34" s="5">
        <f>H26-'202510'!H26</f>
        <v>0.11652140197200822</v>
      </c>
      <c r="R34" s="11"/>
      <c r="S34" s="11"/>
    </row>
    <row r="35" spans="2:19" x14ac:dyDescent="0.15">
      <c r="B35" s="35"/>
      <c r="C35" s="4" t="s">
        <v>21</v>
      </c>
      <c r="D35" s="6">
        <f>D27-'202508'!D27</f>
        <v>-0.31149936041299497</v>
      </c>
      <c r="E35" s="6">
        <f>E27-'202508'!E27</f>
        <v>0.11943747636699698</v>
      </c>
      <c r="F35" s="6">
        <f>F27-'202508'!F27</f>
        <v>1.3746549410980009</v>
      </c>
      <c r="G35" s="6">
        <f>G27-'202508'!G27</f>
        <v>0.23741325968300941</v>
      </c>
      <c r="H35" s="5">
        <f>H27-'202510'!H27</f>
        <v>0.33290492304300301</v>
      </c>
      <c r="R35" s="11"/>
      <c r="S35" s="11"/>
    </row>
    <row r="36" spans="2:19" x14ac:dyDescent="0.15">
      <c r="B36" s="35"/>
      <c r="C36" s="4" t="s">
        <v>14</v>
      </c>
      <c r="D36" s="6">
        <f>D28-'202508'!D28</f>
        <v>1.1182285194210095</v>
      </c>
      <c r="E36" s="6">
        <f>E28-'202508'!E28</f>
        <v>0.68308640949798871</v>
      </c>
      <c r="F36" s="6">
        <f>F28-'202508'!F28</f>
        <v>1.0951182446270025</v>
      </c>
      <c r="G36" s="6">
        <f>G28-'202508'!G28</f>
        <v>1.954882901182998</v>
      </c>
      <c r="H36" s="5">
        <f>H28-'202510'!H28</f>
        <v>0.94659426800400581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S36"/>
  <sheetViews>
    <sheetView workbookViewId="0">
      <selection activeCell="K39" sqref="K39"/>
    </sheetView>
  </sheetViews>
  <sheetFormatPr defaultColWidth="9" defaultRowHeight="13.5" x14ac:dyDescent="0.15"/>
  <cols>
    <col min="4" max="4" width="12.625"/>
    <col min="5" max="7" width="13.75"/>
    <col min="8" max="8" width="13" customWidth="1"/>
    <col min="9" max="10" width="12.625"/>
    <col min="11" max="11" width="11.5"/>
  </cols>
  <sheetData>
    <row r="2" spans="2:11" x14ac:dyDescent="0.15">
      <c r="B2" s="3"/>
      <c r="C2" s="3"/>
      <c r="D2" s="3" t="s">
        <v>34</v>
      </c>
      <c r="E2" s="3" t="s">
        <v>35</v>
      </c>
      <c r="F2" s="3" t="s">
        <v>36</v>
      </c>
      <c r="G2" s="3" t="s">
        <v>37</v>
      </c>
      <c r="H2" s="3" t="s">
        <v>43</v>
      </c>
      <c r="I2" s="3" t="s">
        <v>44</v>
      </c>
      <c r="J2" s="3" t="s">
        <v>45</v>
      </c>
      <c r="K2" s="3" t="s">
        <v>46</v>
      </c>
    </row>
    <row r="3" spans="2:11" x14ac:dyDescent="0.15">
      <c r="B3" s="4"/>
      <c r="C3" s="4" t="s">
        <v>38</v>
      </c>
      <c r="D3" s="4">
        <v>103.5</v>
      </c>
      <c r="E3" s="4">
        <v>105.3</v>
      </c>
      <c r="F3" s="4">
        <v>108.1</v>
      </c>
      <c r="G3" s="4">
        <v>107.8</v>
      </c>
      <c r="H3" s="4">
        <v>107.9</v>
      </c>
      <c r="I3">
        <v>108.6</v>
      </c>
      <c r="J3">
        <v>109.1</v>
      </c>
      <c r="K3">
        <v>108.8</v>
      </c>
    </row>
    <row r="4" spans="2:11" x14ac:dyDescent="0.15">
      <c r="B4" s="4" t="s">
        <v>8</v>
      </c>
      <c r="C4" s="4" t="s">
        <v>39</v>
      </c>
      <c r="D4" s="4">
        <v>102.5</v>
      </c>
      <c r="E4" s="4">
        <v>103.3</v>
      </c>
      <c r="F4" s="4">
        <v>105.1</v>
      </c>
      <c r="G4" s="4">
        <v>104.7</v>
      </c>
      <c r="H4" s="4">
        <v>103.3</v>
      </c>
      <c r="I4">
        <v>104.1</v>
      </c>
      <c r="J4">
        <v>105.9</v>
      </c>
      <c r="K4">
        <v>105.9</v>
      </c>
    </row>
    <row r="5" spans="2:11" x14ac:dyDescent="0.15">
      <c r="B5" s="4"/>
      <c r="C5" s="4" t="s">
        <v>40</v>
      </c>
      <c r="D5" s="4">
        <f t="shared" ref="D5:K5" si="0">D3-D4</f>
        <v>1</v>
      </c>
      <c r="E5" s="4">
        <f t="shared" si="0"/>
        <v>2</v>
      </c>
      <c r="F5" s="4">
        <f t="shared" si="0"/>
        <v>3</v>
      </c>
      <c r="G5" s="4">
        <f t="shared" si="0"/>
        <v>3.0999999999999943</v>
      </c>
      <c r="H5" s="4">
        <f t="shared" si="0"/>
        <v>4.6000000000000085</v>
      </c>
      <c r="I5" s="4">
        <f t="shared" si="0"/>
        <v>4.5</v>
      </c>
      <c r="J5" s="4">
        <f t="shared" si="0"/>
        <v>3.1999999999999886</v>
      </c>
      <c r="K5" s="4">
        <f t="shared" si="0"/>
        <v>2.8999999999999915</v>
      </c>
    </row>
    <row r="6" spans="2:11" x14ac:dyDescent="0.15">
      <c r="B6" s="4"/>
      <c r="C6" s="4"/>
      <c r="D6" s="4"/>
      <c r="E6" s="4"/>
      <c r="F6" s="4"/>
      <c r="G6" s="4"/>
      <c r="H6" s="4"/>
    </row>
    <row r="7" spans="2:11" x14ac:dyDescent="0.15">
      <c r="B7" s="4" t="s">
        <v>11</v>
      </c>
      <c r="C7" s="4" t="s">
        <v>38</v>
      </c>
      <c r="D7" s="5">
        <v>103.60840058333299</v>
      </c>
      <c r="E7" s="5">
        <v>105.17</v>
      </c>
      <c r="F7" s="5">
        <v>107.86</v>
      </c>
      <c r="G7" s="5">
        <v>108.01</v>
      </c>
      <c r="H7" s="5">
        <v>106.488387683333</v>
      </c>
      <c r="I7" s="5">
        <v>107.25</v>
      </c>
      <c r="J7" s="5">
        <v>107.87</v>
      </c>
      <c r="K7" s="5">
        <v>108.07</v>
      </c>
    </row>
    <row r="8" spans="2:11" x14ac:dyDescent="0.15">
      <c r="B8" s="4"/>
      <c r="C8" s="4" t="s">
        <v>39</v>
      </c>
      <c r="D8" s="5">
        <v>102.33</v>
      </c>
      <c r="E8" s="5">
        <v>103.97</v>
      </c>
      <c r="F8" s="5">
        <v>104.79</v>
      </c>
      <c r="G8" s="5">
        <v>104.66</v>
      </c>
      <c r="H8" s="5">
        <v>103.75</v>
      </c>
      <c r="I8" s="5">
        <v>105.199538933333</v>
      </c>
      <c r="J8" s="5">
        <v>106.03</v>
      </c>
      <c r="K8" s="5">
        <v>105.7</v>
      </c>
    </row>
    <row r="9" spans="2:11" x14ac:dyDescent="0.15">
      <c r="B9" s="4"/>
      <c r="C9" s="4" t="s">
        <v>40</v>
      </c>
      <c r="D9" s="5">
        <f t="shared" ref="D9:K9" si="1">D7-D8</f>
        <v>1.2784005833329957</v>
      </c>
      <c r="E9" s="5">
        <f t="shared" si="1"/>
        <v>1.2000000000000028</v>
      </c>
      <c r="F9" s="5">
        <f t="shared" si="1"/>
        <v>3.0699999999999932</v>
      </c>
      <c r="G9" s="5">
        <f t="shared" si="1"/>
        <v>3.3500000000000085</v>
      </c>
      <c r="H9" s="5">
        <f t="shared" si="1"/>
        <v>2.7383876833330021</v>
      </c>
      <c r="I9" s="5">
        <f t="shared" si="1"/>
        <v>2.0504610666669976</v>
      </c>
      <c r="J9" s="5">
        <f t="shared" si="1"/>
        <v>1.8400000000000034</v>
      </c>
      <c r="K9" s="5">
        <f t="shared" si="1"/>
        <v>2.3699999999999903</v>
      </c>
    </row>
    <row r="10" spans="2:11" x14ac:dyDescent="0.15">
      <c r="B10" s="4"/>
      <c r="C10" s="4"/>
      <c r="D10" s="4"/>
      <c r="E10" s="4"/>
      <c r="F10" s="4"/>
      <c r="G10" s="4"/>
      <c r="H10" s="5"/>
    </row>
    <row r="11" spans="2:11" x14ac:dyDescent="0.15">
      <c r="B11" s="4"/>
      <c r="C11" s="4" t="s">
        <v>38</v>
      </c>
      <c r="D11" s="5">
        <v>104.841648383822</v>
      </c>
      <c r="E11" s="5">
        <v>106.166587509918</v>
      </c>
      <c r="F11" s="5">
        <v>108.590047462543</v>
      </c>
      <c r="G11" s="5">
        <v>109.460767748621</v>
      </c>
      <c r="H11" s="5">
        <v>108.66806068984</v>
      </c>
      <c r="I11" s="6">
        <v>108.684351929957</v>
      </c>
      <c r="J11" s="6">
        <v>109.02856957663499</v>
      </c>
      <c r="K11" s="6">
        <v>109.272557794279</v>
      </c>
    </row>
    <row r="12" spans="2:11" x14ac:dyDescent="0.15">
      <c r="B12" s="4" t="s">
        <v>41</v>
      </c>
      <c r="C12" s="4" t="s">
        <v>39</v>
      </c>
      <c r="D12" s="5">
        <v>104.314209173934</v>
      </c>
      <c r="E12" s="5">
        <v>105.70088651464501</v>
      </c>
      <c r="F12" s="5">
        <v>107.319238949004</v>
      </c>
      <c r="G12" s="5">
        <v>106.589138092738</v>
      </c>
      <c r="H12" s="5">
        <v>105.296877363872</v>
      </c>
      <c r="I12" s="6">
        <v>106.395827412635</v>
      </c>
      <c r="J12" s="6">
        <v>108.20080781905401</v>
      </c>
      <c r="K12" s="6">
        <v>107.664549758161</v>
      </c>
    </row>
    <row r="13" spans="2:11" x14ac:dyDescent="0.15">
      <c r="B13" s="4"/>
      <c r="C13" s="4" t="s">
        <v>40</v>
      </c>
      <c r="D13" s="5">
        <f t="shared" ref="D13:K13" si="2">D11-D12</f>
        <v>0.52743920988800141</v>
      </c>
      <c r="E13" s="5">
        <f t="shared" si="2"/>
        <v>0.46570099527299647</v>
      </c>
      <c r="F13" s="5">
        <f t="shared" si="2"/>
        <v>1.270808513538995</v>
      </c>
      <c r="G13" s="5">
        <f t="shared" si="2"/>
        <v>2.8716296558829981</v>
      </c>
      <c r="H13" s="5">
        <f t="shared" si="2"/>
        <v>3.3711833259680049</v>
      </c>
      <c r="I13" s="5">
        <f t="shared" si="2"/>
        <v>2.2885245173220028</v>
      </c>
      <c r="J13" s="5">
        <f t="shared" si="2"/>
        <v>0.82776175758098702</v>
      </c>
      <c r="K13" s="5">
        <f t="shared" si="2"/>
        <v>1.6080080361179938</v>
      </c>
    </row>
    <row r="14" spans="2:11" x14ac:dyDescent="0.15">
      <c r="B14" s="4"/>
      <c r="C14" s="4"/>
      <c r="D14" s="4"/>
      <c r="E14" s="4"/>
      <c r="F14" s="4"/>
      <c r="G14" s="4"/>
      <c r="H14" s="5"/>
    </row>
    <row r="15" spans="2:11" x14ac:dyDescent="0.15">
      <c r="B15" s="4"/>
      <c r="C15" s="4" t="s">
        <v>38</v>
      </c>
      <c r="D15" s="5">
        <v>103.465493367582</v>
      </c>
      <c r="E15" s="5">
        <v>104.103365360103</v>
      </c>
      <c r="F15" s="5">
        <v>106.679053797272</v>
      </c>
      <c r="G15" s="5">
        <v>107.109321549006</v>
      </c>
      <c r="H15" s="5">
        <v>107.579640453525</v>
      </c>
      <c r="I15" s="5">
        <v>107.19555133663</v>
      </c>
      <c r="J15" s="5">
        <v>107.849673114235</v>
      </c>
      <c r="K15" s="5">
        <v>108.381596913604</v>
      </c>
    </row>
    <row r="16" spans="2:11" x14ac:dyDescent="0.15">
      <c r="B16" s="4" t="s">
        <v>21</v>
      </c>
      <c r="C16" s="4" t="s">
        <v>39</v>
      </c>
      <c r="D16" s="5">
        <v>103.026</v>
      </c>
      <c r="E16" s="5">
        <v>103.92</v>
      </c>
      <c r="F16" s="5">
        <v>105.84099999999999</v>
      </c>
      <c r="G16" s="5">
        <v>105.84699999999999</v>
      </c>
      <c r="H16" s="5">
        <v>103.84099999999999</v>
      </c>
      <c r="I16" s="5">
        <v>104.801</v>
      </c>
      <c r="J16" s="5">
        <v>106.55200000000001</v>
      </c>
      <c r="K16" s="5">
        <v>106.17700000000001</v>
      </c>
    </row>
    <row r="17" spans="1:19" x14ac:dyDescent="0.15">
      <c r="B17" s="4"/>
      <c r="C17" s="4" t="s">
        <v>40</v>
      </c>
      <c r="D17" s="5">
        <f t="shared" ref="D17:K17" si="3">D15-D16</f>
        <v>0.43949336758200275</v>
      </c>
      <c r="E17" s="5">
        <f t="shared" si="3"/>
        <v>0.18336536010299653</v>
      </c>
      <c r="F17" s="5">
        <f t="shared" si="3"/>
        <v>0.83805379727201057</v>
      </c>
      <c r="G17" s="5">
        <f t="shared" si="3"/>
        <v>1.2623215490060034</v>
      </c>
      <c r="H17" s="5">
        <f t="shared" si="3"/>
        <v>3.738640453525008</v>
      </c>
      <c r="I17" s="5">
        <f t="shared" si="3"/>
        <v>2.394551336630002</v>
      </c>
      <c r="J17" s="5">
        <f t="shared" si="3"/>
        <v>1.2976731142349962</v>
      </c>
      <c r="K17" s="5">
        <f t="shared" si="3"/>
        <v>2.2045969136039929</v>
      </c>
    </row>
    <row r="18" spans="1:19" x14ac:dyDescent="0.15">
      <c r="B18" s="4"/>
      <c r="C18" s="4"/>
      <c r="D18" s="4"/>
      <c r="E18" s="4"/>
      <c r="F18" s="4"/>
      <c r="G18" s="4"/>
      <c r="H18" s="5"/>
    </row>
    <row r="19" spans="1:19" x14ac:dyDescent="0.15">
      <c r="B19" s="4" t="s">
        <v>14</v>
      </c>
      <c r="C19" s="4" t="s">
        <v>38</v>
      </c>
      <c r="D19" s="8">
        <v>103.061787416903</v>
      </c>
      <c r="E19" s="8">
        <v>104.596205771605</v>
      </c>
      <c r="F19" s="8">
        <v>107.608306806931</v>
      </c>
      <c r="G19" s="8">
        <v>108.53927176004299</v>
      </c>
      <c r="H19" s="8">
        <v>107.930924459746</v>
      </c>
      <c r="I19" s="8">
        <v>107.99268271077899</v>
      </c>
      <c r="J19" s="8">
        <v>109.37035600741299</v>
      </c>
      <c r="K19" s="8">
        <v>109.536957833534</v>
      </c>
    </row>
    <row r="20" spans="1:19" x14ac:dyDescent="0.15">
      <c r="B20" s="4"/>
      <c r="C20" s="4" t="s">
        <v>39</v>
      </c>
      <c r="D20" s="8">
        <v>102.294950712548</v>
      </c>
      <c r="E20" s="8">
        <v>104.031597905973</v>
      </c>
      <c r="F20" s="8">
        <v>105.487268872196</v>
      </c>
      <c r="G20" s="8">
        <v>105.644482526926</v>
      </c>
      <c r="H20" s="8">
        <v>104.693677086409</v>
      </c>
      <c r="I20" s="8">
        <v>104.29992107133999</v>
      </c>
      <c r="J20" s="8">
        <v>105.82523497467299</v>
      </c>
      <c r="K20" s="8">
        <v>105.902938980043</v>
      </c>
    </row>
    <row r="21" spans="1:19" x14ac:dyDescent="0.15">
      <c r="B21" s="4"/>
      <c r="C21" s="4" t="s">
        <v>40</v>
      </c>
      <c r="D21" s="5">
        <f t="shared" ref="D21:K21" si="4">D19-D20</f>
        <v>0.76683670435500062</v>
      </c>
      <c r="E21" s="5">
        <f t="shared" si="4"/>
        <v>0.56460786563199861</v>
      </c>
      <c r="F21" s="5">
        <f t="shared" si="4"/>
        <v>2.1210379347349999</v>
      </c>
      <c r="G21" s="5">
        <f t="shared" si="4"/>
        <v>2.8947892331169953</v>
      </c>
      <c r="H21" s="5">
        <f t="shared" si="4"/>
        <v>3.2372473733369986</v>
      </c>
      <c r="I21" s="5">
        <f t="shared" si="4"/>
        <v>3.6927616394389986</v>
      </c>
      <c r="J21" s="5">
        <f t="shared" si="4"/>
        <v>3.5451210327399991</v>
      </c>
      <c r="K21" s="5">
        <f t="shared" si="4"/>
        <v>3.6340188534909998</v>
      </c>
    </row>
    <row r="22" spans="1:19" x14ac:dyDescent="0.15">
      <c r="B22" s="4"/>
      <c r="C22" s="4"/>
      <c r="D22" s="4"/>
      <c r="E22" s="4"/>
      <c r="F22" s="4"/>
      <c r="G22" s="4"/>
      <c r="H22" s="4"/>
      <c r="J22" s="10"/>
    </row>
    <row r="23" spans="1:19" x14ac:dyDescent="0.15">
      <c r="A23" s="12"/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  <c r="H23" s="3" t="s">
        <v>43</v>
      </c>
      <c r="I23" s="3" t="s">
        <v>44</v>
      </c>
      <c r="J23" s="3" t="s">
        <v>45</v>
      </c>
      <c r="K23" s="3" t="s">
        <v>46</v>
      </c>
      <c r="R23" s="11"/>
      <c r="S23" s="11"/>
    </row>
    <row r="24" spans="1:19" x14ac:dyDescent="0.15">
      <c r="A24" s="13"/>
      <c r="B24" s="4"/>
      <c r="C24" s="4" t="s">
        <v>8</v>
      </c>
      <c r="D24" s="5">
        <f t="shared" ref="D24:K24" si="5">D5</f>
        <v>1</v>
      </c>
      <c r="E24" s="5">
        <f t="shared" si="5"/>
        <v>2</v>
      </c>
      <c r="F24" s="5">
        <f t="shared" si="5"/>
        <v>3</v>
      </c>
      <c r="G24" s="5">
        <f t="shared" si="5"/>
        <v>3.0999999999999943</v>
      </c>
      <c r="H24" s="5">
        <f t="shared" si="5"/>
        <v>4.6000000000000085</v>
      </c>
      <c r="I24" s="5">
        <f t="shared" si="5"/>
        <v>4.5</v>
      </c>
      <c r="J24" s="5">
        <f t="shared" si="5"/>
        <v>3.1999999999999886</v>
      </c>
      <c r="K24" s="5">
        <f t="shared" si="5"/>
        <v>2.8999999999999915</v>
      </c>
      <c r="R24" s="11"/>
      <c r="S24" s="11"/>
    </row>
    <row r="25" spans="1:19" x14ac:dyDescent="0.15">
      <c r="A25" s="13"/>
      <c r="B25" s="4"/>
      <c r="C25" s="4" t="s">
        <v>11</v>
      </c>
      <c r="D25" s="5">
        <f t="shared" ref="D25:K25" si="6">D9</f>
        <v>1.2784005833329957</v>
      </c>
      <c r="E25" s="5">
        <f t="shared" si="6"/>
        <v>1.2000000000000028</v>
      </c>
      <c r="F25" s="5">
        <f t="shared" si="6"/>
        <v>3.0699999999999932</v>
      </c>
      <c r="G25" s="5">
        <f t="shared" si="6"/>
        <v>3.3500000000000085</v>
      </c>
      <c r="H25" s="5">
        <f t="shared" si="6"/>
        <v>2.7383876833330021</v>
      </c>
      <c r="I25" s="5">
        <f t="shared" si="6"/>
        <v>2.0504610666669976</v>
      </c>
      <c r="J25" s="5">
        <f t="shared" si="6"/>
        <v>1.8400000000000034</v>
      </c>
      <c r="K25" s="5">
        <f t="shared" si="6"/>
        <v>2.3699999999999903</v>
      </c>
      <c r="R25" s="11"/>
      <c r="S25" s="11"/>
    </row>
    <row r="26" spans="1:19" x14ac:dyDescent="0.15">
      <c r="A26" s="14"/>
      <c r="B26" s="4"/>
      <c r="C26" s="4" t="s">
        <v>41</v>
      </c>
      <c r="D26" s="5">
        <f t="shared" ref="D26:K26" si="7">D13</f>
        <v>0.52743920988800141</v>
      </c>
      <c r="E26" s="5">
        <f t="shared" si="7"/>
        <v>0.46570099527299647</v>
      </c>
      <c r="F26" s="5">
        <f t="shared" si="7"/>
        <v>1.270808513538995</v>
      </c>
      <c r="G26" s="5">
        <f t="shared" si="7"/>
        <v>2.8716296558829981</v>
      </c>
      <c r="H26" s="5">
        <f t="shared" si="7"/>
        <v>3.3711833259680049</v>
      </c>
      <c r="I26" s="5">
        <f t="shared" si="7"/>
        <v>2.2885245173220028</v>
      </c>
      <c r="J26" s="5">
        <f t="shared" si="7"/>
        <v>0.82776175758098702</v>
      </c>
      <c r="K26" s="5">
        <f t="shared" si="7"/>
        <v>1.6080080361179938</v>
      </c>
      <c r="R26" s="11"/>
      <c r="S26" s="11"/>
    </row>
    <row r="27" spans="1:19" x14ac:dyDescent="0.15">
      <c r="A27" s="15"/>
      <c r="B27" s="4"/>
      <c r="C27" s="4" t="s">
        <v>21</v>
      </c>
      <c r="D27" s="5">
        <f t="shared" ref="D27:K27" si="8">D17</f>
        <v>0.43949336758200275</v>
      </c>
      <c r="E27" s="5">
        <f t="shared" si="8"/>
        <v>0.18336536010299653</v>
      </c>
      <c r="F27" s="5">
        <f t="shared" si="8"/>
        <v>0.83805379727201057</v>
      </c>
      <c r="G27" s="5">
        <f t="shared" si="8"/>
        <v>1.2623215490060034</v>
      </c>
      <c r="H27" s="5">
        <f t="shared" si="8"/>
        <v>3.738640453525008</v>
      </c>
      <c r="I27" s="5">
        <f t="shared" si="8"/>
        <v>2.394551336630002</v>
      </c>
      <c r="J27" s="5">
        <f t="shared" si="8"/>
        <v>1.2976731142349962</v>
      </c>
      <c r="K27" s="5">
        <f t="shared" si="8"/>
        <v>2.2045969136039929</v>
      </c>
      <c r="R27" s="11"/>
      <c r="S27" s="11"/>
    </row>
    <row r="28" spans="1:19" x14ac:dyDescent="0.15">
      <c r="B28" s="4"/>
      <c r="C28" s="4" t="s">
        <v>14</v>
      </c>
      <c r="D28" s="5">
        <f t="shared" ref="D28:K28" si="9">D21</f>
        <v>0.76683670435500062</v>
      </c>
      <c r="E28" s="5">
        <f t="shared" si="9"/>
        <v>0.56460786563199861</v>
      </c>
      <c r="F28" s="5">
        <f t="shared" si="9"/>
        <v>2.1210379347349999</v>
      </c>
      <c r="G28" s="5">
        <f t="shared" si="9"/>
        <v>2.8947892331169953</v>
      </c>
      <c r="H28" s="5">
        <f t="shared" si="9"/>
        <v>3.2372473733369986</v>
      </c>
      <c r="I28" s="5">
        <f t="shared" si="9"/>
        <v>3.6927616394389986</v>
      </c>
      <c r="J28" s="5">
        <f t="shared" si="9"/>
        <v>3.5451210327399991</v>
      </c>
      <c r="K28" s="5">
        <f t="shared" si="9"/>
        <v>3.6340188534909998</v>
      </c>
      <c r="R28" s="11"/>
      <c r="S28" s="11"/>
    </row>
    <row r="29" spans="1:19" x14ac:dyDescent="0.15">
      <c r="H29" s="4"/>
      <c r="J29" s="6"/>
      <c r="R29" s="11"/>
      <c r="S29" s="11"/>
    </row>
    <row r="30" spans="1:19" x14ac:dyDescent="0.15">
      <c r="H30" s="4"/>
      <c r="R30" s="11"/>
      <c r="S30" s="11"/>
    </row>
    <row r="31" spans="1:19" x14ac:dyDescent="0.15">
      <c r="B31" s="35" t="s">
        <v>42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43</v>
      </c>
      <c r="I31" s="3" t="s">
        <v>44</v>
      </c>
      <c r="J31" s="3" t="s">
        <v>45</v>
      </c>
      <c r="K31" s="3" t="s">
        <v>46</v>
      </c>
      <c r="R31" s="11"/>
      <c r="S31" s="11"/>
    </row>
    <row r="32" spans="1:19" x14ac:dyDescent="0.15">
      <c r="B32" s="35"/>
      <c r="C32" s="4" t="s">
        <v>8</v>
      </c>
      <c r="D32" s="6">
        <f>D24-'202508'!D24</f>
        <v>-9.9999999999994316E-2</v>
      </c>
      <c r="E32" s="6">
        <f>E24-'202508'!E24</f>
        <v>0.40000000000000568</v>
      </c>
      <c r="F32" s="6">
        <f>F24-'202508'!F24</f>
        <v>2</v>
      </c>
      <c r="G32" s="6">
        <f>G24-'202508'!G24</f>
        <v>1</v>
      </c>
      <c r="H32" s="5">
        <f>H24-'202510'!H24</f>
        <v>0.29999999999999716</v>
      </c>
      <c r="I32" s="5">
        <f>I24-'202512'!I24</f>
        <v>-0.20000000000000284</v>
      </c>
      <c r="J32" s="5">
        <f>J24-'202512'!J24</f>
        <v>-0.30000000000001137</v>
      </c>
      <c r="K32" s="5">
        <f>K24-'202512'!K24</f>
        <v>-0.30000000000001137</v>
      </c>
      <c r="R32" s="11"/>
      <c r="S32" s="11"/>
    </row>
    <row r="33" spans="2:19" x14ac:dyDescent="0.15">
      <c r="B33" s="35"/>
      <c r="C33" s="4" t="s">
        <v>11</v>
      </c>
      <c r="D33" s="6">
        <f>D25-'202508'!D25</f>
        <v>8.0001203332997761E-2</v>
      </c>
      <c r="E33" s="6">
        <f>E25-'202508'!E25</f>
        <v>-0.12439976999999658</v>
      </c>
      <c r="F33" s="6">
        <f>F25-'202508'!F25</f>
        <v>2.3706013299999853</v>
      </c>
      <c r="G33" s="6">
        <f>G25-'202508'!G25</f>
        <v>2.2783552700000058</v>
      </c>
      <c r="H33" s="5">
        <f>H25-'202510'!H25</f>
        <v>0.3283876833330055</v>
      </c>
      <c r="I33" s="5">
        <f>I25-'202512'!I25</f>
        <v>6.1967746666994117E-2</v>
      </c>
      <c r="J33" s="5">
        <f>J25-'202512'!J25</f>
        <v>5.3167630000004351E-2</v>
      </c>
      <c r="K33" s="5">
        <f>K25-'202512'!K25</f>
        <v>7.9399519999995505E-2</v>
      </c>
      <c r="R33" s="11"/>
      <c r="S33" s="11"/>
    </row>
    <row r="34" spans="2:19" x14ac:dyDescent="0.15">
      <c r="B34" s="35"/>
      <c r="C34" s="4" t="s">
        <v>41</v>
      </c>
      <c r="D34" s="6">
        <f>D26-'202508'!D26</f>
        <v>-0.16665613440399341</v>
      </c>
      <c r="E34" s="6">
        <f>E26-'202508'!E26</f>
        <v>-1.0623745983390052</v>
      </c>
      <c r="F34" s="6">
        <f>F26-'202508'!F26</f>
        <v>0.58258464435198221</v>
      </c>
      <c r="G34" s="6">
        <f>G26-'202508'!G26</f>
        <v>1.0194535201280104</v>
      </c>
      <c r="H34" s="5">
        <f>H26-'202510'!H26</f>
        <v>0.11652140197200822</v>
      </c>
      <c r="I34" s="5">
        <f>I26-'202512'!I26</f>
        <v>0</v>
      </c>
      <c r="J34" s="5">
        <f>J26-'202512'!J26</f>
        <v>0</v>
      </c>
      <c r="K34" s="5">
        <f>K26-'202512'!K26</f>
        <v>0</v>
      </c>
      <c r="R34" s="11"/>
      <c r="S34" s="11"/>
    </row>
    <row r="35" spans="2:19" x14ac:dyDescent="0.15">
      <c r="B35" s="35"/>
      <c r="C35" s="4" t="s">
        <v>21</v>
      </c>
      <c r="D35" s="6">
        <f>D27-'202508'!D27</f>
        <v>-0.18848560738499032</v>
      </c>
      <c r="E35" s="6">
        <f>E27-'202508'!E27</f>
        <v>1.9425463299995727E-2</v>
      </c>
      <c r="F35" s="6">
        <f>F27-'202508'!F27</f>
        <v>1.2891078785770134</v>
      </c>
      <c r="G35" s="6">
        <f>G27-'202508'!G27</f>
        <v>-4.619878467499916E-2</v>
      </c>
      <c r="H35" s="5">
        <f>H27-'202510'!H27</f>
        <v>0.1073513804380184</v>
      </c>
      <c r="I35" s="5">
        <f>I27-'202512'!I27</f>
        <v>-0.22827144955600431</v>
      </c>
      <c r="J35" s="5">
        <f>J27-'202512'!J27</f>
        <v>-5.5810079780997057E-2</v>
      </c>
      <c r="K35" s="5">
        <f>K27-'202512'!K27</f>
        <v>-3.3108457154000348E-2</v>
      </c>
      <c r="R35" s="11"/>
      <c r="S35" s="11"/>
    </row>
    <row r="36" spans="2:19" x14ac:dyDescent="0.15">
      <c r="B36" s="35"/>
      <c r="C36" s="4" t="s">
        <v>14</v>
      </c>
      <c r="D36" s="6">
        <f>D28-'202508'!D28</f>
        <v>1.2580367043550069</v>
      </c>
      <c r="E36" s="6">
        <f>E28-'202508'!E28</f>
        <v>1.0630411989659905</v>
      </c>
      <c r="F36" s="6">
        <f>F28-'202508'!F28</f>
        <v>2.4373712680680057</v>
      </c>
      <c r="G36" s="6">
        <f>G28-'202508'!G28</f>
        <v>1.9665225664509904</v>
      </c>
      <c r="H36" s="5">
        <f>H28-'202510'!H28</f>
        <v>0.5585807066710089</v>
      </c>
      <c r="I36" s="5">
        <f>I28-'202512'!I28</f>
        <v>1.4735469058010153E-2</v>
      </c>
      <c r="J36" s="5">
        <f>J28-'202512'!J28</f>
        <v>0.31215037018100134</v>
      </c>
      <c r="K36" s="5">
        <f>K28-'202512'!K28</f>
        <v>3.4943541610999773E-2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O36"/>
  <sheetViews>
    <sheetView workbookViewId="0">
      <selection activeCell="I39" sqref="I39"/>
    </sheetView>
  </sheetViews>
  <sheetFormatPr defaultColWidth="9" defaultRowHeight="13.5" x14ac:dyDescent="0.15"/>
  <cols>
    <col min="4" max="4" width="13" customWidth="1"/>
    <col min="5" max="6" width="12.625"/>
    <col min="7" max="7" width="11.5"/>
  </cols>
  <sheetData>
    <row r="2" spans="2:7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</row>
    <row r="3" spans="2:7" x14ac:dyDescent="0.15">
      <c r="B3" s="4"/>
      <c r="C3" s="4" t="s">
        <v>38</v>
      </c>
      <c r="D3" s="4">
        <v>107.6</v>
      </c>
      <c r="E3" s="4">
        <v>108.8</v>
      </c>
      <c r="F3" s="4">
        <v>109.3</v>
      </c>
      <c r="G3" s="4">
        <v>109</v>
      </c>
    </row>
    <row r="4" spans="2:7" x14ac:dyDescent="0.15">
      <c r="B4" s="4" t="s">
        <v>8</v>
      </c>
      <c r="C4" s="4" t="s">
        <v>39</v>
      </c>
      <c r="D4" s="4">
        <v>103.4</v>
      </c>
      <c r="E4" s="4">
        <v>104.3</v>
      </c>
      <c r="F4" s="4">
        <v>105.9</v>
      </c>
      <c r="G4" s="4">
        <v>106.2</v>
      </c>
    </row>
    <row r="5" spans="2:7" x14ac:dyDescent="0.15">
      <c r="B5" s="4"/>
      <c r="C5" s="4" t="s">
        <v>40</v>
      </c>
      <c r="D5" s="4">
        <f>D3-D4</f>
        <v>4.1999999999999886</v>
      </c>
      <c r="E5" s="4">
        <f>E3-E4</f>
        <v>4.5</v>
      </c>
      <c r="F5" s="4">
        <f>F3-F4</f>
        <v>3.3999999999999915</v>
      </c>
      <c r="G5" s="4">
        <f>G3-G4</f>
        <v>2.7999999999999972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5">
        <v>106.92951358000001</v>
      </c>
      <c r="E7" s="5">
        <v>107.52037857000001</v>
      </c>
      <c r="F7" s="5">
        <v>107.919246643333</v>
      </c>
      <c r="G7" s="5">
        <v>108.238465326667</v>
      </c>
    </row>
    <row r="8" spans="2:7" x14ac:dyDescent="0.15">
      <c r="B8" s="4"/>
      <c r="C8" s="4" t="s">
        <v>39</v>
      </c>
      <c r="D8" s="5">
        <v>103.393270376667</v>
      </c>
      <c r="E8" s="5">
        <v>104.86317493666699</v>
      </c>
      <c r="F8" s="5">
        <v>105.66301928666699</v>
      </c>
      <c r="G8" s="5">
        <v>105.384988063333</v>
      </c>
    </row>
    <row r="9" spans="2:7" x14ac:dyDescent="0.15">
      <c r="B9" s="4"/>
      <c r="C9" s="4" t="s">
        <v>40</v>
      </c>
      <c r="D9" s="5">
        <f>D7-D8</f>
        <v>3.5362432033330009</v>
      </c>
      <c r="E9" s="5">
        <f>E7-E8</f>
        <v>2.6572036333330118</v>
      </c>
      <c r="F9" s="5">
        <f>F7-F8</f>
        <v>2.2562273566660025</v>
      </c>
      <c r="G9" s="5">
        <f>G7-G8</f>
        <v>2.8534772633339998</v>
      </c>
    </row>
    <row r="10" spans="2:7" x14ac:dyDescent="0.15">
      <c r="B10" s="4"/>
      <c r="C10" s="4"/>
      <c r="D10" s="5"/>
      <c r="E10" s="4"/>
      <c r="F10" s="4"/>
      <c r="G10" s="4"/>
    </row>
    <row r="11" spans="2:7" x14ac:dyDescent="0.15">
      <c r="B11" s="4"/>
      <c r="C11" s="4" t="s">
        <v>38</v>
      </c>
      <c r="D11" s="5">
        <v>108.78937148412901</v>
      </c>
      <c r="E11" s="5">
        <v>108.73910503371</v>
      </c>
      <c r="F11" s="5">
        <v>109.052310382409</v>
      </c>
      <c r="G11" s="5">
        <v>109.303000259841</v>
      </c>
    </row>
    <row r="12" spans="2:7" x14ac:dyDescent="0.15">
      <c r="B12" s="4" t="s">
        <v>41</v>
      </c>
      <c r="C12" s="4" t="s">
        <v>39</v>
      </c>
      <c r="D12" s="5">
        <v>105.264745414247</v>
      </c>
      <c r="E12" s="5">
        <v>106.564908620098</v>
      </c>
      <c r="F12" s="5">
        <v>108.363374562498</v>
      </c>
      <c r="G12" s="5">
        <v>107.810133634474</v>
      </c>
    </row>
    <row r="13" spans="2:7" x14ac:dyDescent="0.15">
      <c r="B13" s="4"/>
      <c r="C13" s="4" t="s">
        <v>40</v>
      </c>
      <c r="D13" s="5">
        <f>D11-D12</f>
        <v>3.5246260698820038</v>
      </c>
      <c r="E13" s="5">
        <f>E11-E12</f>
        <v>2.1741964136120089</v>
      </c>
      <c r="F13" s="5">
        <f>F11-F12</f>
        <v>0.68893581991100916</v>
      </c>
      <c r="G13" s="5">
        <f>G11-G12</f>
        <v>1.4928666253670002</v>
      </c>
    </row>
    <row r="14" spans="2:7" x14ac:dyDescent="0.15">
      <c r="B14" s="4"/>
      <c r="C14" s="4"/>
      <c r="D14" s="5"/>
      <c r="E14" s="4"/>
      <c r="F14" s="4"/>
      <c r="G14" s="4"/>
    </row>
    <row r="15" spans="2:7" x14ac:dyDescent="0.15">
      <c r="B15" s="4"/>
      <c r="C15" s="4" t="s">
        <v>38</v>
      </c>
      <c r="D15" s="5">
        <v>107.560681510748</v>
      </c>
      <c r="E15" s="5">
        <v>107.199415216503</v>
      </c>
      <c r="F15" s="5">
        <v>107.997363882992</v>
      </c>
      <c r="G15" s="5">
        <v>108.615990876597</v>
      </c>
    </row>
    <row r="16" spans="2:7" x14ac:dyDescent="0.15">
      <c r="B16" s="4" t="s">
        <v>21</v>
      </c>
      <c r="C16" s="4" t="s">
        <v>39</v>
      </c>
      <c r="D16" s="5">
        <v>103.754</v>
      </c>
      <c r="E16" s="5">
        <v>104.71299999999999</v>
      </c>
      <c r="F16" s="5">
        <v>106.64100000000001</v>
      </c>
      <c r="G16" s="5">
        <v>106.26300000000001</v>
      </c>
    </row>
    <row r="17" spans="1:15" x14ac:dyDescent="0.15">
      <c r="B17" s="4"/>
      <c r="C17" s="4" t="s">
        <v>40</v>
      </c>
      <c r="D17" s="5">
        <f>D15-D16</f>
        <v>3.8066815107479925</v>
      </c>
      <c r="E17" s="5">
        <f>E15-E16</f>
        <v>2.4864152165030049</v>
      </c>
      <c r="F17" s="5">
        <f>F15-F16</f>
        <v>1.3563638829919995</v>
      </c>
      <c r="G17" s="5">
        <f>G15-G16</f>
        <v>2.3529908765969907</v>
      </c>
    </row>
    <row r="18" spans="1:15" x14ac:dyDescent="0.15">
      <c r="B18" s="4"/>
      <c r="C18" s="4"/>
      <c r="D18" s="5"/>
      <c r="E18" s="4"/>
      <c r="F18" s="4"/>
      <c r="G18" s="4"/>
    </row>
    <row r="19" spans="1:15" x14ac:dyDescent="0.15">
      <c r="B19" s="4" t="s">
        <v>14</v>
      </c>
      <c r="C19" s="4" t="s">
        <v>38</v>
      </c>
      <c r="D19" s="9">
        <v>108.14</v>
      </c>
      <c r="E19" s="9">
        <v>108.53</v>
      </c>
      <c r="F19" s="9">
        <v>109.83</v>
      </c>
      <c r="G19" s="9">
        <v>109.89</v>
      </c>
    </row>
    <row r="20" spans="1:15" x14ac:dyDescent="0.15">
      <c r="B20" s="4"/>
      <c r="C20" s="4" t="s">
        <v>39</v>
      </c>
      <c r="D20" s="9">
        <v>104.69</v>
      </c>
      <c r="E20" s="9">
        <v>104.43</v>
      </c>
      <c r="F20" s="9">
        <v>106</v>
      </c>
      <c r="G20" s="9">
        <v>106.03</v>
      </c>
    </row>
    <row r="21" spans="1:15" x14ac:dyDescent="0.15">
      <c r="B21" s="4"/>
      <c r="C21" s="4" t="s">
        <v>40</v>
      </c>
      <c r="D21" s="5">
        <f>D19-D20</f>
        <v>3.4500000000000028</v>
      </c>
      <c r="E21" s="5">
        <f>E19-E20</f>
        <v>4.0999999999999943</v>
      </c>
      <c r="F21" s="5">
        <f>F19-F20</f>
        <v>3.8299999999999983</v>
      </c>
      <c r="G21" s="5">
        <f>G19-G20</f>
        <v>3.8599999999999994</v>
      </c>
    </row>
    <row r="22" spans="1:15" x14ac:dyDescent="0.15">
      <c r="B22" s="4"/>
      <c r="C22" s="4"/>
      <c r="D22" s="4"/>
      <c r="F22" s="10"/>
    </row>
    <row r="23" spans="1:15" x14ac:dyDescent="0.15">
      <c r="A23" s="12"/>
      <c r="B23" s="3"/>
      <c r="C23" s="3"/>
      <c r="D23" s="3" t="s">
        <v>43</v>
      </c>
      <c r="E23" s="3" t="s">
        <v>44</v>
      </c>
      <c r="F23" s="3" t="s">
        <v>45</v>
      </c>
      <c r="G23" s="3" t="s">
        <v>46</v>
      </c>
      <c r="N23" s="11"/>
      <c r="O23" s="11"/>
    </row>
    <row r="24" spans="1:15" x14ac:dyDescent="0.15">
      <c r="A24" s="13"/>
      <c r="B24" s="4"/>
      <c r="C24" s="4" t="s">
        <v>8</v>
      </c>
      <c r="D24" s="5">
        <f>D5</f>
        <v>4.1999999999999886</v>
      </c>
      <c r="E24" s="5">
        <f>E5</f>
        <v>4.5</v>
      </c>
      <c r="F24" s="5">
        <f>F5</f>
        <v>3.3999999999999915</v>
      </c>
      <c r="G24" s="5">
        <f>G5</f>
        <v>2.7999999999999972</v>
      </c>
      <c r="N24" s="11"/>
      <c r="O24" s="11"/>
    </row>
    <row r="25" spans="1:15" x14ac:dyDescent="0.15">
      <c r="A25" s="13"/>
      <c r="B25" s="4"/>
      <c r="C25" s="4" t="s">
        <v>11</v>
      </c>
      <c r="D25" s="5">
        <f>D9</f>
        <v>3.5362432033330009</v>
      </c>
      <c r="E25" s="5">
        <f>E9</f>
        <v>2.6572036333330118</v>
      </c>
      <c r="F25" s="5">
        <f>F9</f>
        <v>2.2562273566660025</v>
      </c>
      <c r="G25" s="5">
        <f>G9</f>
        <v>2.8534772633339998</v>
      </c>
      <c r="N25" s="11"/>
      <c r="O25" s="11"/>
    </row>
    <row r="26" spans="1:15" x14ac:dyDescent="0.15">
      <c r="A26" s="14"/>
      <c r="B26" s="4"/>
      <c r="C26" s="4" t="s">
        <v>41</v>
      </c>
      <c r="D26" s="5">
        <f>D13</f>
        <v>3.5246260698820038</v>
      </c>
      <c r="E26" s="5">
        <f>E13</f>
        <v>2.1741964136120089</v>
      </c>
      <c r="F26" s="5">
        <f>F13</f>
        <v>0.68893581991100916</v>
      </c>
      <c r="G26" s="5">
        <f>G13</f>
        <v>1.4928666253670002</v>
      </c>
      <c r="N26" s="11"/>
      <c r="O26" s="11"/>
    </row>
    <row r="27" spans="1:15" x14ac:dyDescent="0.15">
      <c r="A27" s="15"/>
      <c r="B27" s="4"/>
      <c r="C27" s="4" t="s">
        <v>21</v>
      </c>
      <c r="D27" s="5">
        <f>D17</f>
        <v>3.8066815107479925</v>
      </c>
      <c r="E27" s="5">
        <f>E17</f>
        <v>2.4864152165030049</v>
      </c>
      <c r="F27" s="5">
        <f>F17</f>
        <v>1.3563638829919995</v>
      </c>
      <c r="G27" s="5">
        <f>G17</f>
        <v>2.3529908765969907</v>
      </c>
      <c r="N27" s="11"/>
      <c r="O27" s="11"/>
    </row>
    <row r="28" spans="1:15" x14ac:dyDescent="0.15">
      <c r="B28" s="4"/>
      <c r="C28" s="4" t="s">
        <v>14</v>
      </c>
      <c r="D28" s="5">
        <f>D21</f>
        <v>3.4500000000000028</v>
      </c>
      <c r="E28" s="5">
        <f>E21</f>
        <v>4.0999999999999943</v>
      </c>
      <c r="F28" s="5">
        <f>F21</f>
        <v>3.8299999999999983</v>
      </c>
      <c r="G28" s="5">
        <f>G21</f>
        <v>3.8599999999999994</v>
      </c>
      <c r="N28" s="11"/>
      <c r="O28" s="11"/>
    </row>
    <row r="29" spans="1:15" x14ac:dyDescent="0.15">
      <c r="D29" s="4"/>
      <c r="F29" s="6"/>
      <c r="N29" s="11"/>
      <c r="O29" s="11"/>
    </row>
    <row r="30" spans="1:15" x14ac:dyDescent="0.15">
      <c r="D30" s="4"/>
      <c r="N30" s="11"/>
      <c r="O30" s="11"/>
    </row>
    <row r="31" spans="1:15" x14ac:dyDescent="0.15">
      <c r="B31" s="35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N31" s="11"/>
      <c r="O31" s="11"/>
    </row>
    <row r="32" spans="1:15" x14ac:dyDescent="0.15">
      <c r="B32" s="35"/>
      <c r="C32" s="4" t="s">
        <v>8</v>
      </c>
      <c r="D32" s="5">
        <f>D24-'202510'!H24</f>
        <v>-0.10000000000002274</v>
      </c>
      <c r="E32" s="5">
        <f>E24-'202512'!I24</f>
        <v>-0.20000000000000284</v>
      </c>
      <c r="F32" s="5">
        <f>F24-'202512'!J24</f>
        <v>-0.10000000000000853</v>
      </c>
      <c r="G32" s="5">
        <f>G24-'202512'!K24</f>
        <v>-0.40000000000000568</v>
      </c>
      <c r="N32" s="11"/>
      <c r="O32" s="11"/>
    </row>
    <row r="33" spans="2:15" x14ac:dyDescent="0.15">
      <c r="B33" s="35"/>
      <c r="C33" s="4" t="s">
        <v>11</v>
      </c>
      <c r="D33" s="5">
        <f>D25-'202510'!H25</f>
        <v>1.1262432033330043</v>
      </c>
      <c r="E33" s="5">
        <f>E25-'202512'!I25</f>
        <v>0.66871031333300834</v>
      </c>
      <c r="F33" s="5">
        <f>F25-'202512'!J25</f>
        <v>0.46939498666600343</v>
      </c>
      <c r="G33" s="5">
        <f>G25-'202512'!K25</f>
        <v>0.56287678333400493</v>
      </c>
      <c r="N33" s="11"/>
      <c r="O33" s="11"/>
    </row>
    <row r="34" spans="2:15" x14ac:dyDescent="0.15">
      <c r="B34" s="35"/>
      <c r="C34" s="4" t="s">
        <v>41</v>
      </c>
      <c r="D34" s="5">
        <f>D26-'202510'!H26</f>
        <v>0.26996414588600715</v>
      </c>
      <c r="E34" s="5">
        <f>E26-'202512'!I26</f>
        <v>-0.11432810370999391</v>
      </c>
      <c r="F34" s="5">
        <f>F26-'202512'!J26</f>
        <v>-0.13882593766997786</v>
      </c>
      <c r="G34" s="5">
        <f>G26-'202512'!K26</f>
        <v>-0.1151414107509936</v>
      </c>
      <c r="N34" s="11"/>
      <c r="O34" s="11"/>
    </row>
    <row r="35" spans="2:15" x14ac:dyDescent="0.15">
      <c r="B35" s="35"/>
      <c r="C35" s="4" t="s">
        <v>21</v>
      </c>
      <c r="D35" s="5">
        <f>D27-'202510'!H27</f>
        <v>0.17539243766100299</v>
      </c>
      <c r="E35" s="5">
        <f>E27-'202512'!I27</f>
        <v>-0.13640756968300138</v>
      </c>
      <c r="F35" s="5">
        <f>F27-'202512'!J27</f>
        <v>2.8806889760062404E-3</v>
      </c>
      <c r="G35" s="5">
        <f>G27-'202512'!K27</f>
        <v>0.11528550583899744</v>
      </c>
      <c r="N35" s="11"/>
      <c r="O35" s="11"/>
    </row>
    <row r="36" spans="2:15" x14ac:dyDescent="0.15">
      <c r="B36" s="35"/>
      <c r="C36" s="4" t="s">
        <v>14</v>
      </c>
      <c r="D36" s="5">
        <f>D28-'202510'!H28</f>
        <v>0.7713333333340131</v>
      </c>
      <c r="E36" s="5">
        <f>E28-'202512'!I28</f>
        <v>0.42197382961900587</v>
      </c>
      <c r="F36" s="5">
        <f>F28-'202512'!J28</f>
        <v>0.59702933744100051</v>
      </c>
      <c r="G36" s="5">
        <f>G28-'202512'!K28</f>
        <v>0.26092468811999936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2:O36"/>
  <sheetViews>
    <sheetView workbookViewId="0">
      <selection activeCell="Q19" sqref="Q19"/>
    </sheetView>
  </sheetViews>
  <sheetFormatPr defaultColWidth="9" defaultRowHeight="13.5" x14ac:dyDescent="0.15"/>
  <cols>
    <col min="4" max="4" width="13" customWidth="1"/>
    <col min="5" max="6" width="12.625"/>
    <col min="7" max="7" width="11.5"/>
  </cols>
  <sheetData>
    <row r="2" spans="2:7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</row>
    <row r="3" spans="2:7" x14ac:dyDescent="0.15">
      <c r="B3" s="4"/>
      <c r="C3" s="4" t="s">
        <v>38</v>
      </c>
      <c r="D3" s="4">
        <v>107.2</v>
      </c>
      <c r="E3" s="4">
        <v>108.6</v>
      </c>
      <c r="F3" s="4">
        <v>109.2</v>
      </c>
      <c r="G3" s="4">
        <v>109.1</v>
      </c>
    </row>
    <row r="4" spans="2:7" x14ac:dyDescent="0.15">
      <c r="B4" s="4" t="s">
        <v>8</v>
      </c>
      <c r="C4" s="4" t="s">
        <v>39</v>
      </c>
      <c r="D4" s="4">
        <v>103.4</v>
      </c>
      <c r="E4" s="4">
        <v>104.2</v>
      </c>
      <c r="F4" s="4">
        <v>105.8</v>
      </c>
      <c r="G4" s="4">
        <v>106</v>
      </c>
    </row>
    <row r="5" spans="2:7" x14ac:dyDescent="0.15">
      <c r="B5" s="4"/>
      <c r="C5" s="4" t="s">
        <v>40</v>
      </c>
      <c r="D5" s="4">
        <f t="shared" ref="D5:G5" si="0">D3-D4</f>
        <v>3.7999999999999972</v>
      </c>
      <c r="E5" s="4">
        <f t="shared" si="0"/>
        <v>4.3999999999999915</v>
      </c>
      <c r="F5" s="4">
        <f t="shared" si="0"/>
        <v>3.4000000000000057</v>
      </c>
      <c r="G5" s="4">
        <f t="shared" si="0"/>
        <v>3.0999999999999943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5">
        <v>106.77369136666699</v>
      </c>
      <c r="E7" s="5">
        <v>107.76328573333301</v>
      </c>
      <c r="F7" s="5">
        <v>108.3043593</v>
      </c>
      <c r="G7" s="5">
        <v>108.519979466667</v>
      </c>
    </row>
    <row r="8" spans="2:7" x14ac:dyDescent="0.15">
      <c r="B8" s="4"/>
      <c r="C8" s="4" t="s">
        <v>39</v>
      </c>
      <c r="D8" s="5">
        <v>103.48271553333301</v>
      </c>
      <c r="E8" s="5">
        <v>104.74145066666701</v>
      </c>
      <c r="F8" s="5">
        <v>105.627671666667</v>
      </c>
      <c r="G8" s="5">
        <v>105.33523940000001</v>
      </c>
    </row>
    <row r="9" spans="2:7" x14ac:dyDescent="0.15">
      <c r="B9" s="4"/>
      <c r="C9" s="4" t="s">
        <v>40</v>
      </c>
      <c r="D9" s="5">
        <f t="shared" ref="D9:G9" si="1">D7-D8</f>
        <v>3.290975833333988</v>
      </c>
      <c r="E9" s="5">
        <f t="shared" si="1"/>
        <v>3.0218350666660001</v>
      </c>
      <c r="F9" s="5">
        <f t="shared" si="1"/>
        <v>2.6766876333330032</v>
      </c>
      <c r="G9" s="5">
        <f t="shared" si="1"/>
        <v>3.1847400666669898</v>
      </c>
    </row>
    <row r="10" spans="2:7" x14ac:dyDescent="0.15">
      <c r="B10" s="4"/>
      <c r="C10" s="4"/>
      <c r="D10" s="5"/>
      <c r="E10" s="4"/>
      <c r="F10" s="4"/>
      <c r="G10" s="4"/>
    </row>
    <row r="11" spans="2:7" x14ac:dyDescent="0.15">
      <c r="B11" s="4"/>
      <c r="C11" s="4" t="s">
        <v>38</v>
      </c>
      <c r="D11" s="5">
        <v>108.451886990725</v>
      </c>
      <c r="E11" s="5">
        <v>109.64285337814999</v>
      </c>
      <c r="F11" s="5">
        <v>109.873964732541</v>
      </c>
      <c r="G11" s="5">
        <v>110.22031869382801</v>
      </c>
    </row>
    <row r="12" spans="2:7" x14ac:dyDescent="0.15">
      <c r="B12" s="4" t="s">
        <v>41</v>
      </c>
      <c r="C12" s="4" t="s">
        <v>39</v>
      </c>
      <c r="D12" s="5">
        <v>105.807871172685</v>
      </c>
      <c r="E12" s="5">
        <v>106.921894887653</v>
      </c>
      <c r="F12" s="5">
        <v>108.62889658966</v>
      </c>
      <c r="G12" s="5">
        <v>107.894900265023</v>
      </c>
    </row>
    <row r="13" spans="2:7" x14ac:dyDescent="0.15">
      <c r="B13" s="4"/>
      <c r="C13" s="4" t="s">
        <v>40</v>
      </c>
      <c r="D13" s="5">
        <f t="shared" ref="D13:G13" si="2">D11-D12</f>
        <v>2.6440158180400033</v>
      </c>
      <c r="E13" s="5">
        <f t="shared" si="2"/>
        <v>2.7209584904969972</v>
      </c>
      <c r="F13" s="5">
        <f t="shared" si="2"/>
        <v>1.2450681428809958</v>
      </c>
      <c r="G13" s="5">
        <f t="shared" si="2"/>
        <v>2.3254184288050084</v>
      </c>
    </row>
    <row r="14" spans="2:7" x14ac:dyDescent="0.15">
      <c r="B14" s="4"/>
      <c r="C14" s="4"/>
      <c r="D14" s="5"/>
      <c r="E14" s="4"/>
      <c r="F14" s="4"/>
      <c r="G14" s="4"/>
    </row>
    <row r="15" spans="2:7" x14ac:dyDescent="0.15">
      <c r="B15" s="4"/>
      <c r="C15" s="4" t="s">
        <v>38</v>
      </c>
      <c r="D15" s="5">
        <v>107.141600366487</v>
      </c>
      <c r="E15" s="5">
        <v>107.16245569799</v>
      </c>
      <c r="F15" s="5">
        <v>107.89514949127501</v>
      </c>
      <c r="G15" s="5">
        <v>108.651104997907</v>
      </c>
    </row>
    <row r="16" spans="2:7" x14ac:dyDescent="0.15">
      <c r="B16" s="4" t="s">
        <v>21</v>
      </c>
      <c r="C16" s="4" t="s">
        <v>39</v>
      </c>
      <c r="D16" s="5">
        <v>103.788</v>
      </c>
      <c r="E16" s="5">
        <v>104.30800000000001</v>
      </c>
      <c r="F16" s="5">
        <v>106.45399999999999</v>
      </c>
      <c r="G16" s="5">
        <v>106.44799999999999</v>
      </c>
    </row>
    <row r="17" spans="1:15" x14ac:dyDescent="0.15">
      <c r="B17" s="4"/>
      <c r="C17" s="4" t="s">
        <v>40</v>
      </c>
      <c r="D17" s="5">
        <f t="shared" ref="D17:G17" si="3">D15-D16</f>
        <v>3.3536003664870009</v>
      </c>
      <c r="E17" s="5">
        <f t="shared" si="3"/>
        <v>2.8544556979899909</v>
      </c>
      <c r="F17" s="5">
        <f t="shared" si="3"/>
        <v>1.4411494912750129</v>
      </c>
      <c r="G17" s="5">
        <f t="shared" si="3"/>
        <v>2.2031049979070048</v>
      </c>
    </row>
    <row r="18" spans="1:15" x14ac:dyDescent="0.15">
      <c r="B18" s="4"/>
      <c r="C18" s="4"/>
      <c r="D18" s="5"/>
      <c r="E18" s="4"/>
      <c r="F18" s="4"/>
      <c r="G18" s="4"/>
    </row>
    <row r="19" spans="1:15" x14ac:dyDescent="0.15">
      <c r="B19" s="4" t="s">
        <v>14</v>
      </c>
      <c r="C19" s="4" t="s">
        <v>38</v>
      </c>
      <c r="D19" s="9">
        <v>108.14</v>
      </c>
      <c r="E19" s="9">
        <v>108.53</v>
      </c>
      <c r="F19" s="9">
        <v>109.83</v>
      </c>
      <c r="G19" s="9">
        <v>109.89</v>
      </c>
    </row>
    <row r="20" spans="1:15" x14ac:dyDescent="0.15">
      <c r="B20" s="4"/>
      <c r="C20" s="4" t="s">
        <v>39</v>
      </c>
      <c r="D20" s="9">
        <v>104.69</v>
      </c>
      <c r="E20" s="9">
        <v>104.43</v>
      </c>
      <c r="F20" s="9">
        <v>106</v>
      </c>
      <c r="G20" s="9">
        <v>106.03</v>
      </c>
    </row>
    <row r="21" spans="1:15" x14ac:dyDescent="0.15">
      <c r="B21" s="4"/>
      <c r="C21" s="4" t="s">
        <v>40</v>
      </c>
      <c r="D21" s="5">
        <f t="shared" ref="D21:G21" si="4">D19-D20</f>
        <v>3.4500000000000028</v>
      </c>
      <c r="E21" s="5">
        <f t="shared" si="4"/>
        <v>4.0999999999999943</v>
      </c>
      <c r="F21" s="5">
        <f t="shared" si="4"/>
        <v>3.8299999999999983</v>
      </c>
      <c r="G21" s="5">
        <f t="shared" si="4"/>
        <v>3.8599999999999994</v>
      </c>
    </row>
    <row r="22" spans="1:15" x14ac:dyDescent="0.15">
      <c r="B22" s="4"/>
      <c r="C22" s="4"/>
      <c r="D22" s="4"/>
      <c r="F22" s="10"/>
    </row>
    <row r="23" spans="1:15" x14ac:dyDescent="0.15">
      <c r="A23" s="12"/>
      <c r="B23" s="3"/>
      <c r="C23" s="3"/>
      <c r="D23" s="3" t="s">
        <v>43</v>
      </c>
      <c r="E23" s="3" t="s">
        <v>44</v>
      </c>
      <c r="F23" s="3" t="s">
        <v>45</v>
      </c>
      <c r="G23" s="3" t="s">
        <v>46</v>
      </c>
      <c r="N23" s="11"/>
      <c r="O23" s="11"/>
    </row>
    <row r="24" spans="1:15" x14ac:dyDescent="0.15">
      <c r="A24" s="13"/>
      <c r="B24" s="4"/>
      <c r="C24" s="4" t="s">
        <v>8</v>
      </c>
      <c r="D24" s="5">
        <f t="shared" ref="D24:G24" si="5">D5</f>
        <v>3.7999999999999972</v>
      </c>
      <c r="E24" s="5">
        <f t="shared" si="5"/>
        <v>4.3999999999999915</v>
      </c>
      <c r="F24" s="5">
        <f t="shared" si="5"/>
        <v>3.4000000000000057</v>
      </c>
      <c r="G24" s="5">
        <f t="shared" si="5"/>
        <v>3.0999999999999943</v>
      </c>
      <c r="N24" s="11"/>
      <c r="O24" s="11"/>
    </row>
    <row r="25" spans="1:15" x14ac:dyDescent="0.15">
      <c r="A25" s="13"/>
      <c r="B25" s="4"/>
      <c r="C25" s="4" t="s">
        <v>11</v>
      </c>
      <c r="D25" s="5">
        <f t="shared" ref="D25:G25" si="6">D9</f>
        <v>3.290975833333988</v>
      </c>
      <c r="E25" s="5">
        <f t="shared" si="6"/>
        <v>3.0218350666660001</v>
      </c>
      <c r="F25" s="5">
        <f t="shared" si="6"/>
        <v>2.6766876333330032</v>
      </c>
      <c r="G25" s="5">
        <f t="shared" si="6"/>
        <v>3.1847400666669898</v>
      </c>
      <c r="N25" s="11"/>
      <c r="O25" s="11"/>
    </row>
    <row r="26" spans="1:15" x14ac:dyDescent="0.15">
      <c r="A26" s="14"/>
      <c r="B26" s="4"/>
      <c r="C26" s="4" t="s">
        <v>41</v>
      </c>
      <c r="D26" s="5">
        <f t="shared" ref="D26:G26" si="7">D13</f>
        <v>2.6440158180400033</v>
      </c>
      <c r="E26" s="5">
        <f t="shared" si="7"/>
        <v>2.7209584904969972</v>
      </c>
      <c r="F26" s="5">
        <f t="shared" si="7"/>
        <v>1.2450681428809958</v>
      </c>
      <c r="G26" s="5">
        <f t="shared" si="7"/>
        <v>2.3254184288050084</v>
      </c>
      <c r="N26" s="11"/>
      <c r="O26" s="11"/>
    </row>
    <row r="27" spans="1:15" x14ac:dyDescent="0.15">
      <c r="A27" s="15"/>
      <c r="B27" s="4"/>
      <c r="C27" s="4" t="s">
        <v>21</v>
      </c>
      <c r="D27" s="5">
        <f t="shared" ref="D27:G27" si="8">D17</f>
        <v>3.3536003664870009</v>
      </c>
      <c r="E27" s="5">
        <f t="shared" si="8"/>
        <v>2.8544556979899909</v>
      </c>
      <c r="F27" s="5">
        <f t="shared" si="8"/>
        <v>1.4411494912750129</v>
      </c>
      <c r="G27" s="5">
        <f t="shared" si="8"/>
        <v>2.2031049979070048</v>
      </c>
      <c r="N27" s="11"/>
      <c r="O27" s="11"/>
    </row>
    <row r="28" spans="1:15" x14ac:dyDescent="0.15">
      <c r="B28" s="4"/>
      <c r="C28" s="4" t="s">
        <v>14</v>
      </c>
      <c r="D28" s="5">
        <f t="shared" ref="D28:G28" si="9">D21</f>
        <v>3.4500000000000028</v>
      </c>
      <c r="E28" s="5">
        <f t="shared" si="9"/>
        <v>4.0999999999999943</v>
      </c>
      <c r="F28" s="5">
        <f t="shared" si="9"/>
        <v>3.8299999999999983</v>
      </c>
      <c r="G28" s="5">
        <f t="shared" si="9"/>
        <v>3.8599999999999994</v>
      </c>
      <c r="N28" s="11"/>
      <c r="O28" s="11"/>
    </row>
    <row r="29" spans="1:15" x14ac:dyDescent="0.15">
      <c r="D29" s="4"/>
      <c r="F29" s="6"/>
      <c r="N29" s="11"/>
      <c r="O29" s="11"/>
    </row>
    <row r="30" spans="1:15" x14ac:dyDescent="0.15">
      <c r="D30" s="4"/>
      <c r="N30" s="11"/>
      <c r="O30" s="11"/>
    </row>
    <row r="31" spans="1:15" x14ac:dyDescent="0.15">
      <c r="B31" s="35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N31" s="11"/>
      <c r="O31" s="11"/>
    </row>
    <row r="32" spans="1:15" x14ac:dyDescent="0.15">
      <c r="B32" s="35"/>
      <c r="C32" s="4" t="s">
        <v>8</v>
      </c>
      <c r="D32" s="5">
        <f>D24-'202510'!H24</f>
        <v>-0.50000000000001421</v>
      </c>
      <c r="E32" s="5">
        <f>E24-'202512'!I24</f>
        <v>-0.30000000000001137</v>
      </c>
      <c r="F32" s="5">
        <f>F24-'202512'!J24</f>
        <v>-9.9999999999994316E-2</v>
      </c>
      <c r="G32" s="5">
        <f>G24-'202512'!K24</f>
        <v>-0.10000000000000853</v>
      </c>
      <c r="N32" s="11"/>
      <c r="O32" s="11"/>
    </row>
    <row r="33" spans="2:15" x14ac:dyDescent="0.15">
      <c r="B33" s="35"/>
      <c r="C33" s="4" t="s">
        <v>11</v>
      </c>
      <c r="D33" s="5">
        <f>D25-'202510'!H25</f>
        <v>0.88097583333399143</v>
      </c>
      <c r="E33" s="5">
        <f>E25-'202512'!I25</f>
        <v>1.0333417466659967</v>
      </c>
      <c r="F33" s="5">
        <f>F25-'202512'!J25</f>
        <v>0.88985526333300413</v>
      </c>
      <c r="G33" s="5">
        <f>G25-'202512'!K25</f>
        <v>0.894139586666995</v>
      </c>
      <c r="N33" s="11"/>
      <c r="O33" s="11"/>
    </row>
    <row r="34" spans="2:15" x14ac:dyDescent="0.15">
      <c r="B34" s="35"/>
      <c r="C34" s="4" t="s">
        <v>41</v>
      </c>
      <c r="D34" s="5">
        <f>D26-'202510'!H26</f>
        <v>-0.61064610595599333</v>
      </c>
      <c r="E34" s="5">
        <f>E26-'202512'!I26</f>
        <v>0.43243397317499443</v>
      </c>
      <c r="F34" s="5">
        <f>F26-'202512'!J26</f>
        <v>0.41730638530000874</v>
      </c>
      <c r="G34" s="5">
        <f>G26-'202512'!K26</f>
        <v>0.71741039268701456</v>
      </c>
      <c r="N34" s="11"/>
      <c r="O34" s="11"/>
    </row>
    <row r="35" spans="2:15" x14ac:dyDescent="0.15">
      <c r="B35" s="35"/>
      <c r="C35" s="4" t="s">
        <v>21</v>
      </c>
      <c r="D35" s="5">
        <f>D27-'202510'!H27</f>
        <v>-0.27768870659998868</v>
      </c>
      <c r="E35" s="5">
        <f>E27-'202512'!I27</f>
        <v>0.2316329118039846</v>
      </c>
      <c r="F35" s="5">
        <f>F27-'202512'!J27</f>
        <v>8.7666297259019643E-2</v>
      </c>
      <c r="G35" s="5">
        <f>G27-'202512'!K27</f>
        <v>-3.4600372850988492E-2</v>
      </c>
      <c r="N35" s="11"/>
      <c r="O35" s="11"/>
    </row>
    <row r="36" spans="2:15" x14ac:dyDescent="0.15">
      <c r="B36" s="35"/>
      <c r="C36" s="4" t="s">
        <v>14</v>
      </c>
      <c r="D36" s="5">
        <f>D28-'202510'!H28</f>
        <v>0.7713333333340131</v>
      </c>
      <c r="E36" s="5">
        <f>E28-'202512'!I28</f>
        <v>0.42197382961900587</v>
      </c>
      <c r="F36" s="5">
        <f>F28-'202512'!J28</f>
        <v>0.59702933744100051</v>
      </c>
      <c r="G36" s="5">
        <f>G28-'202512'!K28</f>
        <v>0.26092468811999936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2:O36"/>
  <sheetViews>
    <sheetView workbookViewId="0">
      <selection activeCell="A24" sqref="A24"/>
    </sheetView>
  </sheetViews>
  <sheetFormatPr defaultColWidth="9" defaultRowHeight="13.5" x14ac:dyDescent="0.15"/>
  <cols>
    <col min="4" max="4" width="13" customWidth="1"/>
    <col min="5" max="6" width="12.625"/>
    <col min="7" max="7" width="11.5"/>
  </cols>
  <sheetData>
    <row r="2" spans="2:7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</row>
    <row r="3" spans="2:7" x14ac:dyDescent="0.15">
      <c r="B3" s="4"/>
      <c r="C3" s="4" t="s">
        <v>38</v>
      </c>
      <c r="D3" s="4">
        <v>104</v>
      </c>
      <c r="E3" s="4">
        <v>106.1</v>
      </c>
      <c r="F3" s="4">
        <v>109.4</v>
      </c>
      <c r="G3" s="4">
        <v>109.3</v>
      </c>
    </row>
    <row r="4" spans="2:7" x14ac:dyDescent="0.15">
      <c r="B4" s="4" t="s">
        <v>8</v>
      </c>
      <c r="C4" s="4" t="s">
        <v>39</v>
      </c>
      <c r="D4" s="4">
        <v>103.4</v>
      </c>
      <c r="E4" s="4">
        <v>104</v>
      </c>
      <c r="F4" s="4">
        <v>105.7</v>
      </c>
      <c r="G4" s="4">
        <v>106.1</v>
      </c>
    </row>
    <row r="5" spans="2:7" x14ac:dyDescent="0.15">
      <c r="B5" s="4"/>
      <c r="C5" s="4" t="s">
        <v>40</v>
      </c>
      <c r="D5" s="4">
        <f t="shared" ref="D5:G5" si="0">D3-D4</f>
        <v>0.59999999999999432</v>
      </c>
      <c r="E5" s="4">
        <f t="shared" si="0"/>
        <v>2.0999999999999943</v>
      </c>
      <c r="F5" s="4">
        <f t="shared" si="0"/>
        <v>3.7000000000000028</v>
      </c>
      <c r="G5" s="4">
        <f t="shared" si="0"/>
        <v>3.2000000000000028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5">
        <v>105.227983106667</v>
      </c>
      <c r="E7" s="5">
        <v>105.782269923333</v>
      </c>
      <c r="F7" s="5">
        <v>108.251841683333</v>
      </c>
      <c r="G7" s="5">
        <v>108.92625351333299</v>
      </c>
    </row>
    <row r="8" spans="2:7" x14ac:dyDescent="0.15">
      <c r="B8" s="4"/>
      <c r="C8" s="4" t="s">
        <v>39</v>
      </c>
      <c r="D8" s="5">
        <v>103.98254700666701</v>
      </c>
      <c r="E8" s="5">
        <v>105.071488843333</v>
      </c>
      <c r="F8" s="5">
        <v>106.029290816667</v>
      </c>
      <c r="G8" s="5">
        <v>105.622727916667</v>
      </c>
    </row>
    <row r="9" spans="2:7" x14ac:dyDescent="0.15">
      <c r="B9" s="4"/>
      <c r="C9" s="4" t="s">
        <v>40</v>
      </c>
      <c r="D9" s="5">
        <f t="shared" ref="D9:G9" si="1">D7-D8</f>
        <v>1.2454360999999921</v>
      </c>
      <c r="E9" s="5">
        <f t="shared" si="1"/>
        <v>0.71078108000000384</v>
      </c>
      <c r="F9" s="5">
        <f t="shared" si="1"/>
        <v>2.2225508666659977</v>
      </c>
      <c r="G9" s="5">
        <f t="shared" si="1"/>
        <v>3.3035255966659918</v>
      </c>
    </row>
    <row r="10" spans="2:7" x14ac:dyDescent="0.15">
      <c r="B10" s="4"/>
      <c r="C10" s="4"/>
      <c r="D10" s="5"/>
      <c r="E10" s="4"/>
      <c r="F10" s="4"/>
      <c r="G10" s="4"/>
    </row>
    <row r="11" spans="2:7" x14ac:dyDescent="0.15">
      <c r="B11" s="4"/>
      <c r="C11" s="4" t="s">
        <v>38</v>
      </c>
      <c r="D11" s="5">
        <v>108.451886990725</v>
      </c>
      <c r="E11" s="5">
        <v>109.64285337814999</v>
      </c>
      <c r="F11" s="5">
        <v>109.873964732541</v>
      </c>
      <c r="G11" s="5">
        <v>110.22031869382801</v>
      </c>
    </row>
    <row r="12" spans="2:7" x14ac:dyDescent="0.15">
      <c r="B12" s="4" t="s">
        <v>41</v>
      </c>
      <c r="C12" s="4" t="s">
        <v>39</v>
      </c>
      <c r="D12" s="5">
        <v>105.807871172685</v>
      </c>
      <c r="E12" s="5">
        <v>106.921894887653</v>
      </c>
      <c r="F12" s="5">
        <v>108.62889658966</v>
      </c>
      <c r="G12" s="5">
        <v>107.894900265023</v>
      </c>
    </row>
    <row r="13" spans="2:7" x14ac:dyDescent="0.15">
      <c r="B13" s="4"/>
      <c r="C13" s="4" t="s">
        <v>40</v>
      </c>
      <c r="D13" s="5">
        <f t="shared" ref="D13:G13" si="2">D11-D12</f>
        <v>2.6440158180400033</v>
      </c>
      <c r="E13" s="5">
        <f t="shared" si="2"/>
        <v>2.7209584904969972</v>
      </c>
      <c r="F13" s="5">
        <f t="shared" si="2"/>
        <v>1.2450681428809958</v>
      </c>
      <c r="G13" s="5">
        <f t="shared" si="2"/>
        <v>2.3254184288050084</v>
      </c>
    </row>
    <row r="14" spans="2:7" x14ac:dyDescent="0.15">
      <c r="B14" s="4"/>
      <c r="C14" s="4"/>
      <c r="D14" s="5"/>
      <c r="E14" s="4"/>
      <c r="F14" s="4"/>
      <c r="G14" s="4"/>
    </row>
    <row r="15" spans="2:7" x14ac:dyDescent="0.15">
      <c r="B15" s="4"/>
      <c r="C15" s="4" t="s">
        <v>38</v>
      </c>
      <c r="D15" s="5">
        <v>106.3112034471</v>
      </c>
      <c r="E15" s="5">
        <v>106.29305993842701</v>
      </c>
      <c r="F15" s="5">
        <v>107.03572446704899</v>
      </c>
      <c r="G15" s="5">
        <v>108.07265921318699</v>
      </c>
    </row>
    <row r="16" spans="2:7" x14ac:dyDescent="0.15">
      <c r="B16" s="4" t="s">
        <v>21</v>
      </c>
      <c r="C16" s="4" t="s">
        <v>39</v>
      </c>
      <c r="D16" s="5">
        <v>103.989</v>
      </c>
      <c r="E16" s="5">
        <v>104.381</v>
      </c>
      <c r="F16" s="5">
        <v>106.42100000000001</v>
      </c>
      <c r="G16" s="5">
        <v>106.506</v>
      </c>
    </row>
    <row r="17" spans="2:15" x14ac:dyDescent="0.15">
      <c r="B17" s="4"/>
      <c r="C17" s="4" t="s">
        <v>40</v>
      </c>
      <c r="D17" s="5">
        <f t="shared" ref="D17:G17" si="3">D15-D16</f>
        <v>2.3222034470999944</v>
      </c>
      <c r="E17" s="5">
        <f t="shared" si="3"/>
        <v>1.9120599384270065</v>
      </c>
      <c r="F17" s="5">
        <f t="shared" si="3"/>
        <v>0.61472446704898687</v>
      </c>
      <c r="G17" s="5">
        <f t="shared" si="3"/>
        <v>1.5666592131869947</v>
      </c>
    </row>
    <row r="18" spans="2:15" x14ac:dyDescent="0.15">
      <c r="B18" s="4"/>
      <c r="C18" s="4"/>
      <c r="D18" s="5"/>
      <c r="E18" s="4"/>
      <c r="F18" s="4"/>
      <c r="G18" s="4"/>
    </row>
    <row r="19" spans="2:15" x14ac:dyDescent="0.15">
      <c r="B19" s="4" t="s">
        <v>14</v>
      </c>
      <c r="C19" s="4" t="s">
        <v>38</v>
      </c>
      <c r="D19" s="9">
        <v>106.55</v>
      </c>
      <c r="E19" s="9">
        <v>108.07</v>
      </c>
      <c r="F19" s="9">
        <v>109.35</v>
      </c>
      <c r="G19" s="9">
        <v>109.41</v>
      </c>
    </row>
    <row r="20" spans="2:15" x14ac:dyDescent="0.15">
      <c r="B20" s="4"/>
      <c r="C20" s="4" t="s">
        <v>39</v>
      </c>
      <c r="D20" s="9">
        <v>104.41</v>
      </c>
      <c r="E20" s="9">
        <v>105.39</v>
      </c>
      <c r="F20" s="9">
        <v>106.45</v>
      </c>
      <c r="G20" s="9">
        <v>107.41</v>
      </c>
    </row>
    <row r="21" spans="2:15" x14ac:dyDescent="0.15">
      <c r="B21" s="4"/>
      <c r="C21" s="4" t="s">
        <v>40</v>
      </c>
      <c r="D21" s="5">
        <f t="shared" ref="D21:G21" si="4">D19-D20</f>
        <v>2.1400000000000006</v>
      </c>
      <c r="E21" s="5">
        <f t="shared" si="4"/>
        <v>2.6799999999999926</v>
      </c>
      <c r="F21" s="5">
        <f t="shared" si="4"/>
        <v>2.8999999999999915</v>
      </c>
      <c r="G21" s="5">
        <f t="shared" si="4"/>
        <v>2</v>
      </c>
    </row>
    <row r="22" spans="2:15" x14ac:dyDescent="0.15">
      <c r="C22" s="4"/>
      <c r="D22" s="4"/>
      <c r="F22" s="10"/>
    </row>
    <row r="23" spans="2:15" x14ac:dyDescent="0.15">
      <c r="C23" s="3"/>
      <c r="D23" s="3" t="s">
        <v>43</v>
      </c>
      <c r="E23" s="3" t="s">
        <v>44</v>
      </c>
      <c r="F23" s="3" t="s">
        <v>45</v>
      </c>
      <c r="G23" s="3" t="s">
        <v>46</v>
      </c>
      <c r="N23" s="11"/>
      <c r="O23" s="11"/>
    </row>
    <row r="24" spans="2:15" x14ac:dyDescent="0.15">
      <c r="C24" s="4" t="s">
        <v>8</v>
      </c>
      <c r="D24" s="5">
        <f t="shared" ref="D24:G24" si="5">D5</f>
        <v>0.59999999999999432</v>
      </c>
      <c r="E24" s="5">
        <f t="shared" si="5"/>
        <v>2.0999999999999943</v>
      </c>
      <c r="F24" s="5">
        <f t="shared" si="5"/>
        <v>3.7000000000000028</v>
      </c>
      <c r="G24" s="5">
        <f t="shared" si="5"/>
        <v>3.2000000000000028</v>
      </c>
      <c r="N24" s="11"/>
      <c r="O24" s="11"/>
    </row>
    <row r="25" spans="2:15" x14ac:dyDescent="0.15">
      <c r="C25" s="4" t="s">
        <v>11</v>
      </c>
      <c r="D25" s="5">
        <f t="shared" ref="D25:G25" si="6">D9</f>
        <v>1.2454360999999921</v>
      </c>
      <c r="E25" s="5">
        <f t="shared" si="6"/>
        <v>0.71078108000000384</v>
      </c>
      <c r="F25" s="5">
        <f t="shared" si="6"/>
        <v>2.2225508666659977</v>
      </c>
      <c r="G25" s="5">
        <f t="shared" si="6"/>
        <v>3.3035255966659918</v>
      </c>
      <c r="N25" s="11"/>
      <c r="O25" s="11"/>
    </row>
    <row r="26" spans="2:15" x14ac:dyDescent="0.15">
      <c r="C26" s="4" t="s">
        <v>41</v>
      </c>
      <c r="D26" s="5">
        <f t="shared" ref="D26:G26" si="7">D13</f>
        <v>2.6440158180400033</v>
      </c>
      <c r="E26" s="5">
        <f t="shared" si="7"/>
        <v>2.7209584904969972</v>
      </c>
      <c r="F26" s="5">
        <f t="shared" si="7"/>
        <v>1.2450681428809958</v>
      </c>
      <c r="G26" s="5">
        <f t="shared" si="7"/>
        <v>2.3254184288050084</v>
      </c>
      <c r="N26" s="11"/>
      <c r="O26" s="11"/>
    </row>
    <row r="27" spans="2:15" x14ac:dyDescent="0.15">
      <c r="C27" s="4" t="s">
        <v>21</v>
      </c>
      <c r="D27" s="5">
        <f t="shared" ref="D27:G27" si="8">D17</f>
        <v>2.3222034470999944</v>
      </c>
      <c r="E27" s="5">
        <f t="shared" si="8"/>
        <v>1.9120599384270065</v>
      </c>
      <c r="F27" s="5">
        <f t="shared" si="8"/>
        <v>0.61472446704898687</v>
      </c>
      <c r="G27" s="5">
        <f t="shared" si="8"/>
        <v>1.5666592131869947</v>
      </c>
      <c r="N27" s="11"/>
      <c r="O27" s="11"/>
    </row>
    <row r="28" spans="2:15" x14ac:dyDescent="0.15">
      <c r="C28" s="4" t="s">
        <v>14</v>
      </c>
      <c r="D28" s="5">
        <f t="shared" ref="D28:G28" si="9">D21</f>
        <v>2.1400000000000006</v>
      </c>
      <c r="E28" s="5">
        <f t="shared" si="9"/>
        <v>2.6799999999999926</v>
      </c>
      <c r="F28" s="5">
        <f t="shared" si="9"/>
        <v>2.8999999999999915</v>
      </c>
      <c r="G28" s="5">
        <f t="shared" si="9"/>
        <v>2</v>
      </c>
      <c r="N28" s="11"/>
      <c r="O28" s="11"/>
    </row>
    <row r="29" spans="2:15" x14ac:dyDescent="0.15">
      <c r="D29" s="4"/>
      <c r="F29" s="6"/>
      <c r="N29" s="11"/>
      <c r="O29" s="11"/>
    </row>
    <row r="30" spans="2:15" x14ac:dyDescent="0.15">
      <c r="D30" s="4"/>
      <c r="N30" s="11"/>
      <c r="O30" s="11"/>
    </row>
    <row r="31" spans="2:15" x14ac:dyDescent="0.15">
      <c r="B31" s="35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N31" s="11"/>
      <c r="O31" s="11"/>
    </row>
    <row r="32" spans="2:15" x14ac:dyDescent="0.15">
      <c r="B32" s="35"/>
      <c r="C32" s="4" t="s">
        <v>8</v>
      </c>
      <c r="D32" s="5">
        <f>D24-'202510'!H24</f>
        <v>-3.7000000000000171</v>
      </c>
      <c r="E32" s="5">
        <f>E24-'202512'!I24</f>
        <v>-2.6000000000000085</v>
      </c>
      <c r="F32" s="5">
        <f>F24-'202512'!J24</f>
        <v>0.20000000000000284</v>
      </c>
      <c r="G32" s="5">
        <f>G24-'202512'!K24</f>
        <v>0</v>
      </c>
      <c r="N32" s="11"/>
      <c r="O32" s="11"/>
    </row>
    <row r="33" spans="2:15" x14ac:dyDescent="0.15">
      <c r="B33" s="35"/>
      <c r="C33" s="4" t="s">
        <v>11</v>
      </c>
      <c r="D33" s="5">
        <f>D25-'202510'!H25</f>
        <v>-1.1645639000000045</v>
      </c>
      <c r="E33" s="5">
        <f>E25-'202512'!I25</f>
        <v>-1.2777122399999996</v>
      </c>
      <c r="F33" s="5">
        <f>F25-'202512'!J25</f>
        <v>0.4357184966659986</v>
      </c>
      <c r="G33" s="5">
        <f>G25-'202512'!K25</f>
        <v>1.0129251166659969</v>
      </c>
      <c r="N33" s="11"/>
      <c r="O33" s="11"/>
    </row>
    <row r="34" spans="2:15" x14ac:dyDescent="0.15">
      <c r="B34" s="35"/>
      <c r="C34" s="4" t="s">
        <v>41</v>
      </c>
      <c r="D34" s="5">
        <f>D26-'202510'!H26</f>
        <v>-0.61064610595599333</v>
      </c>
      <c r="E34" s="5">
        <f>E26-'202512'!I26</f>
        <v>0.43243397317499443</v>
      </c>
      <c r="F34" s="5">
        <f>F26-'202512'!J26</f>
        <v>0.41730638530000874</v>
      </c>
      <c r="G34" s="5">
        <f>G26-'202512'!K26</f>
        <v>0.71741039268701456</v>
      </c>
      <c r="N34" s="11"/>
      <c r="O34" s="11"/>
    </row>
    <row r="35" spans="2:15" x14ac:dyDescent="0.15">
      <c r="B35" s="35"/>
      <c r="C35" s="4" t="s">
        <v>21</v>
      </c>
      <c r="D35" s="5">
        <f>D27-'202510'!H27</f>
        <v>-1.3090856259869952</v>
      </c>
      <c r="E35" s="5">
        <f>E27-'202512'!I27</f>
        <v>-0.71076284775899978</v>
      </c>
      <c r="F35" s="5">
        <f>F27-'202512'!J27</f>
        <v>-0.7387587269670064</v>
      </c>
      <c r="G35" s="5">
        <f>G27-'202512'!K27</f>
        <v>-0.6710461575709985</v>
      </c>
      <c r="N35" s="11"/>
      <c r="O35" s="11"/>
    </row>
    <row r="36" spans="2:15" x14ac:dyDescent="0.15">
      <c r="B36" s="35"/>
      <c r="C36" s="4" t="s">
        <v>14</v>
      </c>
      <c r="D36" s="5">
        <f>D28-'202510'!H28</f>
        <v>-0.53866666666598917</v>
      </c>
      <c r="E36" s="5">
        <f>E28-'202512'!I28</f>
        <v>-0.99802617038099584</v>
      </c>
      <c r="F36" s="5">
        <f>F28-'202512'!J28</f>
        <v>-0.33297066255900631</v>
      </c>
      <c r="G36" s="5">
        <f>G28-'202512'!K28</f>
        <v>-1.5990753118800001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2:O36"/>
  <sheetViews>
    <sheetView workbookViewId="0">
      <selection activeCell="R27" sqref="R27"/>
    </sheetView>
  </sheetViews>
  <sheetFormatPr defaultColWidth="9" defaultRowHeight="13.5" x14ac:dyDescent="0.15"/>
  <cols>
    <col min="4" max="4" width="13" customWidth="1"/>
    <col min="5" max="6" width="12.625"/>
    <col min="7" max="7" width="11.5"/>
  </cols>
  <sheetData>
    <row r="2" spans="2:7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</row>
    <row r="3" spans="2:7" x14ac:dyDescent="0.15">
      <c r="B3" s="4"/>
      <c r="C3" s="4" t="s">
        <v>38</v>
      </c>
      <c r="D3" s="4">
        <v>103.6</v>
      </c>
      <c r="E3" s="4">
        <v>98.4</v>
      </c>
      <c r="F3" s="4">
        <v>107.8</v>
      </c>
      <c r="G3" s="4">
        <v>108.8</v>
      </c>
    </row>
    <row r="4" spans="2:7" x14ac:dyDescent="0.15">
      <c r="B4" s="4" t="s">
        <v>8</v>
      </c>
      <c r="C4" s="4" t="s">
        <v>39</v>
      </c>
      <c r="D4" s="4">
        <v>103.4</v>
      </c>
      <c r="E4" s="4">
        <v>102.1</v>
      </c>
      <c r="F4" s="4">
        <v>105.5</v>
      </c>
      <c r="G4" s="4">
        <v>106</v>
      </c>
    </row>
    <row r="5" spans="2:7" x14ac:dyDescent="0.15">
      <c r="B5" s="4"/>
      <c r="C5" s="4" t="s">
        <v>40</v>
      </c>
      <c r="D5" s="4">
        <f t="shared" ref="D5:G5" si="0">D3-D4</f>
        <v>0.19999999999998863</v>
      </c>
      <c r="E5" s="4">
        <f t="shared" si="0"/>
        <v>-3.6999999999999886</v>
      </c>
      <c r="F5" s="4">
        <f t="shared" si="0"/>
        <v>2.2999999999999972</v>
      </c>
      <c r="G5" s="4">
        <f t="shared" si="0"/>
        <v>2.7999999999999972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5">
        <v>104.04003607600001</v>
      </c>
      <c r="E7" s="5">
        <v>99.175287862000005</v>
      </c>
      <c r="F7" s="5">
        <v>105.714590593333</v>
      </c>
      <c r="G7" s="5">
        <v>108.2297374</v>
      </c>
    </row>
    <row r="8" spans="2:7" x14ac:dyDescent="0.15">
      <c r="B8" s="4"/>
      <c r="C8" s="4" t="s">
        <v>39</v>
      </c>
      <c r="D8" s="5">
        <v>103.526218553333</v>
      </c>
      <c r="E8" s="5">
        <v>104.27048134</v>
      </c>
      <c r="F8" s="5">
        <v>105.410597653333</v>
      </c>
      <c r="G8" s="5">
        <v>105.069466476667</v>
      </c>
    </row>
    <row r="9" spans="2:7" x14ac:dyDescent="0.15">
      <c r="B9" s="4"/>
      <c r="C9" s="4" t="s">
        <v>40</v>
      </c>
      <c r="D9" s="5">
        <f t="shared" ref="D9:G9" si="1">D7-D8</f>
        <v>0.51381752266701142</v>
      </c>
      <c r="E9" s="5">
        <f t="shared" si="1"/>
        <v>-5.0951934779999988</v>
      </c>
      <c r="F9" s="5">
        <f t="shared" si="1"/>
        <v>0.30399294000000054</v>
      </c>
      <c r="G9" s="5">
        <f t="shared" si="1"/>
        <v>3.1602709233330017</v>
      </c>
    </row>
    <row r="10" spans="2:7" x14ac:dyDescent="0.15">
      <c r="B10" s="4"/>
      <c r="C10" s="4"/>
      <c r="D10" s="5"/>
      <c r="E10" s="4"/>
      <c r="F10" s="4"/>
      <c r="G10" s="4"/>
    </row>
    <row r="11" spans="2:7" x14ac:dyDescent="0.15">
      <c r="B11" s="4"/>
      <c r="C11" s="4" t="s">
        <v>38</v>
      </c>
      <c r="D11" s="5">
        <v>104.247104797932</v>
      </c>
      <c r="E11" s="5">
        <v>97.527958070761599</v>
      </c>
      <c r="F11" s="5">
        <v>105.038161283668</v>
      </c>
      <c r="G11" s="5">
        <v>108.598516578545</v>
      </c>
    </row>
    <row r="12" spans="2:7" x14ac:dyDescent="0.15">
      <c r="B12" s="4" t="s">
        <v>41</v>
      </c>
      <c r="C12" s="4" t="s">
        <v>39</v>
      </c>
      <c r="D12" s="5">
        <v>104.822790317768</v>
      </c>
      <c r="E12" s="5">
        <v>100.637458824516</v>
      </c>
      <c r="F12" s="5">
        <v>104.939674394433</v>
      </c>
      <c r="G12" s="5">
        <v>105.833410004546</v>
      </c>
    </row>
    <row r="13" spans="2:7" x14ac:dyDescent="0.15">
      <c r="B13" s="4"/>
      <c r="C13" s="4" t="s">
        <v>40</v>
      </c>
      <c r="D13" s="5">
        <f t="shared" ref="D13:G13" si="2">D11-D12</f>
        <v>-0.57568551983600003</v>
      </c>
      <c r="E13" s="5">
        <f t="shared" si="2"/>
        <v>-3.1095007537544035</v>
      </c>
      <c r="F13" s="5">
        <f t="shared" si="2"/>
        <v>9.8486889235005037E-2</v>
      </c>
      <c r="G13" s="5">
        <f t="shared" si="2"/>
        <v>2.7651065739990059</v>
      </c>
    </row>
    <row r="14" spans="2:7" x14ac:dyDescent="0.15">
      <c r="B14" s="4"/>
      <c r="C14" s="4"/>
      <c r="D14" s="5"/>
      <c r="E14" s="4"/>
      <c r="F14" s="4"/>
      <c r="G14" s="4"/>
    </row>
    <row r="15" spans="2:7" x14ac:dyDescent="0.15">
      <c r="B15" s="4"/>
      <c r="C15" s="4" t="s">
        <v>38</v>
      </c>
      <c r="D15" s="5">
        <v>103.987099344282</v>
      </c>
      <c r="E15" s="5">
        <v>101.19244394848199</v>
      </c>
      <c r="F15" s="5">
        <v>107.759204226805</v>
      </c>
      <c r="G15" s="5">
        <v>109.152981448266</v>
      </c>
    </row>
    <row r="16" spans="2:7" x14ac:dyDescent="0.15">
      <c r="B16" s="4" t="s">
        <v>21</v>
      </c>
      <c r="C16" s="4" t="s">
        <v>39</v>
      </c>
      <c r="D16" s="5">
        <v>102.964</v>
      </c>
      <c r="E16" s="5">
        <v>102.337</v>
      </c>
      <c r="F16" s="5">
        <v>106.122</v>
      </c>
      <c r="G16" s="5">
        <v>106.651</v>
      </c>
    </row>
    <row r="17" spans="2:15" x14ac:dyDescent="0.15">
      <c r="B17" s="4"/>
      <c r="C17" s="4" t="s">
        <v>40</v>
      </c>
      <c r="D17" s="5">
        <f t="shared" ref="D17:G17" si="3">D15-D16</f>
        <v>1.0230993442820022</v>
      </c>
      <c r="E17" s="5">
        <f t="shared" si="3"/>
        <v>-1.1445560515180091</v>
      </c>
      <c r="F17" s="5">
        <f t="shared" si="3"/>
        <v>1.6372042268049967</v>
      </c>
      <c r="G17" s="5">
        <f t="shared" si="3"/>
        <v>2.5019814482660081</v>
      </c>
    </row>
    <row r="18" spans="2:15" x14ac:dyDescent="0.15">
      <c r="B18" s="4"/>
      <c r="C18" s="4"/>
      <c r="D18" s="5"/>
      <c r="E18" s="4"/>
      <c r="F18" s="4"/>
      <c r="G18" s="4"/>
    </row>
    <row r="19" spans="2:15" x14ac:dyDescent="0.15">
      <c r="B19" s="4" t="s">
        <v>14</v>
      </c>
      <c r="C19" s="4" t="s">
        <v>38</v>
      </c>
      <c r="D19" s="9">
        <v>104.07</v>
      </c>
      <c r="E19" s="9">
        <v>101.65</v>
      </c>
      <c r="F19" s="9">
        <v>109.09</v>
      </c>
      <c r="G19" s="9">
        <v>109.63</v>
      </c>
    </row>
    <row r="20" spans="2:15" x14ac:dyDescent="0.15">
      <c r="B20" s="4"/>
      <c r="C20" s="4" t="s">
        <v>39</v>
      </c>
      <c r="D20" s="9">
        <v>104.42</v>
      </c>
      <c r="E20" s="9">
        <v>103.65</v>
      </c>
      <c r="F20" s="9">
        <v>106.07</v>
      </c>
      <c r="G20" s="9">
        <v>107.58</v>
      </c>
    </row>
    <row r="21" spans="2:15" x14ac:dyDescent="0.15">
      <c r="B21" s="4"/>
      <c r="C21" s="4" t="s">
        <v>40</v>
      </c>
      <c r="D21" s="5">
        <f t="shared" ref="D21:G21" si="4">D19-D20</f>
        <v>-0.35000000000000853</v>
      </c>
      <c r="E21" s="5">
        <f t="shared" si="4"/>
        <v>-2</v>
      </c>
      <c r="F21" s="5">
        <f t="shared" si="4"/>
        <v>3.0200000000000102</v>
      </c>
      <c r="G21" s="5">
        <f t="shared" si="4"/>
        <v>2.0499999999999972</v>
      </c>
    </row>
    <row r="22" spans="2:15" x14ac:dyDescent="0.15">
      <c r="C22" s="4"/>
      <c r="D22" s="4"/>
      <c r="F22" s="10"/>
    </row>
    <row r="23" spans="2:15" x14ac:dyDescent="0.15">
      <c r="C23" s="3"/>
      <c r="D23" s="3" t="s">
        <v>43</v>
      </c>
      <c r="E23" s="3" t="s">
        <v>44</v>
      </c>
      <c r="F23" s="3" t="s">
        <v>45</v>
      </c>
      <c r="G23" s="3" t="s">
        <v>46</v>
      </c>
      <c r="N23" s="11"/>
      <c r="O23" s="11"/>
    </row>
    <row r="24" spans="2:15" x14ac:dyDescent="0.15">
      <c r="C24" s="4" t="s">
        <v>8</v>
      </c>
      <c r="D24" s="5">
        <f t="shared" ref="D24:G24" si="5">D5</f>
        <v>0.19999999999998863</v>
      </c>
      <c r="E24" s="5">
        <f t="shared" si="5"/>
        <v>-3.6999999999999886</v>
      </c>
      <c r="F24" s="5">
        <f t="shared" si="5"/>
        <v>2.2999999999999972</v>
      </c>
      <c r="G24" s="5">
        <f t="shared" si="5"/>
        <v>2.7999999999999972</v>
      </c>
      <c r="N24" s="11"/>
      <c r="O24" s="11"/>
    </row>
    <row r="25" spans="2:15" x14ac:dyDescent="0.15">
      <c r="C25" s="4" t="s">
        <v>11</v>
      </c>
      <c r="D25" s="5">
        <f t="shared" ref="D25:G25" si="6">D9</f>
        <v>0.51381752266701142</v>
      </c>
      <c r="E25" s="5">
        <f t="shared" si="6"/>
        <v>-5.0951934779999988</v>
      </c>
      <c r="F25" s="5">
        <f t="shared" si="6"/>
        <v>0.30399294000000054</v>
      </c>
      <c r="G25" s="5">
        <f t="shared" si="6"/>
        <v>3.1602709233330017</v>
      </c>
      <c r="N25" s="11"/>
      <c r="O25" s="11"/>
    </row>
    <row r="26" spans="2:15" x14ac:dyDescent="0.15">
      <c r="C26" s="4" t="s">
        <v>41</v>
      </c>
      <c r="D26" s="5">
        <f t="shared" ref="D26:G26" si="7">D13</f>
        <v>-0.57568551983600003</v>
      </c>
      <c r="E26" s="5">
        <f t="shared" si="7"/>
        <v>-3.1095007537544035</v>
      </c>
      <c r="F26" s="5">
        <f t="shared" si="7"/>
        <v>9.8486889235005037E-2</v>
      </c>
      <c r="G26" s="5">
        <f t="shared" si="7"/>
        <v>2.7651065739990059</v>
      </c>
      <c r="N26" s="11"/>
      <c r="O26" s="11"/>
    </row>
    <row r="27" spans="2:15" x14ac:dyDescent="0.15">
      <c r="C27" s="4" t="s">
        <v>21</v>
      </c>
      <c r="D27" s="5">
        <f t="shared" ref="D27:G27" si="8">D17</f>
        <v>1.0230993442820022</v>
      </c>
      <c r="E27" s="5">
        <f t="shared" si="8"/>
        <v>-1.1445560515180091</v>
      </c>
      <c r="F27" s="5">
        <f t="shared" si="8"/>
        <v>1.6372042268049967</v>
      </c>
      <c r="G27" s="5">
        <f t="shared" si="8"/>
        <v>2.5019814482660081</v>
      </c>
      <c r="N27" s="11"/>
      <c r="O27" s="11"/>
    </row>
    <row r="28" spans="2:15" x14ac:dyDescent="0.15">
      <c r="C28" s="4" t="s">
        <v>14</v>
      </c>
      <c r="D28" s="5">
        <f t="shared" ref="D28:G28" si="9">D21</f>
        <v>-0.35000000000000853</v>
      </c>
      <c r="E28" s="5">
        <f t="shared" si="9"/>
        <v>-2</v>
      </c>
      <c r="F28" s="5">
        <f t="shared" si="9"/>
        <v>3.0200000000000102</v>
      </c>
      <c r="G28" s="5">
        <f t="shared" si="9"/>
        <v>2.0499999999999972</v>
      </c>
      <c r="N28" s="11"/>
      <c r="O28" s="11"/>
    </row>
    <row r="29" spans="2:15" x14ac:dyDescent="0.15">
      <c r="D29" s="4"/>
      <c r="F29" s="6"/>
      <c r="N29" s="11"/>
      <c r="O29" s="11"/>
    </row>
    <row r="30" spans="2:15" x14ac:dyDescent="0.15">
      <c r="D30" s="4"/>
      <c r="N30" s="11"/>
      <c r="O30" s="11"/>
    </row>
    <row r="31" spans="2:15" x14ac:dyDescent="0.15">
      <c r="B31" s="35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N31" s="11"/>
      <c r="O31" s="11"/>
    </row>
    <row r="32" spans="2:15" x14ac:dyDescent="0.15">
      <c r="B32" s="35"/>
      <c r="C32" s="4" t="s">
        <v>8</v>
      </c>
      <c r="D32" s="5">
        <f>D24-'202510'!H24</f>
        <v>-4.1000000000000227</v>
      </c>
      <c r="E32" s="5">
        <f>E24-'202512'!I24</f>
        <v>-8.3999999999999915</v>
      </c>
      <c r="F32" s="5">
        <f>F24-'202512'!J24</f>
        <v>-1.2000000000000028</v>
      </c>
      <c r="G32" s="5">
        <f>G24-'202512'!K24</f>
        <v>-0.40000000000000568</v>
      </c>
      <c r="N32" s="11"/>
      <c r="O32" s="11"/>
    </row>
    <row r="33" spans="2:15" x14ac:dyDescent="0.15">
      <c r="B33" s="35"/>
      <c r="C33" s="4" t="s">
        <v>11</v>
      </c>
      <c r="D33" s="5">
        <f>D25-'202510'!H25</f>
        <v>-1.8961824773329852</v>
      </c>
      <c r="E33" s="5">
        <f>E25-'202512'!I25</f>
        <v>-7.0836867980000022</v>
      </c>
      <c r="F33" s="5">
        <f>F25-'202512'!J25</f>
        <v>-1.4828394299999985</v>
      </c>
      <c r="G33" s="5">
        <f>G25-'202512'!K25</f>
        <v>0.86967044333300692</v>
      </c>
      <c r="N33" s="11"/>
      <c r="O33" s="11"/>
    </row>
    <row r="34" spans="2:15" x14ac:dyDescent="0.15">
      <c r="B34" s="35"/>
      <c r="C34" s="4" t="s">
        <v>41</v>
      </c>
      <c r="D34" s="5">
        <f>D26-'202510'!H26</f>
        <v>-3.8303474438319967</v>
      </c>
      <c r="E34" s="5">
        <f>E26-'202512'!I26</f>
        <v>-5.3980252710764063</v>
      </c>
      <c r="F34" s="5">
        <f>F26-'202512'!J26</f>
        <v>-0.72927486834598199</v>
      </c>
      <c r="G34" s="5">
        <f>G26-'202512'!K26</f>
        <v>1.1570985378810121</v>
      </c>
      <c r="N34" s="11"/>
      <c r="O34" s="11"/>
    </row>
    <row r="35" spans="2:15" x14ac:dyDescent="0.15">
      <c r="B35" s="35"/>
      <c r="C35" s="4" t="s">
        <v>21</v>
      </c>
      <c r="D35" s="5">
        <f>D27-'202510'!H27</f>
        <v>-2.6081897288049873</v>
      </c>
      <c r="E35" s="5">
        <f>E27-'202512'!I27</f>
        <v>-3.7673788377040154</v>
      </c>
      <c r="F35" s="5">
        <f>F27-'202512'!J27</f>
        <v>0.2837210327890034</v>
      </c>
      <c r="G35" s="5">
        <f>G27-'202512'!K27</f>
        <v>0.26427607750801485</v>
      </c>
      <c r="N35" s="11"/>
      <c r="O35" s="11"/>
    </row>
    <row r="36" spans="2:15" x14ac:dyDescent="0.15">
      <c r="B36" s="35"/>
      <c r="C36" s="4" t="s">
        <v>14</v>
      </c>
      <c r="D36" s="5">
        <f>D28-'202510'!H28</f>
        <v>-3.0286666666659983</v>
      </c>
      <c r="E36" s="5">
        <f>E28-'202512'!I28</f>
        <v>-5.6780261703809884</v>
      </c>
      <c r="F36" s="5">
        <f>F28-'202512'!J28</f>
        <v>-0.21297066255898756</v>
      </c>
      <c r="G36" s="5">
        <f>G28-'202512'!K28</f>
        <v>-1.5490753118800029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2:O36"/>
  <sheetViews>
    <sheetView tabSelected="1" workbookViewId="0">
      <selection activeCell="P15" sqref="P15"/>
    </sheetView>
  </sheetViews>
  <sheetFormatPr defaultColWidth="9" defaultRowHeight="13.5" x14ac:dyDescent="0.15"/>
  <cols>
    <col min="4" max="4" width="13" customWidth="1"/>
    <col min="5" max="6" width="12.625"/>
    <col min="7" max="7" width="11.5"/>
  </cols>
  <sheetData>
    <row r="2" spans="2:7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</row>
    <row r="3" spans="2:7" x14ac:dyDescent="0.15">
      <c r="B3" s="4"/>
      <c r="C3" s="4" t="s">
        <v>38</v>
      </c>
      <c r="D3" s="4">
        <v>103.6</v>
      </c>
      <c r="E3" s="4">
        <v>95.3</v>
      </c>
      <c r="F3" s="4">
        <v>102.9</v>
      </c>
      <c r="G3" s="4">
        <v>107.2</v>
      </c>
    </row>
    <row r="4" spans="2:7" x14ac:dyDescent="0.15">
      <c r="B4" s="4" t="s">
        <v>8</v>
      </c>
      <c r="C4" s="4" t="s">
        <v>39</v>
      </c>
      <c r="D4" s="4">
        <v>104.3</v>
      </c>
      <c r="E4" s="4">
        <v>101.3</v>
      </c>
      <c r="F4" s="4">
        <v>104.8</v>
      </c>
      <c r="G4" s="4">
        <v>105.7</v>
      </c>
    </row>
    <row r="5" spans="2:7" x14ac:dyDescent="0.15">
      <c r="B5" s="4"/>
      <c r="C5" s="4" t="s">
        <v>40</v>
      </c>
      <c r="D5" s="4">
        <f t="shared" ref="D5:G5" si="0">D3-D4</f>
        <v>-0.70000000000000284</v>
      </c>
      <c r="E5" s="4">
        <f t="shared" si="0"/>
        <v>-6</v>
      </c>
      <c r="F5" s="4">
        <f t="shared" si="0"/>
        <v>-1.8999999999999915</v>
      </c>
      <c r="G5" s="4">
        <f t="shared" si="0"/>
        <v>1.5</v>
      </c>
    </row>
    <row r="6" spans="2:7" x14ac:dyDescent="0.15">
      <c r="B6" s="4"/>
      <c r="C6" s="4"/>
      <c r="D6" s="4"/>
      <c r="E6" s="4"/>
      <c r="F6" s="4"/>
      <c r="G6" s="4"/>
    </row>
    <row r="7" spans="2:7" x14ac:dyDescent="0.15">
      <c r="B7" s="4" t="s">
        <v>11</v>
      </c>
      <c r="C7" s="4" t="s">
        <v>38</v>
      </c>
      <c r="D7" s="5">
        <v>103.98975086933299</v>
      </c>
      <c r="E7" s="5">
        <v>95.399559954666699</v>
      </c>
      <c r="F7" s="5">
        <v>100.544888992</v>
      </c>
      <c r="G7" s="5">
        <v>106.632477713333</v>
      </c>
    </row>
    <row r="8" spans="2:7" x14ac:dyDescent="0.15">
      <c r="B8" s="4"/>
      <c r="C8" s="4" t="s">
        <v>39</v>
      </c>
      <c r="D8" s="5">
        <v>103.208457353333</v>
      </c>
      <c r="E8" s="5">
        <v>103.867219896667</v>
      </c>
      <c r="F8" s="5">
        <v>104.94184486</v>
      </c>
      <c r="G8" s="5">
        <v>104.63050923</v>
      </c>
    </row>
    <row r="9" spans="2:7" x14ac:dyDescent="0.15">
      <c r="B9" s="4"/>
      <c r="C9" s="4" t="s">
        <v>40</v>
      </c>
      <c r="D9" s="5">
        <f t="shared" ref="D9:G9" si="1">D7-D8</f>
        <v>0.78129351599999097</v>
      </c>
      <c r="E9" s="5">
        <f t="shared" si="1"/>
        <v>-8.4676599420002958</v>
      </c>
      <c r="F9" s="5">
        <f t="shared" si="1"/>
        <v>-4.3969558680000063</v>
      </c>
      <c r="G9" s="5">
        <f t="shared" si="1"/>
        <v>2.0019684833330018</v>
      </c>
    </row>
    <row r="10" spans="2:7" x14ac:dyDescent="0.15">
      <c r="B10" s="4"/>
      <c r="C10" s="4"/>
      <c r="D10" s="5"/>
      <c r="E10" s="4"/>
      <c r="F10" s="4"/>
      <c r="G10" s="4"/>
    </row>
    <row r="11" spans="2:7" x14ac:dyDescent="0.15">
      <c r="B11" s="4"/>
      <c r="C11" s="4" t="s">
        <v>38</v>
      </c>
      <c r="D11" s="5">
        <v>103.966355154437</v>
      </c>
      <c r="E11" s="5">
        <v>95.002450267264607</v>
      </c>
      <c r="F11" s="5">
        <v>98.423281841128002</v>
      </c>
      <c r="G11" s="5">
        <v>105.230445756381</v>
      </c>
    </row>
    <row r="12" spans="2:7" x14ac:dyDescent="0.15">
      <c r="B12" s="4" t="s">
        <v>41</v>
      </c>
      <c r="C12" s="4" t="s">
        <v>39</v>
      </c>
      <c r="D12" s="5">
        <v>104.99019811725201</v>
      </c>
      <c r="E12" s="5">
        <v>100.985342615626</v>
      </c>
      <c r="F12" s="5">
        <v>103.264669036329</v>
      </c>
      <c r="G12" s="5">
        <v>105.205657015722</v>
      </c>
    </row>
    <row r="13" spans="2:7" x14ac:dyDescent="0.15">
      <c r="B13" s="4"/>
      <c r="C13" s="4" t="s">
        <v>40</v>
      </c>
      <c r="D13" s="5">
        <f t="shared" ref="D13:G13" si="2">D11-D12</f>
        <v>-1.0238429628150101</v>
      </c>
      <c r="E13" s="5">
        <f t="shared" si="2"/>
        <v>-5.9828923483613892</v>
      </c>
      <c r="F13" s="5">
        <f t="shared" si="2"/>
        <v>-4.8413871952009941</v>
      </c>
      <c r="G13" s="5">
        <f t="shared" si="2"/>
        <v>2.4788740659005271E-2</v>
      </c>
    </row>
    <row r="14" spans="2:7" x14ac:dyDescent="0.15">
      <c r="B14" s="4"/>
      <c r="C14" s="4"/>
      <c r="D14" s="5"/>
      <c r="E14" s="4"/>
      <c r="F14" s="4"/>
      <c r="G14" s="4"/>
    </row>
    <row r="15" spans="2:7" x14ac:dyDescent="0.15">
      <c r="B15" s="4"/>
      <c r="C15" s="4" t="s">
        <v>38</v>
      </c>
      <c r="D15" s="5">
        <v>104.039951903857</v>
      </c>
      <c r="E15" s="5">
        <v>97.946888295691096</v>
      </c>
      <c r="F15" s="5">
        <v>104.382460250207</v>
      </c>
      <c r="G15" s="5">
        <v>107.36855882291501</v>
      </c>
    </row>
    <row r="16" spans="2:7" x14ac:dyDescent="0.15">
      <c r="B16" s="4" t="s">
        <v>21</v>
      </c>
      <c r="C16" s="4" t="s">
        <v>39</v>
      </c>
      <c r="D16" s="5">
        <v>103.27</v>
      </c>
      <c r="E16" s="5">
        <v>101.33799999999999</v>
      </c>
      <c r="F16" s="5">
        <v>105.85899999999999</v>
      </c>
      <c r="G16" s="5">
        <v>106.54</v>
      </c>
    </row>
    <row r="17" spans="2:15" x14ac:dyDescent="0.15">
      <c r="B17" s="4"/>
      <c r="C17" s="4" t="s">
        <v>40</v>
      </c>
      <c r="D17" s="5">
        <f t="shared" ref="D17:G17" si="3">D15-D16</f>
        <v>0.76995190385700596</v>
      </c>
      <c r="E17" s="5">
        <f t="shared" si="3"/>
        <v>-3.3911117043088979</v>
      </c>
      <c r="F17" s="5">
        <f t="shared" si="3"/>
        <v>-1.4765397497929911</v>
      </c>
      <c r="G17" s="5">
        <f t="shared" si="3"/>
        <v>0.82855882291499938</v>
      </c>
    </row>
    <row r="18" spans="2:15" x14ac:dyDescent="0.15">
      <c r="B18" s="4"/>
      <c r="C18" s="4"/>
      <c r="D18" s="5"/>
      <c r="E18" s="4"/>
      <c r="F18" s="4"/>
      <c r="G18" s="4"/>
    </row>
    <row r="19" spans="2:15" x14ac:dyDescent="0.15">
      <c r="B19" s="4" t="s">
        <v>14</v>
      </c>
      <c r="C19" s="4" t="s">
        <v>38</v>
      </c>
      <c r="D19" s="9">
        <v>103.05</v>
      </c>
      <c r="E19" s="9">
        <v>96.51</v>
      </c>
      <c r="F19" s="9">
        <v>107.25</v>
      </c>
      <c r="G19" s="9">
        <v>110.21</v>
      </c>
    </row>
    <row r="20" spans="2:15" x14ac:dyDescent="0.15">
      <c r="B20" s="4"/>
      <c r="C20" s="4" t="s">
        <v>39</v>
      </c>
      <c r="D20" s="9">
        <v>104.91</v>
      </c>
      <c r="E20" s="9">
        <v>103.18</v>
      </c>
      <c r="F20" s="9">
        <v>105.63</v>
      </c>
      <c r="G20" s="9">
        <v>107.53</v>
      </c>
    </row>
    <row r="21" spans="2:15" x14ac:dyDescent="0.15">
      <c r="B21" s="4"/>
      <c r="C21" s="4" t="s">
        <v>40</v>
      </c>
      <c r="D21" s="5">
        <f t="shared" ref="D21:G21" si="4">D19-D20</f>
        <v>-1.8599999999999994</v>
      </c>
      <c r="E21" s="5">
        <f t="shared" si="4"/>
        <v>-6.6700000000000017</v>
      </c>
      <c r="F21" s="5">
        <f t="shared" si="4"/>
        <v>1.6200000000000045</v>
      </c>
      <c r="G21" s="5">
        <f t="shared" si="4"/>
        <v>2.6799999999999926</v>
      </c>
    </row>
    <row r="22" spans="2:15" x14ac:dyDescent="0.15">
      <c r="C22" s="4"/>
      <c r="D22" s="4"/>
      <c r="F22" s="10"/>
    </row>
    <row r="23" spans="2:15" x14ac:dyDescent="0.15">
      <c r="C23" s="3"/>
      <c r="D23" s="3" t="s">
        <v>43</v>
      </c>
      <c r="E23" s="3" t="s">
        <v>44</v>
      </c>
      <c r="F23" s="3" t="s">
        <v>45</v>
      </c>
      <c r="G23" s="3" t="s">
        <v>46</v>
      </c>
      <c r="N23" s="11"/>
      <c r="O23" s="11"/>
    </row>
    <row r="24" spans="2:15" x14ac:dyDescent="0.15">
      <c r="C24" s="4" t="s">
        <v>8</v>
      </c>
      <c r="D24" s="5">
        <f t="shared" ref="D24:G24" si="5">D5</f>
        <v>-0.70000000000000284</v>
      </c>
      <c r="E24" s="5">
        <f t="shared" si="5"/>
        <v>-6</v>
      </c>
      <c r="F24" s="5">
        <f t="shared" si="5"/>
        <v>-1.8999999999999915</v>
      </c>
      <c r="G24" s="5">
        <f t="shared" si="5"/>
        <v>1.5</v>
      </c>
      <c r="N24" s="11"/>
      <c r="O24" s="11"/>
    </row>
    <row r="25" spans="2:15" x14ac:dyDescent="0.15">
      <c r="C25" s="4" t="s">
        <v>11</v>
      </c>
      <c r="D25" s="5">
        <f t="shared" ref="D25:G25" si="6">D9</f>
        <v>0.78129351599999097</v>
      </c>
      <c r="E25" s="5">
        <f t="shared" si="6"/>
        <v>-8.4676599420002958</v>
      </c>
      <c r="F25" s="5">
        <f t="shared" si="6"/>
        <v>-4.3969558680000063</v>
      </c>
      <c r="G25" s="5">
        <f t="shared" si="6"/>
        <v>2.0019684833330018</v>
      </c>
      <c r="N25" s="11"/>
      <c r="O25" s="11"/>
    </row>
    <row r="26" spans="2:15" x14ac:dyDescent="0.15">
      <c r="C26" s="4" t="s">
        <v>41</v>
      </c>
      <c r="D26" s="5">
        <f t="shared" ref="D26:G26" si="7">D13</f>
        <v>-1.0238429628150101</v>
      </c>
      <c r="E26" s="5">
        <f t="shared" si="7"/>
        <v>-5.9828923483613892</v>
      </c>
      <c r="F26" s="5">
        <f t="shared" si="7"/>
        <v>-4.8413871952009941</v>
      </c>
      <c r="G26" s="5">
        <f t="shared" si="7"/>
        <v>2.4788740659005271E-2</v>
      </c>
      <c r="N26" s="11"/>
      <c r="O26" s="11"/>
    </row>
    <row r="27" spans="2:15" x14ac:dyDescent="0.15">
      <c r="C27" s="4" t="s">
        <v>21</v>
      </c>
      <c r="D27" s="5">
        <f t="shared" ref="D27:G27" si="8">D17</f>
        <v>0.76995190385700596</v>
      </c>
      <c r="E27" s="5">
        <f t="shared" si="8"/>
        <v>-3.3911117043088979</v>
      </c>
      <c r="F27" s="5">
        <f t="shared" si="8"/>
        <v>-1.4765397497929911</v>
      </c>
      <c r="G27" s="5">
        <f t="shared" si="8"/>
        <v>0.82855882291499938</v>
      </c>
      <c r="N27" s="11"/>
      <c r="O27" s="11"/>
    </row>
    <row r="28" spans="2:15" x14ac:dyDescent="0.15">
      <c r="C28" s="4" t="s">
        <v>14</v>
      </c>
      <c r="D28" s="5">
        <f t="shared" ref="D28:G28" si="9">D21</f>
        <v>-1.8599999999999994</v>
      </c>
      <c r="E28" s="5">
        <f t="shared" si="9"/>
        <v>-6.6700000000000017</v>
      </c>
      <c r="F28" s="5">
        <f t="shared" si="9"/>
        <v>1.6200000000000045</v>
      </c>
      <c r="G28" s="5">
        <f t="shared" si="9"/>
        <v>2.6799999999999926</v>
      </c>
      <c r="N28" s="11"/>
      <c r="O28" s="11"/>
    </row>
    <row r="29" spans="2:15" x14ac:dyDescent="0.15">
      <c r="D29" s="4"/>
      <c r="F29" s="6"/>
      <c r="N29" s="11"/>
      <c r="O29" s="11"/>
    </row>
    <row r="30" spans="2:15" x14ac:dyDescent="0.15">
      <c r="D30" s="4"/>
      <c r="N30" s="11"/>
      <c r="O30" s="11"/>
    </row>
    <row r="31" spans="2:15" x14ac:dyDescent="0.15">
      <c r="B31" s="35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N31" s="11"/>
      <c r="O31" s="11"/>
    </row>
    <row r="32" spans="2:15" x14ac:dyDescent="0.15">
      <c r="B32" s="35"/>
      <c r="C32" s="4" t="s">
        <v>8</v>
      </c>
      <c r="D32" s="5">
        <f>D24-'202605'!D24</f>
        <v>-0.89999999999999147</v>
      </c>
      <c r="E32" s="5">
        <f>E24-'202605'!E24</f>
        <v>-2.3000000000000114</v>
      </c>
      <c r="F32" s="5">
        <f>F24-'202605'!F24</f>
        <v>-4.1999999999999886</v>
      </c>
      <c r="G32" s="5">
        <f>G24-'202605'!G24</f>
        <v>-1.2999999999999972</v>
      </c>
      <c r="N32" s="11"/>
      <c r="O32" s="11"/>
    </row>
    <row r="33" spans="2:15" x14ac:dyDescent="0.15">
      <c r="B33" s="35"/>
      <c r="C33" s="4" t="s">
        <v>11</v>
      </c>
      <c r="D33" s="5">
        <f>D25-'202605'!D25</f>
        <v>0.26747599333297956</v>
      </c>
      <c r="E33" s="5">
        <f>E25-'202605'!E25</f>
        <v>-3.372466464000297</v>
      </c>
      <c r="F33" s="5">
        <f>F25-'202605'!F25</f>
        <v>-4.7009488080000068</v>
      </c>
      <c r="G33" s="5">
        <f>G25-'202605'!G25</f>
        <v>-1.1583024399999999</v>
      </c>
      <c r="N33" s="11"/>
      <c r="O33" s="11"/>
    </row>
    <row r="34" spans="2:15" x14ac:dyDescent="0.15">
      <c r="B34" s="35"/>
      <c r="C34" s="4" t="s">
        <v>41</v>
      </c>
      <c r="D34" s="5">
        <f>D26-'202605'!D26</f>
        <v>-0.44815744297901006</v>
      </c>
      <c r="E34" s="5">
        <f>E26-'202605'!E26</f>
        <v>-2.8733915946069857</v>
      </c>
      <c r="F34" s="5">
        <f>F26-'202605'!F26</f>
        <v>-4.9398740844359992</v>
      </c>
      <c r="G34" s="5">
        <f>G26-'202605'!G26</f>
        <v>-2.7403178333400007</v>
      </c>
      <c r="N34" s="11"/>
      <c r="O34" s="11"/>
    </row>
    <row r="35" spans="2:15" x14ac:dyDescent="0.15">
      <c r="B35" s="35"/>
      <c r="C35" s="4" t="s">
        <v>21</v>
      </c>
      <c r="D35" s="5">
        <f>D27-'202605'!D27</f>
        <v>-0.25314744042499626</v>
      </c>
      <c r="E35" s="5">
        <f>E27-'202605'!E27</f>
        <v>-2.2465556527908888</v>
      </c>
      <c r="F35" s="5">
        <f>F27-'202605'!F27</f>
        <v>-3.1137439765979877</v>
      </c>
      <c r="G35" s="5">
        <f>G27-'202605'!G27</f>
        <v>-1.6734226253510087</v>
      </c>
      <c r="N35" s="11"/>
      <c r="O35" s="11"/>
    </row>
    <row r="36" spans="2:15" x14ac:dyDescent="0.15">
      <c r="B36" s="35"/>
      <c r="C36" s="4" t="s">
        <v>14</v>
      </c>
      <c r="D36" s="5">
        <f>D28-'202605'!D28</f>
        <v>-1.5099999999999909</v>
      </c>
      <c r="E36" s="5">
        <f>E28-'202605'!E28</f>
        <v>-4.6700000000000017</v>
      </c>
      <c r="F36" s="5">
        <f>F28-'202605'!F28</f>
        <v>-1.4000000000000057</v>
      </c>
      <c r="G36" s="5">
        <f>G28-'202605'!G28</f>
        <v>0.62999999999999545</v>
      </c>
    </row>
  </sheetData>
  <mergeCells count="1">
    <mergeCell ref="B31:B36"/>
  </mergeCells>
  <phoneticPr fontId="19" type="noConversion"/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829"/>
  <dimension ref="B2:K28"/>
  <sheetViews>
    <sheetView workbookViewId="0">
      <selection activeCell="L30" sqref="L30"/>
    </sheetView>
  </sheetViews>
  <sheetFormatPr defaultColWidth="9" defaultRowHeight="13.5" x14ac:dyDescent="0.15"/>
  <cols>
    <col min="4" max="4" width="12.625"/>
    <col min="5" max="7" width="13.75"/>
    <col min="12" max="16" width="12.625"/>
    <col min="18" max="18" width="12.625"/>
  </cols>
  <sheetData>
    <row r="2" spans="2:11" x14ac:dyDescent="0.15">
      <c r="B2" s="3"/>
      <c r="C2" s="3"/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</row>
    <row r="3" spans="2:11" x14ac:dyDescent="0.15">
      <c r="B3" s="4"/>
      <c r="C3" s="4" t="s">
        <v>38</v>
      </c>
      <c r="D3" s="4">
        <v>107.9</v>
      </c>
      <c r="E3">
        <v>108.6</v>
      </c>
      <c r="F3">
        <v>109.1</v>
      </c>
      <c r="G3">
        <v>108.8</v>
      </c>
    </row>
    <row r="4" spans="2:11" x14ac:dyDescent="0.15">
      <c r="B4" s="4" t="s">
        <v>8</v>
      </c>
      <c r="C4" s="4" t="s">
        <v>39</v>
      </c>
      <c r="D4" s="4">
        <v>103.3</v>
      </c>
      <c r="E4">
        <v>104.1</v>
      </c>
      <c r="F4">
        <v>105.9</v>
      </c>
      <c r="G4">
        <v>105.9</v>
      </c>
    </row>
    <row r="5" spans="2:11" x14ac:dyDescent="0.15">
      <c r="B5" s="4"/>
      <c r="C5" s="4" t="s">
        <v>40</v>
      </c>
      <c r="D5" s="4">
        <f>D3-D4</f>
        <v>4.6000000000000085</v>
      </c>
      <c r="E5" s="4">
        <f>E3-E4</f>
        <v>4.5</v>
      </c>
      <c r="F5" s="4">
        <f>F3-F4</f>
        <v>3.1999999999999886</v>
      </c>
      <c r="G5" s="4">
        <f>G3-G4</f>
        <v>2.8999999999999915</v>
      </c>
    </row>
    <row r="6" spans="2:11" x14ac:dyDescent="0.15">
      <c r="B6" s="4"/>
      <c r="C6" s="4"/>
      <c r="D6" s="4"/>
      <c r="E6" s="4"/>
      <c r="F6" s="4"/>
      <c r="G6" s="4"/>
    </row>
    <row r="7" spans="2:11" x14ac:dyDescent="0.15">
      <c r="B7" s="4" t="s">
        <v>11</v>
      </c>
      <c r="C7" s="4" t="s">
        <v>38</v>
      </c>
      <c r="D7" s="5">
        <v>106.488387683333</v>
      </c>
      <c r="E7" s="5">
        <v>107.25</v>
      </c>
      <c r="F7" s="5">
        <v>107.87</v>
      </c>
      <c r="G7" s="5">
        <v>108.07</v>
      </c>
    </row>
    <row r="8" spans="2:11" x14ac:dyDescent="0.15">
      <c r="B8" s="4"/>
      <c r="C8" s="4" t="s">
        <v>39</v>
      </c>
      <c r="D8" s="5">
        <v>103.75</v>
      </c>
      <c r="E8" s="5">
        <v>105.199538933333</v>
      </c>
      <c r="F8" s="5">
        <v>106.03</v>
      </c>
      <c r="G8" s="5">
        <v>105.7</v>
      </c>
    </row>
    <row r="9" spans="2:11" x14ac:dyDescent="0.15">
      <c r="B9" s="4"/>
      <c r="C9" s="4" t="s">
        <v>40</v>
      </c>
      <c r="D9" s="5">
        <f>D7-D8</f>
        <v>2.7383876833330021</v>
      </c>
      <c r="E9" s="5">
        <f>E7-E8</f>
        <v>2.0504610666669976</v>
      </c>
      <c r="F9" s="5">
        <f>F7-F8</f>
        <v>1.8400000000000034</v>
      </c>
      <c r="G9" s="5">
        <f>G7-G8</f>
        <v>2.3699999999999903</v>
      </c>
    </row>
    <row r="10" spans="2:11" x14ac:dyDescent="0.15">
      <c r="B10" s="4"/>
      <c r="C10" s="4"/>
      <c r="D10" s="4"/>
      <c r="E10" s="4"/>
      <c r="F10" s="4"/>
      <c r="G10" s="4"/>
    </row>
    <row r="11" spans="2:11" x14ac:dyDescent="0.15">
      <c r="B11" s="4"/>
      <c r="C11" s="4" t="s">
        <v>38</v>
      </c>
      <c r="D11" s="5">
        <v>108.66806068984</v>
      </c>
      <c r="E11" s="6">
        <v>108.684351929957</v>
      </c>
      <c r="F11" s="6">
        <v>109.02856957663499</v>
      </c>
      <c r="G11" s="6">
        <v>109.272557794279</v>
      </c>
    </row>
    <row r="12" spans="2:11" x14ac:dyDescent="0.15">
      <c r="B12" s="7" t="s">
        <v>41</v>
      </c>
      <c r="C12" s="4" t="s">
        <v>39</v>
      </c>
      <c r="D12" s="5">
        <v>105.296877363872</v>
      </c>
      <c r="E12" s="6">
        <v>106.395827412635</v>
      </c>
      <c r="F12" s="6">
        <v>108.20080781905401</v>
      </c>
      <c r="G12" s="6">
        <v>107.664549758161</v>
      </c>
    </row>
    <row r="13" spans="2:11" x14ac:dyDescent="0.15">
      <c r="B13" s="4"/>
      <c r="C13" s="4" t="s">
        <v>40</v>
      </c>
      <c r="D13" s="5">
        <f>D11-D12</f>
        <v>3.3711833259680049</v>
      </c>
      <c r="E13" s="5">
        <f>E11-E12</f>
        <v>2.2885245173220028</v>
      </c>
      <c r="F13" s="5">
        <f>F11-F12</f>
        <v>0.82776175758098702</v>
      </c>
      <c r="G13" s="5">
        <f>G11-G12</f>
        <v>1.6080080361179938</v>
      </c>
    </row>
    <row r="14" spans="2:11" x14ac:dyDescent="0.15">
      <c r="B14" s="4"/>
      <c r="C14" s="4"/>
      <c r="D14" s="4"/>
      <c r="E14" s="4"/>
      <c r="F14" s="4"/>
      <c r="G14" s="4"/>
    </row>
    <row r="15" spans="2:11" x14ac:dyDescent="0.15">
      <c r="B15" s="4"/>
      <c r="C15" s="4" t="s">
        <v>38</v>
      </c>
      <c r="D15" s="5">
        <v>107.579640453525</v>
      </c>
      <c r="E15" s="5">
        <v>107.19555133663</v>
      </c>
      <c r="F15" s="5">
        <v>107.849673114235</v>
      </c>
      <c r="G15" s="5">
        <v>108.381596913604</v>
      </c>
    </row>
    <row r="16" spans="2:11" x14ac:dyDescent="0.15">
      <c r="B16" s="4" t="s">
        <v>21</v>
      </c>
      <c r="C16" s="4" t="s">
        <v>39</v>
      </c>
      <c r="D16" s="5">
        <v>103.84099999999999</v>
      </c>
      <c r="E16" s="5">
        <v>104.801</v>
      </c>
      <c r="F16" s="5">
        <v>106.55200000000001</v>
      </c>
      <c r="G16" s="5">
        <v>106.17700000000001</v>
      </c>
    </row>
    <row r="17" spans="2:7" x14ac:dyDescent="0.15">
      <c r="B17" s="4"/>
      <c r="C17" s="4" t="s">
        <v>40</v>
      </c>
      <c r="D17" s="5">
        <f>D15-D16</f>
        <v>3.738640453525008</v>
      </c>
      <c r="E17" s="5">
        <f>E15-E16</f>
        <v>2.394551336630002</v>
      </c>
      <c r="F17" s="5">
        <f>F15-F16</f>
        <v>1.2976731142349962</v>
      </c>
      <c r="G17" s="5">
        <f>G15-G16</f>
        <v>2.2045969136039929</v>
      </c>
    </row>
    <row r="18" spans="2:7" x14ac:dyDescent="0.15">
      <c r="B18" s="4"/>
      <c r="C18" s="4"/>
      <c r="D18" s="4"/>
      <c r="E18" s="4"/>
      <c r="F18" s="4"/>
      <c r="G18" s="4"/>
    </row>
    <row r="19" spans="2:7" x14ac:dyDescent="0.15">
      <c r="B19" s="4" t="s">
        <v>14</v>
      </c>
      <c r="C19" s="4" t="s">
        <v>38</v>
      </c>
      <c r="D19" s="8">
        <v>107.930924459746</v>
      </c>
      <c r="E19" s="8">
        <v>107.99268271077899</v>
      </c>
      <c r="F19" s="8">
        <v>109.37035600741299</v>
      </c>
      <c r="G19" s="8">
        <v>109.536957833534</v>
      </c>
    </row>
    <row r="20" spans="2:7" x14ac:dyDescent="0.15">
      <c r="B20" s="4"/>
      <c r="C20" s="4" t="s">
        <v>39</v>
      </c>
      <c r="D20" s="8">
        <v>104.693677086409</v>
      </c>
      <c r="E20" s="8">
        <v>104.29992107133999</v>
      </c>
      <c r="F20" s="8">
        <v>105.82523497467299</v>
      </c>
      <c r="G20" s="8">
        <v>105.902938980043</v>
      </c>
    </row>
    <row r="21" spans="2:7" x14ac:dyDescent="0.15">
      <c r="B21" s="4"/>
      <c r="C21" s="4" t="s">
        <v>40</v>
      </c>
      <c r="D21" s="5">
        <f>D19-D20</f>
        <v>3.2372473733369986</v>
      </c>
      <c r="E21" s="5">
        <f>E19-E20</f>
        <v>3.6927616394389986</v>
      </c>
      <c r="F21" s="5">
        <f>F19-F20</f>
        <v>3.5451210327399991</v>
      </c>
      <c r="G21" s="5">
        <f>G19-G20</f>
        <v>3.6340188534909998</v>
      </c>
    </row>
    <row r="22" spans="2:7" x14ac:dyDescent="0.15">
      <c r="B22" s="4"/>
      <c r="C22" s="4"/>
      <c r="D22" s="4"/>
      <c r="E22" s="4"/>
      <c r="F22" s="4"/>
      <c r="G22" s="4"/>
    </row>
    <row r="23" spans="2:7" x14ac:dyDescent="0.15">
      <c r="B23" s="3"/>
      <c r="C23" s="3"/>
      <c r="D23" s="3" t="s">
        <v>34</v>
      </c>
      <c r="E23" s="3" t="s">
        <v>35</v>
      </c>
      <c r="F23" s="3" t="s">
        <v>36</v>
      </c>
      <c r="G23" s="3" t="s">
        <v>37</v>
      </c>
    </row>
    <row r="24" spans="2:7" x14ac:dyDescent="0.15">
      <c r="B24" s="4"/>
      <c r="C24" s="4" t="s">
        <v>8</v>
      </c>
      <c r="D24" s="5">
        <f>D5</f>
        <v>4.6000000000000085</v>
      </c>
      <c r="E24" s="5">
        <f>E5</f>
        <v>4.5</v>
      </c>
      <c r="F24" s="5">
        <f>F5</f>
        <v>3.1999999999999886</v>
      </c>
      <c r="G24" s="5">
        <f>G5</f>
        <v>2.8999999999999915</v>
      </c>
    </row>
    <row r="25" spans="2:7" x14ac:dyDescent="0.15">
      <c r="B25" s="4"/>
      <c r="C25" s="4" t="s">
        <v>11</v>
      </c>
      <c r="D25" s="5">
        <f>D9</f>
        <v>2.7383876833330021</v>
      </c>
      <c r="E25" s="5">
        <f>E9</f>
        <v>2.0504610666669976</v>
      </c>
      <c r="F25" s="5">
        <f>F9</f>
        <v>1.8400000000000034</v>
      </c>
      <c r="G25" s="5">
        <f>G9</f>
        <v>2.3699999999999903</v>
      </c>
    </row>
    <row r="26" spans="2:7" x14ac:dyDescent="0.15">
      <c r="B26" s="4"/>
      <c r="C26" s="4" t="s">
        <v>41</v>
      </c>
      <c r="D26" s="5">
        <f>D13</f>
        <v>3.3711833259680049</v>
      </c>
      <c r="E26" s="5">
        <f>E13</f>
        <v>2.2885245173220028</v>
      </c>
      <c r="F26" s="5">
        <f>F13</f>
        <v>0.82776175758098702</v>
      </c>
      <c r="G26" s="5">
        <f>G13</f>
        <v>1.6080080361179938</v>
      </c>
    </row>
    <row r="27" spans="2:7" x14ac:dyDescent="0.15">
      <c r="B27" s="4"/>
      <c r="C27" s="4" t="s">
        <v>21</v>
      </c>
      <c r="D27" s="5">
        <f>D17</f>
        <v>3.738640453525008</v>
      </c>
      <c r="E27" s="5">
        <f>E17</f>
        <v>2.394551336630002</v>
      </c>
      <c r="F27" s="5">
        <f>F17</f>
        <v>1.2976731142349962</v>
      </c>
      <c r="G27" s="5">
        <f>G17</f>
        <v>2.2045969136039929</v>
      </c>
    </row>
    <row r="28" spans="2:7" x14ac:dyDescent="0.15">
      <c r="B28" s="4"/>
      <c r="C28" s="4" t="s">
        <v>14</v>
      </c>
      <c r="D28" s="5">
        <f>D21</f>
        <v>3.2372473733369986</v>
      </c>
      <c r="E28" s="5">
        <f>E21</f>
        <v>3.6927616394389986</v>
      </c>
      <c r="F28" s="5">
        <f>F21</f>
        <v>3.5451210327399991</v>
      </c>
      <c r="G28" s="5">
        <f>G21</f>
        <v>3.6340188534909998</v>
      </c>
    </row>
  </sheetData>
  <phoneticPr fontId="19" type="noConversion"/>
  <pageMargins left="0.75" right="0.75" top="1" bottom="1" header="0.5" footer="0.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132"/>
  <dimension ref="F8:G10"/>
  <sheetViews>
    <sheetView workbookViewId="0">
      <selection activeCell="K10" sqref="K10"/>
    </sheetView>
  </sheetViews>
  <sheetFormatPr defaultColWidth="9" defaultRowHeight="13.5" x14ac:dyDescent="0.15"/>
  <cols>
    <col min="7" max="7" width="12.625"/>
  </cols>
  <sheetData>
    <row r="8" spans="6:7" x14ac:dyDescent="0.15">
      <c r="F8" s="1">
        <v>23584.91</v>
      </c>
      <c r="G8">
        <f>F8/0.94</f>
        <v>25090.329787234044</v>
      </c>
    </row>
    <row r="9" spans="6:7" x14ac:dyDescent="0.15">
      <c r="F9" s="2">
        <v>90566.04</v>
      </c>
      <c r="G9">
        <f>F9/0.94</f>
        <v>96346.851063829788</v>
      </c>
    </row>
    <row r="10" spans="6:7" x14ac:dyDescent="0.15">
      <c r="F10" s="2">
        <v>27358.49</v>
      </c>
      <c r="G10">
        <f>F10/0.94</f>
        <v>29104.776595744683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202304</vt:lpstr>
      <vt:lpstr>202305</vt:lpstr>
      <vt:lpstr>202306</vt:lpstr>
      <vt:lpstr>202307</vt:lpstr>
      <vt:lpstr>202308</vt:lpstr>
      <vt:lpstr>202309</vt:lpstr>
      <vt:lpstr>202310</vt:lpstr>
      <vt:lpstr>202311</vt:lpstr>
      <vt:lpstr>202312</vt:lpstr>
      <vt:lpstr>202401</vt:lpstr>
      <vt:lpstr>202402</vt:lpstr>
      <vt:lpstr>202403</vt:lpstr>
      <vt:lpstr>202404</vt:lpstr>
      <vt:lpstr>202405</vt:lpstr>
      <vt:lpstr>202408</vt:lpstr>
      <vt:lpstr>202406</vt:lpstr>
      <vt:lpstr>202407</vt:lpstr>
      <vt:lpstr>202409</vt:lpstr>
      <vt:lpstr>202410</vt:lpstr>
      <vt:lpstr>202411</vt:lpstr>
      <vt:lpstr>202412</vt:lpstr>
      <vt:lpstr>202501</vt:lpstr>
      <vt:lpstr>202502</vt:lpstr>
      <vt:lpstr>202503</vt:lpstr>
      <vt:lpstr>202504</vt:lpstr>
      <vt:lpstr>202505</vt:lpstr>
      <vt:lpstr>202506</vt:lpstr>
      <vt:lpstr>202507</vt:lpstr>
      <vt:lpstr>202508</vt:lpstr>
      <vt:lpstr>202509</vt:lpstr>
      <vt:lpstr>202510</vt:lpstr>
      <vt:lpstr>202511</vt:lpstr>
      <vt:lpstr>202512</vt:lpstr>
      <vt:lpstr>202601</vt:lpstr>
      <vt:lpstr>202602</vt:lpstr>
      <vt:lpstr>202603</vt:lpstr>
      <vt:lpstr>202604</vt:lpstr>
      <vt:lpstr>202605</vt:lpstr>
      <vt:lpstr>202606</vt:lpstr>
      <vt:lpstr>2026年至2027年供需平衡表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Yuheng Xu</cp:lastModifiedBy>
  <dcterms:created xsi:type="dcterms:W3CDTF">2023-04-25T02:57:00Z</dcterms:created>
  <dcterms:modified xsi:type="dcterms:W3CDTF">2026-06-10T08:32:42Z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1021B535447243FC9F82CD3724714F46</vt:lpwstr>
  </property>
  <property fmtid="{D5CDD505-2E9C-101B-9397-08002B2CF9AE}" pid="3" name="KSOProductBuildVer">
    <vt:lpwstr>2052-11.8.2.12309</vt:lpwstr>
  </property>
  <property fmtid="{D5CDD505-2E9C-101B-9397-08002B2CF9AE}" pid="4" name="EM_Doc_Temp_ID">
    <vt:lpwstr>7D6A2C5A-9E6E-4EC0-9AD0-8452987AB142</vt:lpwstr>
  </property>
</Properties>
</file>